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13199" documentId="13_ncr:1_{D9FFC64C-1D28-4E26-A20F-3393651425A9}" xr6:coauthVersionLast="47" xr6:coauthVersionMax="47" xr10:uidLastSave="{52F6EDDF-B2D7-4E8A-8652-411AFB33978A}"/>
  <bookViews>
    <workbookView xWindow="-120" yWindow="-120" windowWidth="20730" windowHeight="11040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  <definedName name="_xlnm._FilterDatabase" localSheetId="0" hidden="1">Movimientos!$C$12003:$C$12003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7" i="1" l="1"/>
  <c r="R231" i="1"/>
  <c r="S231" i="1"/>
  <c r="T231" i="1"/>
  <c r="G63" i="3"/>
  <c r="G66" i="3"/>
  <c r="G69" i="3"/>
  <c r="G72" i="3"/>
  <c r="G75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6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G78" i="3" s="1"/>
  <c r="K484" i="1"/>
  <c r="K485" i="1"/>
  <c r="K486" i="1"/>
  <c r="K487" i="1"/>
  <c r="K488" i="1"/>
  <c r="K489" i="1"/>
  <c r="K490" i="1"/>
  <c r="G67" i="3" s="1"/>
  <c r="K491" i="1"/>
  <c r="G82" i="3" s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G70" i="3" s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G73" i="3" s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4" i="1"/>
  <c r="T11995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5" i="1"/>
  <c r="T615" i="1"/>
  <c r="S626" i="1"/>
  <c r="T626" i="1"/>
  <c r="S637" i="1"/>
  <c r="T637" i="1"/>
  <c r="S648" i="1"/>
  <c r="T648" i="1"/>
  <c r="S659" i="1"/>
  <c r="T659" i="1"/>
  <c r="S670" i="1"/>
  <c r="T670" i="1"/>
  <c r="S681" i="1"/>
  <c r="T681" i="1"/>
  <c r="S692" i="1"/>
  <c r="T692" i="1"/>
  <c r="S703" i="1"/>
  <c r="T703" i="1"/>
  <c r="S714" i="1"/>
  <c r="T714" i="1"/>
  <c r="S725" i="1"/>
  <c r="T725" i="1"/>
  <c r="S736" i="1"/>
  <c r="T736" i="1"/>
  <c r="S747" i="1"/>
  <c r="T747" i="1"/>
  <c r="S758" i="1"/>
  <c r="T758" i="1"/>
  <c r="S769" i="1"/>
  <c r="T769" i="1"/>
  <c r="S780" i="1"/>
  <c r="T780" i="1"/>
  <c r="S791" i="1"/>
  <c r="T791" i="1"/>
  <c r="S802" i="1"/>
  <c r="T802" i="1"/>
  <c r="S813" i="1"/>
  <c r="T813" i="1"/>
  <c r="S824" i="1"/>
  <c r="T824" i="1"/>
  <c r="S835" i="1"/>
  <c r="T835" i="1"/>
  <c r="S846" i="1"/>
  <c r="T846" i="1"/>
  <c r="S857" i="1"/>
  <c r="T857" i="1"/>
  <c r="S868" i="1"/>
  <c r="T868" i="1"/>
  <c r="S879" i="1"/>
  <c r="T879" i="1"/>
  <c r="S890" i="1"/>
  <c r="T890" i="1"/>
  <c r="S901" i="1"/>
  <c r="T901" i="1"/>
  <c r="S912" i="1"/>
  <c r="T912" i="1"/>
  <c r="S923" i="1"/>
  <c r="T923" i="1"/>
  <c r="S934" i="1"/>
  <c r="T934" i="1"/>
  <c r="S945" i="1"/>
  <c r="T945" i="1"/>
  <c r="S956" i="1"/>
  <c r="T956" i="1"/>
  <c r="S967" i="1"/>
  <c r="T967" i="1"/>
  <c r="S978" i="1"/>
  <c r="T978" i="1"/>
  <c r="S989" i="1"/>
  <c r="T989" i="1"/>
  <c r="S1000" i="1"/>
  <c r="T1000" i="1"/>
  <c r="S1011" i="1"/>
  <c r="T1011" i="1"/>
  <c r="S1022" i="1"/>
  <c r="T1022" i="1"/>
  <c r="S1033" i="1"/>
  <c r="T1033" i="1"/>
  <c r="S1044" i="1"/>
  <c r="T1044" i="1"/>
  <c r="S1055" i="1"/>
  <c r="T1055" i="1"/>
  <c r="S1066" i="1"/>
  <c r="T1066" i="1"/>
  <c r="S1077" i="1"/>
  <c r="T1077" i="1"/>
  <c r="S1088" i="1"/>
  <c r="T1088" i="1"/>
  <c r="S1099" i="1"/>
  <c r="T1099" i="1"/>
  <c r="S1110" i="1"/>
  <c r="T1110" i="1"/>
  <c r="S1121" i="1"/>
  <c r="T1121" i="1"/>
  <c r="S1132" i="1"/>
  <c r="T1132" i="1"/>
  <c r="S1143" i="1"/>
  <c r="T1143" i="1"/>
  <c r="S1154" i="1"/>
  <c r="T1154" i="1"/>
  <c r="S1165" i="1"/>
  <c r="T1165" i="1"/>
  <c r="S1176" i="1"/>
  <c r="T1176" i="1"/>
  <c r="S1187" i="1"/>
  <c r="T1187" i="1"/>
  <c r="S1198" i="1"/>
  <c r="T1198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R1195" i="1"/>
  <c r="S1195" i="1"/>
  <c r="T1195" i="1"/>
  <c r="R1196" i="1"/>
  <c r="S1196" i="1"/>
  <c r="T1196" i="1"/>
  <c r="R1197" i="1"/>
  <c r="S1197" i="1"/>
  <c r="T1197" i="1"/>
  <c r="R1199" i="1"/>
  <c r="S1199" i="1"/>
  <c r="T1199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R496" i="1"/>
  <c r="R507" i="1"/>
  <c r="R518" i="1"/>
  <c r="H529" i="1"/>
  <c r="R529" i="1"/>
  <c r="R540" i="1"/>
  <c r="R551" i="1"/>
  <c r="R562" i="1"/>
  <c r="R573" i="1"/>
  <c r="R584" i="1"/>
  <c r="R595" i="1"/>
  <c r="R606" i="1"/>
  <c r="R615" i="1"/>
  <c r="R626" i="1"/>
  <c r="R637" i="1"/>
  <c r="R648" i="1"/>
  <c r="R659" i="1"/>
  <c r="R670" i="1"/>
  <c r="R681" i="1"/>
  <c r="R692" i="1"/>
  <c r="R703" i="1"/>
  <c r="R714" i="1"/>
  <c r="R725" i="1"/>
  <c r="R736" i="1"/>
  <c r="R747" i="1"/>
  <c r="R758" i="1"/>
  <c r="H769" i="1"/>
  <c r="R769" i="1"/>
  <c r="H780" i="1"/>
  <c r="R780" i="1"/>
  <c r="H791" i="1"/>
  <c r="R791" i="1"/>
  <c r="H802" i="1"/>
  <c r="R802" i="1"/>
  <c r="H813" i="1"/>
  <c r="R813" i="1"/>
  <c r="H824" i="1"/>
  <c r="R824" i="1"/>
  <c r="H835" i="1"/>
  <c r="R835" i="1"/>
  <c r="H846" i="1"/>
  <c r="R846" i="1"/>
  <c r="H857" i="1"/>
  <c r="R857" i="1"/>
  <c r="H868" i="1"/>
  <c r="R868" i="1"/>
  <c r="H879" i="1"/>
  <c r="R879" i="1"/>
  <c r="H890" i="1"/>
  <c r="R890" i="1"/>
  <c r="H901" i="1"/>
  <c r="R901" i="1"/>
  <c r="H912" i="1"/>
  <c r="R912" i="1"/>
  <c r="H923" i="1"/>
  <c r="R923" i="1"/>
  <c r="H934" i="1"/>
  <c r="R934" i="1"/>
  <c r="H945" i="1"/>
  <c r="R945" i="1"/>
  <c r="H956" i="1"/>
  <c r="R956" i="1"/>
  <c r="H967" i="1"/>
  <c r="R967" i="1"/>
  <c r="H978" i="1"/>
  <c r="R978" i="1"/>
  <c r="H989" i="1"/>
  <c r="R989" i="1"/>
  <c r="H1000" i="1"/>
  <c r="R1000" i="1"/>
  <c r="H1011" i="1"/>
  <c r="R1011" i="1"/>
  <c r="H1022" i="1"/>
  <c r="R1022" i="1"/>
  <c r="H1033" i="1"/>
  <c r="R1033" i="1"/>
  <c r="H1044" i="1"/>
  <c r="R1044" i="1"/>
  <c r="H1055" i="1"/>
  <c r="R1055" i="1"/>
  <c r="H1066" i="1"/>
  <c r="R1066" i="1"/>
  <c r="H1077" i="1"/>
  <c r="R1077" i="1"/>
  <c r="H1088" i="1"/>
  <c r="R1088" i="1"/>
  <c r="H1099" i="1"/>
  <c r="R1099" i="1"/>
  <c r="H1110" i="1"/>
  <c r="R1110" i="1"/>
  <c r="H1121" i="1"/>
  <c r="R1121" i="1"/>
  <c r="H1132" i="1"/>
  <c r="R1132" i="1"/>
  <c r="H1143" i="1"/>
  <c r="R1143" i="1"/>
  <c r="H1154" i="1"/>
  <c r="R1154" i="1"/>
  <c r="H1165" i="1"/>
  <c r="R1165" i="1"/>
  <c r="H1176" i="1"/>
  <c r="R1176" i="1"/>
  <c r="H1187" i="1"/>
  <c r="R1187" i="1"/>
  <c r="H1198" i="1"/>
  <c r="R1198" i="1"/>
  <c r="H1200" i="1"/>
  <c r="R1200" i="1"/>
  <c r="H1201" i="1"/>
  <c r="R1201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3" i="1"/>
  <c r="H4" i="1"/>
  <c r="H5" i="1"/>
  <c r="H6" i="1"/>
  <c r="H7" i="1"/>
  <c r="H8" i="1"/>
  <c r="H2" i="1"/>
  <c r="H1498" i="1"/>
  <c r="R1498" i="1"/>
  <c r="H1499" i="1"/>
  <c r="R1499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R492" i="1"/>
  <c r="R493" i="1"/>
  <c r="R494" i="1"/>
  <c r="R495" i="1"/>
  <c r="R497" i="1"/>
  <c r="R498" i="1"/>
  <c r="R499" i="1"/>
  <c r="R500" i="1"/>
  <c r="R501" i="1"/>
  <c r="R502" i="1"/>
  <c r="R503" i="1"/>
  <c r="R504" i="1"/>
  <c r="R505" i="1"/>
  <c r="R506" i="1"/>
  <c r="R508" i="1"/>
  <c r="R509" i="1"/>
  <c r="R510" i="1"/>
  <c r="R511" i="1"/>
  <c r="R512" i="1"/>
  <c r="R513" i="1"/>
  <c r="R514" i="1"/>
  <c r="R515" i="1"/>
  <c r="R516" i="1"/>
  <c r="R517" i="1"/>
  <c r="R519" i="1"/>
  <c r="R520" i="1"/>
  <c r="R521" i="1"/>
  <c r="R522" i="1"/>
  <c r="R523" i="1"/>
  <c r="R524" i="1"/>
  <c r="R525" i="1"/>
  <c r="R526" i="1"/>
  <c r="R527" i="1"/>
  <c r="R528" i="1"/>
  <c r="R530" i="1"/>
  <c r="H531" i="1"/>
  <c r="R531" i="1"/>
  <c r="R532" i="1"/>
  <c r="R533" i="1"/>
  <c r="R534" i="1"/>
  <c r="R535" i="1"/>
  <c r="R536" i="1"/>
  <c r="R537" i="1"/>
  <c r="R538" i="1"/>
  <c r="R539" i="1"/>
  <c r="R541" i="1"/>
  <c r="R542" i="1"/>
  <c r="R543" i="1"/>
  <c r="R544" i="1"/>
  <c r="R545" i="1"/>
  <c r="R546" i="1"/>
  <c r="R547" i="1"/>
  <c r="R548" i="1"/>
  <c r="R549" i="1"/>
  <c r="R550" i="1"/>
  <c r="R552" i="1"/>
  <c r="R553" i="1"/>
  <c r="R554" i="1"/>
  <c r="R555" i="1"/>
  <c r="R556" i="1"/>
  <c r="R557" i="1"/>
  <c r="R558" i="1"/>
  <c r="R559" i="1"/>
  <c r="R560" i="1"/>
  <c r="R561" i="1"/>
  <c r="R563" i="1"/>
  <c r="R564" i="1"/>
  <c r="R565" i="1"/>
  <c r="R566" i="1"/>
  <c r="R567" i="1"/>
  <c r="R568" i="1"/>
  <c r="R569" i="1"/>
  <c r="R570" i="1"/>
  <c r="R571" i="1"/>
  <c r="R572" i="1"/>
  <c r="R574" i="1"/>
  <c r="R575" i="1"/>
  <c r="R576" i="1"/>
  <c r="R577" i="1"/>
  <c r="R578" i="1"/>
  <c r="R579" i="1"/>
  <c r="R580" i="1"/>
  <c r="R581" i="1"/>
  <c r="R582" i="1"/>
  <c r="R583" i="1"/>
  <c r="R585" i="1"/>
  <c r="R586" i="1"/>
  <c r="R587" i="1"/>
  <c r="R588" i="1"/>
  <c r="R589" i="1"/>
  <c r="R590" i="1"/>
  <c r="R591" i="1"/>
  <c r="R592" i="1"/>
  <c r="R593" i="1"/>
  <c r="R594" i="1"/>
  <c r="R596" i="1"/>
  <c r="H597" i="1"/>
  <c r="R597" i="1"/>
  <c r="R598" i="1"/>
  <c r="R599" i="1"/>
  <c r="R600" i="1"/>
  <c r="R601" i="1"/>
  <c r="R602" i="1"/>
  <c r="R603" i="1"/>
  <c r="R604" i="1"/>
  <c r="R605" i="1"/>
  <c r="R607" i="1"/>
  <c r="R608" i="1"/>
  <c r="R609" i="1"/>
  <c r="R610" i="1"/>
  <c r="R611" i="1"/>
  <c r="R612" i="1"/>
  <c r="R613" i="1"/>
  <c r="R614" i="1"/>
  <c r="R616" i="1"/>
  <c r="R617" i="1"/>
  <c r="R618" i="1"/>
  <c r="H619" i="1"/>
  <c r="R619" i="1"/>
  <c r="H620" i="1"/>
  <c r="R620" i="1"/>
  <c r="H621" i="1"/>
  <c r="R621" i="1"/>
  <c r="R622" i="1"/>
  <c r="H623" i="1"/>
  <c r="R623" i="1"/>
  <c r="H624" i="1"/>
  <c r="R624" i="1"/>
  <c r="H625" i="1"/>
  <c r="R625" i="1"/>
  <c r="R627" i="1"/>
  <c r="H628" i="1"/>
  <c r="R628" i="1"/>
  <c r="R629" i="1"/>
  <c r="R630" i="1"/>
  <c r="R631" i="1"/>
  <c r="R632" i="1"/>
  <c r="R633" i="1"/>
  <c r="R634" i="1"/>
  <c r="R635" i="1"/>
  <c r="R636" i="1"/>
  <c r="R638" i="1"/>
  <c r="R639" i="1"/>
  <c r="R640" i="1"/>
  <c r="R641" i="1"/>
  <c r="R642" i="1"/>
  <c r="R643" i="1"/>
  <c r="R644" i="1"/>
  <c r="R645" i="1"/>
  <c r="R646" i="1"/>
  <c r="R647" i="1"/>
  <c r="R649" i="1"/>
  <c r="R650" i="1"/>
  <c r="R651" i="1"/>
  <c r="R652" i="1"/>
  <c r="R653" i="1"/>
  <c r="R654" i="1"/>
  <c r="R655" i="1"/>
  <c r="R656" i="1"/>
  <c r="R657" i="1"/>
  <c r="R658" i="1"/>
  <c r="R660" i="1"/>
  <c r="H661" i="1"/>
  <c r="R661" i="1"/>
  <c r="R662" i="1"/>
  <c r="R663" i="1"/>
  <c r="R664" i="1"/>
  <c r="R665" i="1"/>
  <c r="R666" i="1"/>
  <c r="R667" i="1"/>
  <c r="R668" i="1"/>
  <c r="R669" i="1"/>
  <c r="R671" i="1"/>
  <c r="R672" i="1"/>
  <c r="R673" i="1"/>
  <c r="R674" i="1"/>
  <c r="R675" i="1"/>
  <c r="R676" i="1"/>
  <c r="R677" i="1"/>
  <c r="R678" i="1"/>
  <c r="R679" i="1"/>
  <c r="R680" i="1"/>
  <c r="R682" i="1"/>
  <c r="R683" i="1"/>
  <c r="R684" i="1"/>
  <c r="R685" i="1"/>
  <c r="R686" i="1"/>
  <c r="R687" i="1"/>
  <c r="R688" i="1"/>
  <c r="R689" i="1"/>
  <c r="R690" i="1"/>
  <c r="R691" i="1"/>
  <c r="R693" i="1"/>
  <c r="R694" i="1"/>
  <c r="R695" i="1"/>
  <c r="H696" i="1"/>
  <c r="R696" i="1"/>
  <c r="R697" i="1"/>
  <c r="R698" i="1"/>
  <c r="R699" i="1"/>
  <c r="R700" i="1"/>
  <c r="R701" i="1"/>
  <c r="R702" i="1"/>
  <c r="R704" i="1"/>
  <c r="R705" i="1"/>
  <c r="R706" i="1"/>
  <c r="R707" i="1"/>
  <c r="R708" i="1"/>
  <c r="R709" i="1"/>
  <c r="R710" i="1"/>
  <c r="R711" i="1"/>
  <c r="R712" i="1"/>
  <c r="R713" i="1"/>
  <c r="R715" i="1"/>
  <c r="H716" i="1"/>
  <c r="R716" i="1"/>
  <c r="H717" i="1"/>
  <c r="R717" i="1"/>
  <c r="H718" i="1"/>
  <c r="R718" i="1"/>
  <c r="R719" i="1"/>
  <c r="R720" i="1"/>
  <c r="R721" i="1"/>
  <c r="R722" i="1"/>
  <c r="R723" i="1"/>
  <c r="R724" i="1"/>
  <c r="R726" i="1"/>
  <c r="R727" i="1"/>
  <c r="R728" i="1"/>
  <c r="R729" i="1"/>
  <c r="R730" i="1"/>
  <c r="R731" i="1"/>
  <c r="R732" i="1"/>
  <c r="R733" i="1"/>
  <c r="R734" i="1"/>
  <c r="R735" i="1"/>
  <c r="R737" i="1"/>
  <c r="R738" i="1"/>
  <c r="H739" i="1"/>
  <c r="R739" i="1"/>
  <c r="R740" i="1"/>
  <c r="R741" i="1"/>
  <c r="R742" i="1"/>
  <c r="H743" i="1"/>
  <c r="R743" i="1"/>
  <c r="R744" i="1"/>
  <c r="R745" i="1"/>
  <c r="R746" i="1"/>
  <c r="R748" i="1"/>
  <c r="R749" i="1"/>
  <c r="R750" i="1"/>
  <c r="R751" i="1"/>
  <c r="R752" i="1"/>
  <c r="R753" i="1"/>
  <c r="R754" i="1"/>
  <c r="R755" i="1"/>
  <c r="R756" i="1"/>
  <c r="R757" i="1"/>
  <c r="R759" i="1"/>
  <c r="R760" i="1"/>
  <c r="R761" i="1"/>
  <c r="R762" i="1"/>
  <c r="R763" i="1"/>
  <c r="R764" i="1"/>
  <c r="R765" i="1"/>
  <c r="H766" i="1"/>
  <c r="R766" i="1"/>
  <c r="H767" i="1"/>
  <c r="R767" i="1"/>
  <c r="H768" i="1"/>
  <c r="R768" i="1"/>
  <c r="H770" i="1"/>
  <c r="R770" i="1"/>
  <c r="H771" i="1"/>
  <c r="R771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1" i="1"/>
  <c r="R781" i="1"/>
  <c r="H782" i="1"/>
  <c r="R782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2" i="1"/>
  <c r="R792" i="1"/>
  <c r="H793" i="1"/>
  <c r="R793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3" i="1"/>
  <c r="R803" i="1"/>
  <c r="H804" i="1"/>
  <c r="R804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4" i="1"/>
  <c r="R814" i="1"/>
  <c r="H815" i="1"/>
  <c r="R815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5" i="1"/>
  <c r="R825" i="1"/>
  <c r="H826" i="1"/>
  <c r="R826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6" i="1"/>
  <c r="R836" i="1"/>
  <c r="H837" i="1"/>
  <c r="R837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7" i="1"/>
  <c r="R847" i="1"/>
  <c r="H848" i="1"/>
  <c r="R848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8" i="1"/>
  <c r="R858" i="1"/>
  <c r="H859" i="1"/>
  <c r="R859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9" i="1"/>
  <c r="R869" i="1"/>
  <c r="H870" i="1"/>
  <c r="R870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80" i="1"/>
  <c r="R880" i="1"/>
  <c r="H881" i="1"/>
  <c r="R881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1" i="1"/>
  <c r="R891" i="1"/>
  <c r="H892" i="1"/>
  <c r="R892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2" i="1"/>
  <c r="R902" i="1"/>
  <c r="H903" i="1"/>
  <c r="R903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3" i="1"/>
  <c r="R913" i="1"/>
  <c r="H914" i="1"/>
  <c r="R914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4" i="1"/>
  <c r="R924" i="1"/>
  <c r="H925" i="1"/>
  <c r="R925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5" i="1"/>
  <c r="R935" i="1"/>
  <c r="H936" i="1"/>
  <c r="R936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6" i="1"/>
  <c r="R946" i="1"/>
  <c r="H947" i="1"/>
  <c r="R947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7" i="1"/>
  <c r="R957" i="1"/>
  <c r="H958" i="1"/>
  <c r="R958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8" i="1"/>
  <c r="R968" i="1"/>
  <c r="H969" i="1"/>
  <c r="R969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9" i="1"/>
  <c r="R979" i="1"/>
  <c r="H980" i="1"/>
  <c r="R980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90" i="1"/>
  <c r="R990" i="1"/>
  <c r="H991" i="1"/>
  <c r="R991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1" i="1"/>
  <c r="R1001" i="1"/>
  <c r="H1002" i="1"/>
  <c r="R1002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2" i="1"/>
  <c r="R1012" i="1"/>
  <c r="H1013" i="1"/>
  <c r="R1013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3" i="1"/>
  <c r="R1023" i="1"/>
  <c r="H1024" i="1"/>
  <c r="R1024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4" i="1"/>
  <c r="R1034" i="1"/>
  <c r="H1035" i="1"/>
  <c r="R1035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5" i="1"/>
  <c r="R1045" i="1"/>
  <c r="H1046" i="1"/>
  <c r="R1046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6" i="1"/>
  <c r="R1056" i="1"/>
  <c r="H1057" i="1"/>
  <c r="R1057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7" i="1"/>
  <c r="R1067" i="1"/>
  <c r="H1068" i="1"/>
  <c r="R1068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8" i="1"/>
  <c r="R1078" i="1"/>
  <c r="H1079" i="1"/>
  <c r="R1079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9" i="1"/>
  <c r="R1089" i="1"/>
  <c r="H1090" i="1"/>
  <c r="R1090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100" i="1"/>
  <c r="R1100" i="1"/>
  <c r="H1101" i="1"/>
  <c r="R1101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1" i="1"/>
  <c r="R1111" i="1"/>
  <c r="H1112" i="1"/>
  <c r="R1112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2" i="1"/>
  <c r="R1122" i="1"/>
  <c r="H1123" i="1"/>
  <c r="R1123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3" i="1"/>
  <c r="R1133" i="1"/>
  <c r="H1134" i="1"/>
  <c r="R1134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4" i="1"/>
  <c r="R1144" i="1"/>
  <c r="H1145" i="1"/>
  <c r="R1145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5" i="1"/>
  <c r="R1155" i="1"/>
  <c r="H1156" i="1"/>
  <c r="R1156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6" i="1"/>
  <c r="R1166" i="1"/>
  <c r="H1167" i="1"/>
  <c r="R1167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7" i="1"/>
  <c r="R1177" i="1"/>
  <c r="H1178" i="1"/>
  <c r="R1178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8" i="1"/>
  <c r="R1188" i="1"/>
  <c r="H1189" i="1"/>
  <c r="R1189" i="1"/>
  <c r="H1190" i="1"/>
  <c r="R1190" i="1"/>
  <c r="H1191" i="1"/>
  <c r="R1191" i="1"/>
  <c r="H1192" i="1"/>
  <c r="R1192" i="1"/>
  <c r="H1193" i="1"/>
  <c r="R1193" i="1"/>
  <c r="H1194" i="1"/>
  <c r="R1194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999" i="1"/>
  <c r="T11902" i="1"/>
  <c r="T11901" i="1"/>
  <c r="T6002" i="1"/>
  <c r="T6003" i="1"/>
  <c r="T11900" i="1"/>
  <c r="T11992" i="1"/>
  <c r="T11993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6000" i="1"/>
  <c r="T2000" i="1"/>
  <c r="T2001" i="1"/>
  <c r="T6182" i="1"/>
  <c r="T6004" i="1"/>
  <c r="T6001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869" i="1"/>
  <c r="T11870" i="1"/>
  <c r="T11988" i="1"/>
  <c r="T11989" i="1"/>
  <c r="T11990" i="1"/>
  <c r="T11991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J70" i="2"/>
  <c r="K70" i="2"/>
  <c r="J71" i="2"/>
  <c r="J72" i="2"/>
  <c r="J73" i="2"/>
  <c r="J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K69" i="2" s="1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K71" i="2" s="1"/>
  <c r="B72" i="2"/>
  <c r="C72" i="2"/>
  <c r="D72" i="2"/>
  <c r="E72" i="2"/>
  <c r="F72" i="2"/>
  <c r="G72" i="2"/>
  <c r="H72" i="2"/>
  <c r="K72" i="2" s="1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G61" i="3" l="1"/>
  <c r="B60" i="3"/>
  <c r="C60" i="3"/>
  <c r="D60" i="3"/>
  <c r="E60" i="3"/>
  <c r="B62" i="3"/>
  <c r="C62" i="3"/>
  <c r="D62" i="3"/>
  <c r="E62" i="3"/>
  <c r="B65" i="3"/>
  <c r="C65" i="3"/>
  <c r="D65" i="3"/>
  <c r="E65" i="3"/>
  <c r="B74" i="3"/>
  <c r="C74" i="3"/>
  <c r="D74" i="3"/>
  <c r="E74" i="3"/>
  <c r="B76" i="3"/>
  <c r="C76" i="3"/>
  <c r="D76" i="3"/>
  <c r="E76" i="3"/>
  <c r="B77" i="3"/>
  <c r="C77" i="3"/>
  <c r="D77" i="3"/>
  <c r="E77" i="3"/>
  <c r="B78" i="3"/>
  <c r="C78" i="3"/>
  <c r="D78" i="3"/>
  <c r="E78" i="3"/>
  <c r="B79" i="3"/>
  <c r="C79" i="3"/>
  <c r="D79" i="3"/>
  <c r="E79" i="3"/>
  <c r="G62" i="3"/>
  <c r="G71" i="3"/>
  <c r="G64" i="3"/>
  <c r="G59" i="3"/>
  <c r="G81" i="3"/>
  <c r="G65" i="3"/>
  <c r="G68" i="3"/>
  <c r="G74" i="3"/>
  <c r="G60" i="3"/>
  <c r="G77" i="3"/>
  <c r="G76" i="3"/>
  <c r="G79" i="3"/>
  <c r="G80" i="3"/>
  <c r="B64" i="3"/>
  <c r="C64" i="3"/>
  <c r="D64" i="3"/>
  <c r="E64" i="3"/>
  <c r="B70" i="3"/>
  <c r="C70" i="3"/>
  <c r="D70" i="3"/>
  <c r="E70" i="3"/>
  <c r="B71" i="3"/>
  <c r="C71" i="3"/>
  <c r="D71" i="3"/>
  <c r="E71" i="3"/>
  <c r="B73" i="3"/>
  <c r="C73" i="3"/>
  <c r="D73" i="3"/>
  <c r="E73" i="3"/>
  <c r="B80" i="3"/>
  <c r="C80" i="3"/>
  <c r="D80" i="3"/>
  <c r="E80" i="3"/>
  <c r="B81" i="3"/>
  <c r="C81" i="3"/>
  <c r="D81" i="3"/>
  <c r="E81" i="3"/>
  <c r="B82" i="3"/>
  <c r="C82" i="3"/>
  <c r="D82" i="3"/>
  <c r="E82" i="3"/>
  <c r="B61" i="3"/>
  <c r="C61" i="3"/>
  <c r="D61" i="3"/>
  <c r="E61" i="3"/>
  <c r="B63" i="3"/>
  <c r="C63" i="3"/>
  <c r="D63" i="3"/>
  <c r="E63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2" i="3"/>
  <c r="C72" i="3"/>
  <c r="D72" i="3"/>
  <c r="E72" i="3"/>
  <c r="B75" i="3"/>
  <c r="C75" i="3"/>
  <c r="D75" i="3"/>
  <c r="E75" i="3"/>
  <c r="B57" i="3"/>
  <c r="C57" i="3"/>
  <c r="D57" i="3"/>
  <c r="E57" i="3"/>
  <c r="B58" i="3"/>
  <c r="C58" i="3"/>
  <c r="D58" i="3"/>
  <c r="E58" i="3"/>
  <c r="B59" i="3"/>
  <c r="C59" i="3"/>
  <c r="D59" i="3"/>
  <c r="E59" i="3"/>
  <c r="G58" i="3"/>
  <c r="G57" i="3"/>
  <c r="K74" i="2"/>
  <c r="K73" i="2"/>
  <c r="B46" i="2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F60" i="3" l="1"/>
  <c r="H60" i="3"/>
  <c r="F61" i="3"/>
  <c r="H61" i="3"/>
  <c r="F62" i="3"/>
  <c r="H62" i="3"/>
  <c r="F63" i="3"/>
  <c r="H63" i="3"/>
  <c r="F64" i="3"/>
  <c r="H64" i="3"/>
  <c r="F65" i="3"/>
  <c r="H65" i="3"/>
  <c r="F66" i="3"/>
  <c r="H66" i="3"/>
  <c r="F67" i="3"/>
  <c r="H67" i="3"/>
  <c r="F68" i="3"/>
  <c r="H68" i="3"/>
  <c r="F69" i="3"/>
  <c r="H69" i="3"/>
  <c r="F70" i="3"/>
  <c r="H70" i="3"/>
  <c r="F71" i="3"/>
  <c r="H71" i="3"/>
  <c r="F72" i="3"/>
  <c r="H72" i="3"/>
  <c r="F73" i="3"/>
  <c r="H73" i="3"/>
  <c r="F74" i="3"/>
  <c r="H74" i="3"/>
  <c r="F75" i="3"/>
  <c r="H75" i="3"/>
  <c r="F76" i="3"/>
  <c r="H76" i="3"/>
  <c r="F77" i="3"/>
  <c r="H77" i="3"/>
  <c r="F78" i="3"/>
  <c r="H78" i="3"/>
  <c r="F79" i="3"/>
  <c r="H79" i="3"/>
  <c r="F80" i="3"/>
  <c r="H80" i="3"/>
  <c r="F81" i="3"/>
  <c r="H81" i="3"/>
  <c r="F82" i="3"/>
  <c r="H82" i="3"/>
  <c r="F57" i="3"/>
  <c r="H57" i="3"/>
  <c r="F58" i="3"/>
  <c r="H58" i="3"/>
  <c r="F59" i="3"/>
  <c r="H59" i="3"/>
  <c r="H37" i="3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<sst xmlns="http://schemas.openxmlformats.org/spreadsheetml/2006/main" count="9796" uniqueCount="3357">
  <si>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</si>
  <si>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</si>
  <si>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</si>
  <si>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</si>
  <si>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</si>
  <si>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</si>
  <si>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</si>
  <si>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</si>
  <si>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</si>
  <si>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</si>
  <si>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</si>
  <si>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</si>
  <si>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</si>
  <si>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</si>
  <si>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</si>
  <si>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</si>
  <si>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</si>
  <si>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</si>
  <si>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</si>
  <si>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</si>
  <si>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</si>
  <si>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 xml:space="preserve">Retira 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</si>
  <si>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</si>
  <si>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</si>
  <si>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</si>
  <si>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</si>
  <si>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</si>
  <si>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</si>
  <si>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</si>
  <si>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</si>
  <si>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</si>
  <si>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</si>
  <si>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</si>
  <si>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</si>
  <si>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</si>
  <si>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</si>
  <si>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</si>
  <si>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</si>
  <si>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</si>
  <si>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</si>
  <si>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</si>
  <si>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</si>
  <si>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</si>
  <si>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</si>
  <si>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</si>
  <si>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</si>
  <si>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</si>
  <si>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</si>
  <si>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</si>
  <si>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</si>
  <si>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</si>
  <si>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</si>
  <si>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</si>
  <si>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</si>
  <si>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</si>
  <si>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</si>
  <si>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</si>
  <si>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</si>
  <si>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</si>
  <si>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</si>
  <si>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</si>
  <si>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</si>
  <si>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</si>
  <si>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</si>
  <si>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</si>
  <si>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</si>
  <si>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</si>
  <si>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</si>
  <si>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</si>
  <si>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</si>
  <si>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</si>
  <si>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</si>
  <si>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</si>
  <si>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</si>
  <si>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</si>
  <si>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</si>
  <si>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</si>
  <si>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</si>
  <si>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</si>
  <si>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</si>
  <si>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</si>
  <si>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</si>
  <si>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</si>
  <si>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</si>
  <si>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</si>
  <si>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</si>
  <si>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</si>
  <si>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</si>
  <si>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</si>
  <si>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</si>
  <si>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</si>
  <si>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</si>
  <si>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</si>
  <si>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</si>
  <si>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</si>
  <si>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</si>
  <si>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</si>
  <si>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</si>
  <si>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</si>
  <si>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</si>
  <si>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</si>
  <si>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</si>
  <si>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</si>
  <si>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</si>
  <si>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</si>
  <si>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</si>
  <si>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</si>
  <si>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</si>
  <si>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</si>
  <si>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</si>
  <si>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</si>
  <si>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</si>
  <si>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</si>
  <si>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</si>
  <si>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</si>
  <si>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</si>
  <si>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</si>
  <si>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</si>
  <si>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</si>
  <si>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</si>
  <si>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</si>
  <si>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</si>
  <si>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</si>
  <si>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</si>
  <si>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</si>
  <si>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</si>
  <si>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</si>
  <si>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</si>
  <si>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</si>
  <si>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</si>
  <si>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</si>
  <si>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</si>
  <si>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</si>
  <si>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</si>
  <si>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</si>
  <si>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</si>
  <si>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</si>
  <si>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</si>
  <si>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</si>
  <si>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</si>
  <si>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</si>
  <si>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</si>
  <si>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</si>
  <si>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</si>
  <si>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</si>
  <si>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</si>
  <si>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</si>
  <si>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</si>
  <si>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</si>
  <si>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</si>
  <si>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</si>
  <si>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</si>
  <si>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</si>
  <si>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</si>
  <si>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</si>
  <si>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</si>
  <si>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</si>
  <si>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</si>
  <si>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</si>
  <si>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</si>
  <si>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</si>
  <si>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</si>
  <si>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</si>
  <si>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</si>
  <si>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</si>
  <si>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</si>
  <si>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</si>
  <si>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</si>
  <si>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</si>
  <si>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</si>
  <si>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</si>
  <si>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</si>
  <si>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</si>
  <si>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</si>
  <si>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</si>
  <si>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</si>
  <si>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</si>
  <si>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</si>
  <si>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</si>
  <si>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</si>
  <si>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</si>
  <si>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</si>
  <si>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</si>
  <si>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</si>
  <si>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</si>
  <si>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</si>
  <si>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</si>
  <si>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</si>
  <si>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</si>
  <si>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</si>
  <si>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</si>
  <si>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</si>
  <si>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</si>
  <si>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</si>
  <si>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</si>
  <si>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</si>
  <si>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</si>
  <si>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</si>
  <si>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</si>
  <si>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</si>
  <si>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</si>
  <si>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</si>
  <si>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</si>
  <si>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</si>
  <si>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</si>
  <si>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</si>
  <si>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</si>
  <si>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</si>
  <si>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</si>
  <si>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</si>
  <si>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</si>
  <si>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</si>
  <si>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</si>
  <si>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</si>
  <si>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</si>
  <si>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</si>
  <si>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</si>
  <si>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</si>
  <si>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</si>
  <si>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</si>
  <si>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</si>
  <si>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</si>
  <si>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</si>
  <si>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</si>
  <si>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</si>
  <si>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</si>
  <si>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</si>
  <si>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</si>
  <si>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</si>
  <si>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</si>
  <si>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</si>
  <si>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</si>
  <si>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</si>
  <si>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</si>
  <si>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</si>
  <si>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</si>
  <si>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</si>
  <si>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</si>
  <si>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</si>
  <si>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</si>
  <si>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</si>
  <si>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</si>
  <si>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</si>
  <si>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</si>
  <si>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</si>
  <si>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</si>
  <si>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</si>
  <si>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</si>
  <si>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</si>
  <si>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</si>
  <si>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</si>
  <si>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</si>
  <si>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</si>
  <si>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</si>
  <si>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</si>
  <si>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</si>
  <si>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</si>
  <si>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</si>
  <si>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</si>
  <si>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</si>
  <si>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</si>
  <si>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</si>
  <si>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</si>
  <si>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</si>
  <si>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</si>
  <si>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</si>
  <si>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</si>
  <si>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</si>
  <si>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</si>
  <si>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</si>
  <si>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</si>
  <si>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</si>
  <si>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</si>
  <si>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</si>
  <si>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</si>
  <si>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</si>
  <si>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</si>
  <si>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</si>
  <si>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</si>
  <si>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</si>
  <si>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</si>
  <si>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</si>
  <si>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</si>
  <si>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</si>
  <si>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</si>
  <si>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</si>
  <si>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</si>
  <si>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</si>
  <si>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</si>
  <si>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</si>
  <si>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</si>
  <si>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</si>
  <si>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</si>
  <si>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</si>
  <si>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</si>
  <si>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</si>
  <si>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</si>
  <si>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</si>
  <si>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</si>
  <si>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</si>
  <si>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</si>
  <si>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</si>
  <si>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</si>
  <si>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</si>
  <si>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</si>
  <si>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</si>
  <si>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</si>
  <si>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</si>
  <si>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</si>
  <si>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</si>
  <si>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</si>
  <si>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</si>
  <si>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</si>
  <si>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</si>
  <si>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</si>
  <si>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</si>
  <si>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</si>
  <si>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</si>
  <si>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</si>
  <si>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</si>
  <si>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</si>
  <si>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</si>
  <si>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</si>
  <si>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</si>
  <si>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</si>
  <si>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</si>
  <si>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</si>
  <si>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</si>
  <si>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</si>
  <si>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</si>
  <si>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</si>
  <si>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</si>
  <si>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</si>
  <si>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</si>
  <si>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</si>
  <si>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</si>
  <si>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</si>
  <si>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</si>
  <si>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</si>
  <si>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</si>
  <si>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</si>
  <si>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</si>
  <si>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</si>
  <si>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</si>
  <si>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</si>
  <si>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</si>
  <si>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</si>
  <si>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</si>
  <si>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</si>
  <si>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</si>
  <si>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</si>
  <si>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</si>
  <si>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</si>
  <si>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</si>
  <si>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</si>
  <si>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</si>
  <si>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</si>
  <si>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</si>
  <si>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</si>
  <si>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</si>
  <si>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</si>
  <si>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</si>
  <si>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</si>
  <si>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</si>
  <si>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</si>
  <si>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</si>
  <si>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</si>
  <si>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</si>
  <si>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</si>
  <si>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</si>
  <si>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</si>
  <si>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</si>
  <si>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</si>
  <si>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</si>
  <si>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</si>
  <si>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</si>
  <si>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</si>
  <si>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</si>
  <si>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</si>
  <si>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</si>
  <si>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</si>
  <si>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</si>
  <si>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</si>
  <si>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</si>
  <si>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</si>
  <si>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</si>
  <si>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</si>
  <si>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</si>
  <si>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</si>
  <si>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</si>
  <si>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</si>
  <si>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</si>
  <si>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</si>
  <si>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</si>
  <si>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</si>
  <si>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</si>
  <si>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</si>
  <si>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</si>
  <si>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</si>
  <si>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</si>
  <si>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</si>
  <si>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</si>
  <si>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</si>
  <si>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</si>
  <si>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</si>
  <si>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</si>
  <si>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</si>
  <si>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</si>
  <si>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</si>
  <si>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</si>
  <si>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</si>
  <si>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</si>
  <si>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</si>
  <si>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</si>
  <si>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</si>
  <si>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</si>
  <si>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</si>
  <si>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</si>
  <si>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</si>
  <si>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</si>
  <si>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</si>
  <si>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</si>
  <si>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</si>
  <si>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</si>
  <si>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</si>
  <si>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</si>
  <si>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</si>
  <si>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</si>
  <si>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</si>
  <si>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</si>
  <si>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</si>
  <si>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</si>
  <si>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</si>
  <si>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</si>
  <si>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</si>
  <si>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</si>
  <si>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</si>
  <si>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</si>
  <si>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</si>
  <si>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</si>
  <si>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</si>
  <si>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</si>
  <si>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</si>
  <si>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</si>
  <si>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</si>
  <si>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</si>
  <si>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</si>
  <si>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</si>
  <si>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</si>
  <si>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</si>
  <si>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</si>
  <si>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</si>
  <si>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</si>
  <si>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</si>
  <si>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</si>
  <si>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</si>
  <si>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</si>
  <si>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</si>
  <si>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</si>
  <si>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</si>
  <si>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</si>
  <si>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</si>
  <si>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</si>
  <si>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</si>
  <si>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</si>
  <si>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</si>
  <si>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</si>
  <si>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</si>
  <si>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</si>
  <si>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</si>
  <si>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</si>
  <si>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</si>
  <si>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</si>
  <si>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</si>
  <si>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</si>
  <si>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</si>
  <si>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</si>
  <si>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</si>
  <si>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</si>
  <si>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</si>
  <si>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</si>
  <si>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</si>
  <si>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</si>
  <si>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</si>
  <si>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</si>
  <si>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</si>
  <si>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</si>
  <si>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</si>
  <si>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</si>
  <si>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</si>
  <si>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</si>
  <si>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</si>
  <si>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</si>
  <si>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</si>
  <si>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</si>
  <si>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</si>
  <si>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</si>
  <si>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</si>
  <si>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</si>
  <si>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</si>
  <si>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</si>
  <si>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</si>
  <si>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</si>
  <si>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</si>
  <si>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</si>
  <si>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</si>
  <si>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</si>
  <si>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</si>
  <si>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</si>
  <si>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</si>
  <si>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</si>
  <si>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</si>
  <si>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</si>
  <si>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</si>
  <si>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</si>
  <si>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</si>
  <si>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</si>
  <si>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</si>
  <si>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</si>
  <si>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</si>
  <si>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</si>
  <si>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</si>
  <si>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</si>
  <si>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</si>
  <si>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</si>
  <si>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</si>
  <si>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</si>
  <si>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</si>
  <si>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</si>
  <si>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</si>
  <si>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</si>
  <si>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</si>
  <si>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</si>
  <si>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</si>
  <si>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</si>
  <si>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</si>
  <si>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</si>
  <si>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</si>
  <si>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</si>
  <si>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</si>
  <si>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</si>
  <si>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</si>
  <si>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</si>
  <si>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</si>
  <si>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</si>
  <si>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</si>
  <si>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</si>
  <si>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</si>
  <si>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</si>
  <si>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</si>
  <si>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</si>
  <si>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</si>
  <si>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</si>
  <si>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</si>
  <si>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</si>
  <si>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</si>
  <si>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</si>
  <si>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</si>
  <si>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</si>
  <si>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</si>
  <si>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</si>
  <si>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</si>
  <si>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</si>
  <si>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</si>
  <si>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</si>
  <si>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</si>
  <si>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</si>
  <si>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</si>
  <si>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</si>
  <si>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</si>
  <si>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</si>
  <si>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</si>
  <si>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</si>
  <si>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</si>
  <si>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</si>
  <si>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</si>
  <si>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</si>
  <si>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</si>
  <si>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</si>
  <si>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</si>
  <si>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</si>
  <si>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</si>
  <si>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</si>
  <si>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</si>
  <si>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</si>
  <si>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</si>
  <si>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</si>
  <si>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</si>
  <si>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</si>
  <si>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</si>
  <si>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</si>
  <si>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</si>
  <si>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</si>
  <si>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</si>
  <si>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</si>
  <si>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</si>
  <si>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</si>
  <si>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</si>
  <si>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</si>
  <si>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</si>
  <si>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</si>
  <si>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</si>
  <si>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</si>
  <si>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</si>
  <si>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</si>
  <si>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</si>
  <si>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</si>
  <si>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</si>
  <si>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</si>
  <si>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</si>
  <si>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</si>
  <si>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</si>
  <si>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</si>
  <si>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</si>
  <si>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</si>
  <si>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</si>
  <si>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</si>
  <si>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</si>
  <si>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</si>
  <si>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</si>
  <si>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</si>
  <si>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</si>
  <si>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</si>
  <si>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</si>
  <si>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</si>
  <si>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</si>
  <si>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</si>
  <si>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</si>
  <si>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</si>
  <si>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maiz DK 69-62 TRE</t>
  </si>
  <si>
    <t xml:space="preserve">semilla comprada maíz </t>
  </si>
  <si>
    <t>Maíz</t>
  </si>
  <si>
    <t>bolsa</t>
  </si>
  <si>
    <t>MOV-374</t>
  </si>
  <si>
    <t>semilla maiz DK 72-10 RR2C5 refugio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</si>
  <si>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</si>
  <si>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</si>
  <si>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</si>
  <si>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</si>
  <si>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</si>
  <si>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</si>
  <si>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</si>
  <si>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</si>
  <si>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</si>
  <si>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</si>
  <si>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</si>
  <si>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</si>
  <si>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</si>
  <si>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</si>
  <si>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</si>
  <si>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</si>
  <si>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</si>
  <si>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</si>
  <si>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</si>
  <si>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</si>
  <si>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</si>
  <si>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</si>
  <si>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alcohol láurico etixolado 32.7 %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</si>
  <si>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</si>
  <si>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</si>
  <si>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</si>
  <si>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</si>
  <si>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</si>
  <si>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</si>
  <si>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</si>
  <si>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</si>
  <si>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</si>
  <si>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</si>
  <si>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</si>
  <si>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</si>
  <si>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</si>
  <si>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</si>
  <si>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</si>
  <si>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</si>
  <si>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</si>
  <si>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</si>
  <si>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</si>
  <si>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</si>
  <si>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</si>
  <si>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</si>
  <si>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</si>
  <si>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</si>
  <si>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</si>
  <si>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</si>
  <si>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</si>
  <si>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</si>
  <si>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</si>
  <si>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</si>
  <si>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</si>
  <si>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</si>
  <si>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</si>
  <si>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</si>
  <si>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</si>
  <si>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</si>
  <si>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</si>
  <si>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</si>
  <si>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</si>
  <si>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</si>
  <si>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</si>
  <si>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</si>
  <si>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</si>
  <si>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</si>
  <si>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</si>
  <si>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</si>
  <si>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</si>
  <si>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</si>
  <si>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</si>
  <si>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</si>
  <si>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</si>
  <si>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</si>
  <si>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</si>
  <si>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</si>
  <si>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</si>
  <si>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</si>
  <si>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</si>
  <si>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</si>
  <si>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</si>
  <si>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</si>
  <si>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</si>
  <si>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</si>
  <si>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</si>
  <si>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</si>
  <si>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</si>
  <si>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</si>
  <si>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</si>
  <si>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</si>
  <si>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</si>
  <si>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</si>
  <si>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</si>
  <si>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</si>
  <si>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</si>
  <si>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</si>
  <si>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</si>
  <si>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</si>
  <si>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</si>
  <si>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</si>
  <si>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</si>
  <si>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</si>
  <si>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</si>
  <si>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</si>
  <si>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</si>
  <si>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</si>
  <si>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</si>
  <si>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</si>
  <si>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</si>
  <si>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</si>
  <si>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</si>
  <si>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</si>
  <si>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</si>
  <si>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</si>
  <si>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</si>
  <si>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</si>
  <si>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</si>
  <si>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</si>
  <si>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</si>
  <si>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</si>
  <si>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</si>
  <si>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</si>
  <si>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</si>
  <si>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</si>
  <si>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</si>
  <si>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</si>
  <si>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</si>
  <si>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</si>
  <si>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</si>
  <si>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</si>
  <si>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</si>
  <si>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</si>
  <si>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</si>
  <si>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</si>
  <si>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</si>
  <si>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</si>
  <si>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</si>
  <si>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</si>
  <si>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</si>
  <si>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</si>
  <si>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</si>
  <si>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</si>
  <si>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</si>
  <si>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</si>
  <si>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</si>
  <si>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</si>
  <si>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</si>
  <si>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</si>
  <si>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</si>
  <si>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</si>
  <si>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</si>
  <si>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</si>
  <si>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</si>
  <si>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</si>
  <si>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</si>
  <si>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</si>
  <si>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</si>
  <si>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260827-472</t>
  </si>
  <si>
    <t>MOV-495</t>
  </si>
  <si>
    <t>MOV-496</t>
  </si>
  <si>
    <t>MOV-497</t>
  </si>
  <si>
    <t>260801-489</t>
  </si>
  <si>
    <t>MOV-498</t>
  </si>
  <si>
    <t>260706-343</t>
  </si>
  <si>
    <t>MOV-499</t>
  </si>
  <si>
    <t>MOV-500</t>
  </si>
  <si>
    <t>MOV-501</t>
  </si>
  <si>
    <t>MOV-502</t>
  </si>
  <si>
    <t>MOV-503</t>
  </si>
  <si>
    <t>MOV-504</t>
  </si>
  <si>
    <t>260821-481</t>
  </si>
  <si>
    <t>MOV-505</t>
  </si>
  <si>
    <t>260821-482</t>
  </si>
  <si>
    <t>MOV-506</t>
  </si>
  <si>
    <t>260821-480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</si>
  <si>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</si>
  <si>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</si>
  <si>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</si>
  <si>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</si>
  <si>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</si>
  <si>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</si>
  <si>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</si>
  <si>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</si>
  <si>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</si>
  <si>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</si>
  <si>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</si>
  <si>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260617-373</t>
  </si>
  <si>
    <t>MOV-518</t>
  </si>
  <si>
    <t>260617-374</t>
  </si>
  <si>
    <t>MOV-519</t>
  </si>
  <si>
    <t>MOV-520</t>
  </si>
  <si>
    <t>MOV-521</t>
  </si>
  <si>
    <t>MOV-522</t>
  </si>
  <si>
    <t>260826-484</t>
  </si>
  <si>
    <t>MOV-523</t>
  </si>
  <si>
    <t>MOV-524</t>
  </si>
  <si>
    <t>MOV-525</t>
  </si>
  <si>
    <t>MOV-526</t>
  </si>
  <si>
    <t>MOV-527</t>
  </si>
  <si>
    <t>MOV-528</t>
  </si>
  <si>
    <t>260730-399</t>
  </si>
  <si>
    <t>MOV-529</t>
  </si>
  <si>
    <t xml:space="preserve">maiz Nk 825 vip3cl </t>
  </si>
  <si>
    <t>MOV-530</t>
  </si>
  <si>
    <t xml:space="preserve">Maiz Nk 800 tgcl refugio </t>
  </si>
  <si>
    <t>260903-531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</si>
  <si>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</si>
  <si>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</si>
  <si>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</si>
  <si>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</si>
  <si>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</si>
  <si>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</si>
  <si>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</si>
  <si>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</si>
  <si>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</si>
  <si>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</si>
  <si>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</si>
  <si>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</si>
  <si>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260902-487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</si>
  <si>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</si>
  <si>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</si>
  <si>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</si>
  <si>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</si>
  <si>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</si>
  <si>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</si>
  <si>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</si>
  <si>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</si>
  <si>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</si>
  <si>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</si>
  <si>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</si>
  <si>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</si>
  <si>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</si>
  <si>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</si>
  <si>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</si>
  <si>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</si>
  <si>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</si>
  <si>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</si>
  <si>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</si>
  <si>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</si>
  <si>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</si>
  <si>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</si>
  <si>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</si>
  <si>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</si>
  <si>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</si>
  <si>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</si>
  <si>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</si>
  <si>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</si>
  <si>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</si>
  <si>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</si>
  <si>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</si>
  <si>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</si>
  <si>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</si>
  <si>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</si>
  <si>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</si>
  <si>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</si>
  <si>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</si>
  <si>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</si>
  <si>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</si>
  <si>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</si>
  <si>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</si>
  <si>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</si>
  <si>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</si>
  <si>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</si>
  <si>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</si>
  <si>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</si>
  <si>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</si>
  <si>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</si>
  <si>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</si>
  <si>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</si>
  <si>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</si>
  <si>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</si>
  <si>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</si>
  <si>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</si>
  <si>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</si>
  <si>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maiz dk 7447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</si>
  <si>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</si>
  <si>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</si>
  <si>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</si>
  <si>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</si>
  <si>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</si>
  <si>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</si>
  <si>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</si>
  <si>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</si>
  <si>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</si>
  <si>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MOV-608</t>
  </si>
  <si>
    <t>MOV-609</t>
  </si>
  <si>
    <t>MOV-610</t>
  </si>
  <si>
    <t>MOV-611</t>
  </si>
  <si>
    <t>MOV-612</t>
  </si>
  <si>
    <t>MOV-613</t>
  </si>
  <si>
    <t>MOV-614</t>
  </si>
  <si>
    <t>MOV-616</t>
  </si>
  <si>
    <t>MOV-617</t>
  </si>
  <si>
    <t>MOV-618</t>
  </si>
  <si>
    <t>MOV-619</t>
  </si>
  <si>
    <t>MOV-620</t>
  </si>
  <si>
    <t>MOV-621</t>
  </si>
  <si>
    <t>swing plus</t>
  </si>
  <si>
    <t>epoxiconazol 37.5g/l metconazol 27.5g/l</t>
  </si>
  <si>
    <t>MOV-622</t>
  </si>
  <si>
    <t>MOV-623</t>
  </si>
  <si>
    <t>MOV-624</t>
  </si>
  <si>
    <t>260727-380</t>
  </si>
  <si>
    <t>MOV-625</t>
  </si>
  <si>
    <t>yesca</t>
  </si>
  <si>
    <t>Dibromuro de diquat</t>
  </si>
  <si>
    <t>MOV-626</t>
  </si>
  <si>
    <t>Miravis triple pack</t>
  </si>
  <si>
    <t>Adepidyn 75 g/l — Solatenol 50 g/l — Propiconazole 250 g/l</t>
  </si>
  <si>
    <t>MOV-627</t>
  </si>
  <si>
    <t>MOV-628</t>
  </si>
  <si>
    <t>260917-627</t>
  </si>
  <si>
    <t>MOV-629</t>
  </si>
  <si>
    <t>MOV-630</t>
  </si>
  <si>
    <t>refugio dk 72-72 RR2</t>
  </si>
  <si>
    <t>refugio Dk 72-72 RR2</t>
  </si>
  <si>
    <t>MOV-631</t>
  </si>
  <si>
    <t>260915-625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</si>
  <si>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</si>
  <si>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</si>
  <si>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</si>
  <si>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</si>
  <si>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</si>
  <si>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</si>
  <si>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</si>
  <si>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</si>
  <si>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</si>
  <si>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</si>
  <si>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</si>
  <si>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260617-375</t>
  </si>
  <si>
    <t>MOV-643</t>
  </si>
  <si>
    <t>MOV-644</t>
  </si>
  <si>
    <t>MOV-645</t>
  </si>
  <si>
    <t>260917-626</t>
  </si>
  <si>
    <t>MOV-646</t>
  </si>
  <si>
    <t>260910-622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</si>
  <si>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</si>
  <si>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</si>
  <si>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</si>
  <si>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</si>
  <si>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</si>
  <si>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</si>
  <si>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</si>
  <si>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</si>
  <si>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260918-630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</si>
  <si>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</si>
  <si>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</si>
  <si>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</si>
  <si>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</si>
  <si>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</si>
  <si>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</si>
  <si>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</si>
  <si>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</si>
  <si>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</si>
  <si>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semilla comprada maiz P 2123 Pwue</t>
  </si>
  <si>
    <t>maiz p2123 paioner</t>
  </si>
  <si>
    <t>MOV-664</t>
  </si>
  <si>
    <t>260914-621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</si>
  <si>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</si>
  <si>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</si>
  <si>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</si>
  <si>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</si>
  <si>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</si>
  <si>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</si>
  <si>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</si>
  <si>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</si>
  <si>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</si>
  <si>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</si>
  <si>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</si>
  <si>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</si>
  <si>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</si>
  <si>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</si>
  <si>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</si>
  <si>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</si>
  <si>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</si>
  <si>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</si>
  <si>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</si>
  <si>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</si>
  <si>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</si>
  <si>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</si>
  <si>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</si>
  <si>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</si>
  <si>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260801-488</t>
  </si>
  <si>
    <t>MOV-689</t>
  </si>
  <si>
    <t>MOV-690</t>
  </si>
  <si>
    <t>MOV-691</t>
  </si>
  <si>
    <t>MOV-692</t>
  </si>
  <si>
    <t xml:space="preserve">Santa graciana </t>
  </si>
  <si>
    <t>MOV-693</t>
  </si>
  <si>
    <t>MOV-694</t>
  </si>
  <si>
    <t>MOV-695</t>
  </si>
  <si>
    <t>MOV-696</t>
  </si>
  <si>
    <t>MOV-697</t>
  </si>
  <si>
    <t>MOV-698</t>
  </si>
  <si>
    <t xml:space="preserve">Sauquat super </t>
  </si>
  <si>
    <t>Dicloruro de paraquat 276 g/l + paraquat 200 g/l SL</t>
  </si>
  <si>
    <t>saudu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</si>
  <si>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</si>
  <si>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</si>
  <si>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</si>
  <si>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</si>
  <si>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</si>
  <si>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</si>
  <si>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</si>
  <si>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</si>
  <si>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</si>
  <si>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Perdida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</si>
  <si>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</si>
  <si>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</si>
  <si>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</si>
  <si>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</si>
  <si>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</si>
  <si>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</si>
  <si>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</si>
  <si>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</si>
  <si>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</si>
  <si>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</si>
  <si>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</si>
  <si>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 xml:space="preserve">Sorgo forrajero </t>
  </si>
  <si>
    <t xml:space="preserve">ADV 2800 (C+BIO) X20KG </t>
  </si>
  <si>
    <t>Sorgo</t>
  </si>
  <si>
    <t>MOV-719</t>
  </si>
  <si>
    <t xml:space="preserve">ADV F2850 FOTO BMR IG CURADO </t>
  </si>
  <si>
    <t>MOV-720</t>
  </si>
  <si>
    <t xml:space="preserve">Semar </t>
  </si>
  <si>
    <t>Imazapir + Imazapic SEMAR WG</t>
  </si>
  <si>
    <t>MOV-721</t>
  </si>
  <si>
    <t>MOV-722</t>
  </si>
  <si>
    <t>MOV-723</t>
  </si>
  <si>
    <t>MOV-724</t>
  </si>
  <si>
    <t>261006-718</t>
  </si>
  <si>
    <t>MOV-725</t>
  </si>
  <si>
    <t>MOV-726</t>
  </si>
  <si>
    <t>MOV-727</t>
  </si>
  <si>
    <t>MOV-728</t>
  </si>
  <si>
    <t>MOV-729</t>
  </si>
  <si>
    <t>MOV-730</t>
  </si>
  <si>
    <t>MOV-731</t>
  </si>
  <si>
    <t>pack</t>
  </si>
  <si>
    <t>MOV-732</t>
  </si>
  <si>
    <t>MOV-733</t>
  </si>
  <si>
    <t>MOV-734</t>
  </si>
  <si>
    <t>261006-719</t>
  </si>
  <si>
    <t>Nicolas Amaro</t>
  </si>
  <si>
    <t>MOV-735</t>
  </si>
  <si>
    <t>Martin Fagundez</t>
  </si>
  <si>
    <t>MOV-736</t>
  </si>
  <si>
    <t>261006-720</t>
  </si>
  <si>
    <t>MOV-737</t>
  </si>
  <si>
    <t>MOV-738</t>
  </si>
  <si>
    <t>MOV-739</t>
  </si>
  <si>
    <t>MOV-740</t>
  </si>
  <si>
    <t>MOV-741</t>
  </si>
  <si>
    <t>Angel Marquez</t>
  </si>
  <si>
    <t>MOV-742</t>
  </si>
  <si>
    <t>MOV-743</t>
  </si>
  <si>
    <t>MOV-744</t>
  </si>
  <si>
    <t>MOV-745</t>
  </si>
  <si>
    <t xml:space="preserve">irvix full </t>
  </si>
  <si>
    <t>Haloxifop-P-metil | 540g/L</t>
  </si>
  <si>
    <t>MOV-746</t>
  </si>
  <si>
    <t>MOV-747</t>
  </si>
  <si>
    <t>260928-698</t>
  </si>
  <si>
    <t>Richard de Agrisat</t>
  </si>
  <si>
    <t>MOV-748</t>
  </si>
  <si>
    <t>MOV-749</t>
  </si>
  <si>
    <t>MOV-750</t>
  </si>
  <si>
    <t>MOV-751</t>
  </si>
  <si>
    <t>MOV-752</t>
  </si>
  <si>
    <t xml:space="preserve">Fabricio Leiva </t>
  </si>
  <si>
    <t>MOV-753</t>
  </si>
  <si>
    <t>MOV-754</t>
  </si>
  <si>
    <t>MOV-755</t>
  </si>
  <si>
    <t>MOV-756</t>
  </si>
  <si>
    <t>anibal</t>
  </si>
  <si>
    <t>MOV-757</t>
  </si>
  <si>
    <t>MOV-758</t>
  </si>
  <si>
    <t>MOV-759</t>
  </si>
  <si>
    <t>MOV-760</t>
  </si>
  <si>
    <t>MOV-761</t>
  </si>
  <si>
    <t>MOV-762</t>
  </si>
  <si>
    <t>Martin fagundez</t>
  </si>
  <si>
    <t>MOV-763</t>
  </si>
  <si>
    <t>valentin tianil</t>
  </si>
  <si>
    <t>MOV-764</t>
  </si>
  <si>
    <t>MOV-765</t>
  </si>
  <si>
    <t>MOV-766</t>
  </si>
  <si>
    <t>MOV-767</t>
  </si>
  <si>
    <t xml:space="preserve">esteban </t>
  </si>
  <si>
    <t>MOV-768</t>
  </si>
  <si>
    <t xml:space="preserve">bravo 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</si>
  <si>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</si>
  <si>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</si>
  <si>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</si>
  <si>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</si>
  <si>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</si>
  <si>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</si>
  <si>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</si>
  <si>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</si>
  <si>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</si>
  <si>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</si>
  <si>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</si>
  <si>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</si>
  <si>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</si>
  <si>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</si>
  <si>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</si>
  <si>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</si>
  <si>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</si>
  <si>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</si>
  <si>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</si>
  <si>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</si>
  <si>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</si>
  <si>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</si>
  <si>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</si>
  <si>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</si>
  <si>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</si>
  <si>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</si>
  <si>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</si>
  <si>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</si>
  <si>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</si>
  <si>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</si>
  <si>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</si>
  <si>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</si>
  <si>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</si>
  <si>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</si>
  <si>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</si>
  <si>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</si>
  <si>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</si>
  <si>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</si>
  <si>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</si>
  <si>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</si>
  <si>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</si>
  <si>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</si>
  <si>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</si>
  <si>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</si>
  <si>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</si>
  <si>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</si>
  <si>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</si>
  <si>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</si>
  <si>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</si>
  <si>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</si>
  <si>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</si>
  <si>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</si>
  <si>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</si>
  <si>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</si>
  <si>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</si>
  <si>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</si>
  <si>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</si>
  <si>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</si>
  <si>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</si>
  <si>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</si>
  <si>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</si>
  <si>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</si>
  <si>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</si>
  <si>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</si>
  <si>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</si>
  <si>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</si>
  <si>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</si>
  <si>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</si>
  <si>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</si>
  <si>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</si>
  <si>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</si>
  <si>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</si>
  <si>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</si>
  <si>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</si>
  <si>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</si>
  <si>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</si>
  <si>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</si>
  <si>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</si>
  <si>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</si>
  <si>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</si>
  <si>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</si>
  <si>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</si>
  <si>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</si>
  <si>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</si>
  <si>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</si>
  <si>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</si>
  <si>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</si>
  <si>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</si>
  <si>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</si>
  <si>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</si>
  <si>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</si>
  <si>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</si>
  <si>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</si>
  <si>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</si>
  <si>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</si>
  <si>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</si>
  <si>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</si>
  <si>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</si>
  <si>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</si>
  <si>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</si>
  <si>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</si>
  <si>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</si>
  <si>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</si>
  <si>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</si>
  <si>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</si>
  <si>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</si>
  <si>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</si>
  <si>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</si>
  <si>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</si>
  <si>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</si>
  <si>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</si>
  <si>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</si>
  <si>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</si>
  <si>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</si>
  <si>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</si>
  <si>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</si>
  <si>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</si>
  <si>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</si>
  <si>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</si>
  <si>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</si>
  <si>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</si>
  <si>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</si>
  <si>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</si>
  <si>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</si>
  <si>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</si>
  <si>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</si>
  <si>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</si>
  <si>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</si>
  <si>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</si>
  <si>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</si>
  <si>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</si>
  <si>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</si>
  <si>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</si>
  <si>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</si>
  <si>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</si>
  <si>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</si>
  <si>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</si>
  <si>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</si>
  <si>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</si>
  <si>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</si>
  <si>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</si>
  <si>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</si>
  <si>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</si>
  <si>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</si>
  <si>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</si>
  <si>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</si>
  <si>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</si>
  <si>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</si>
  <si>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</si>
  <si>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</si>
  <si>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</si>
  <si>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</si>
  <si>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</si>
  <si>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</si>
  <si>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</si>
  <si>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</si>
  <si>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</si>
  <si>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</si>
  <si>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</si>
  <si>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</si>
  <si>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</si>
  <si>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</si>
  <si>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</si>
  <si>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</si>
  <si>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</si>
  <si>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</si>
  <si>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</si>
  <si>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</si>
  <si>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</si>
  <si>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</si>
  <si>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</si>
  <si>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</si>
  <si>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</si>
  <si>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</si>
  <si>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</si>
  <si>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</si>
  <si>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</si>
  <si>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</si>
  <si>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</si>
  <si>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</si>
  <si>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</si>
  <si>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</si>
  <si>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</si>
  <si>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</si>
  <si>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</si>
  <si>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</si>
  <si>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</si>
  <si>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</si>
  <si>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</si>
  <si>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</si>
  <si>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</si>
  <si>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</si>
  <si>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</si>
  <si>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</si>
  <si>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</si>
  <si>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</si>
  <si>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</si>
  <si>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</si>
  <si>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</si>
  <si>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</si>
  <si>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</si>
  <si>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</si>
  <si>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</si>
  <si>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</si>
  <si>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</si>
  <si>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</si>
  <si>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</si>
  <si>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</si>
  <si>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</si>
  <si>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</si>
  <si>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</si>
  <si>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</si>
  <si>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</si>
  <si>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</si>
  <si>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</si>
  <si>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</si>
  <si>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</si>
  <si>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</si>
  <si>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</si>
  <si>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</si>
  <si>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</si>
  <si>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</si>
  <si>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</si>
  <si>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</si>
  <si>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</si>
  <si>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</si>
  <si>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</si>
  <si>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</si>
  <si>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</si>
  <si>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</si>
  <si>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</si>
  <si>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</si>
  <si>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</si>
  <si>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</si>
  <si>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</si>
  <si>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</si>
  <si>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</si>
  <si>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</si>
  <si>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</si>
  <si>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</si>
  <si>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</si>
  <si>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</si>
  <si>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</si>
  <si>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</si>
  <si>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</si>
  <si>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</si>
  <si>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</si>
  <si>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</si>
  <si>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</si>
  <si>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</si>
  <si>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</si>
  <si>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</si>
  <si>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</si>
  <si>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</si>
  <si>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</si>
  <si>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</si>
  <si>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</si>
  <si>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</si>
  <si>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</si>
  <si>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</si>
  <si>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</si>
  <si>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</si>
  <si>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</si>
  <si>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</si>
  <si>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</si>
  <si>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</si>
  <si>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</si>
  <si>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</si>
  <si>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</si>
  <si>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</si>
  <si>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</si>
  <si>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</si>
  <si>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</si>
  <si>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</si>
  <si>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</si>
  <si>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</si>
  <si>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</si>
  <si>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</si>
  <si>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</si>
  <si>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</si>
  <si>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</si>
  <si>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</si>
  <si>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</si>
  <si>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</si>
  <si>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</si>
  <si>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</si>
  <si>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</si>
  <si>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</si>
  <si>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</si>
  <si>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</si>
  <si>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</si>
  <si>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</si>
  <si>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</si>
  <si>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</si>
  <si>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</si>
  <si>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</si>
  <si>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</si>
  <si>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</si>
  <si>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</si>
  <si>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</si>
  <si>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</si>
  <si>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</si>
  <si>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</si>
  <si>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</si>
  <si>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</si>
  <si>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</si>
  <si>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</si>
  <si>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</si>
  <si>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</si>
  <si>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</si>
  <si>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</si>
  <si>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</si>
  <si>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</si>
  <si>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</si>
  <si>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</si>
  <si>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</si>
  <si>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</si>
  <si>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</si>
  <si>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</si>
  <si>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</si>
  <si>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</si>
  <si>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</si>
  <si>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</si>
  <si>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</si>
  <si>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</si>
  <si>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</si>
  <si>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</si>
  <si>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</si>
  <si>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</si>
  <si>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</si>
  <si>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</si>
  <si>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</si>
  <si>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</si>
  <si>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</si>
  <si>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</si>
  <si>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</si>
  <si>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</si>
  <si>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</si>
  <si>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</si>
  <si>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</si>
  <si>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</si>
  <si>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</si>
  <si>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</si>
  <si>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</si>
  <si>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</si>
  <si>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</si>
  <si>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</si>
  <si>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</si>
  <si>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</si>
  <si>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</si>
  <si>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</si>
  <si>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</si>
  <si>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</si>
  <si>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</si>
  <si>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</si>
  <si>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</si>
  <si>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</si>
  <si>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</si>
  <si>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</si>
  <si>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</si>
  <si>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</si>
  <si>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</si>
  <si>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</si>
  <si>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</si>
  <si>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</si>
  <si>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</si>
  <si>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</si>
  <si>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</si>
  <si>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</si>
  <si>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</si>
  <si>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</si>
  <si>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</si>
  <si>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</si>
  <si>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</si>
  <si>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</si>
  <si>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</si>
  <si>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</si>
  <si>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</si>
  <si>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</si>
  <si>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</si>
  <si>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</si>
  <si>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</si>
  <si>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</si>
  <si>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</si>
  <si>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</si>
  <si>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</si>
  <si>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</si>
  <si>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</si>
  <si>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</si>
  <si>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</si>
  <si>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</si>
  <si>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</si>
  <si>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</si>
  <si>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</si>
  <si>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</si>
  <si>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</si>
  <si>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</si>
  <si>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</si>
  <si>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</si>
  <si>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</si>
  <si>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</si>
  <si>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</si>
  <si>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</si>
  <si>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</si>
  <si>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</si>
  <si>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</si>
  <si>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</si>
  <si>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</si>
  <si>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</si>
  <si>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</si>
  <si>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</si>
  <si>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</si>
  <si>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</si>
  <si>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</si>
  <si>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</si>
  <si>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</si>
  <si>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</si>
  <si>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</si>
  <si>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</si>
  <si>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</si>
  <si>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</si>
  <si>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</si>
  <si>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</si>
  <si>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</si>
  <si>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</si>
  <si>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</si>
  <si>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</si>
  <si>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</si>
  <si>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</si>
  <si>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</si>
  <si>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</si>
  <si>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</si>
  <si>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</si>
  <si>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</si>
  <si>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</si>
  <si>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</si>
  <si>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</si>
  <si>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</si>
  <si>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</si>
  <si>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</si>
  <si>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</si>
  <si>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</si>
  <si>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</si>
  <si>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</si>
  <si>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</si>
  <si>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</si>
  <si>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</si>
  <si>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</si>
  <si>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</si>
  <si>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</si>
  <si>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</si>
  <si>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</si>
  <si>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</si>
  <si>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</si>
  <si>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</si>
  <si>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</si>
  <si>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</si>
  <si>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</si>
  <si>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</si>
  <si>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</si>
  <si>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</si>
  <si>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</si>
  <si>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</si>
  <si>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</si>
  <si>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</si>
  <si>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</si>
  <si>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</si>
  <si>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</si>
  <si>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</si>
  <si>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</si>
  <si>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</si>
  <si>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</si>
  <si>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</si>
  <si>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</si>
  <si>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</si>
  <si>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</si>
  <si>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</si>
  <si>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</si>
  <si>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</si>
  <si>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</si>
  <si>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</si>
  <si>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</si>
  <si>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</si>
  <si>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</si>
  <si>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</si>
  <si>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</si>
  <si>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</si>
  <si>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</si>
  <si>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</si>
  <si>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</si>
  <si>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</si>
  <si>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</si>
  <si>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</si>
  <si>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</si>
  <si>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</si>
  <si>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</si>
  <si>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</si>
  <si>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</si>
  <si>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</si>
  <si>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</si>
  <si>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</si>
  <si>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</si>
  <si>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</si>
  <si>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</si>
  <si>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</si>
  <si>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</si>
  <si>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</si>
  <si>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</si>
  <si>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</si>
  <si>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</si>
  <si>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</si>
  <si>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</si>
  <si>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</si>
  <si>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</si>
  <si>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</si>
  <si>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</si>
  <si>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</si>
  <si>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</si>
  <si>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</si>
  <si>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</si>
  <si>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</si>
  <si>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</si>
  <si>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</si>
  <si>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</si>
  <si>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</si>
  <si>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</si>
  <si>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</si>
  <si>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</si>
  <si>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</si>
  <si>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</si>
  <si>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</si>
  <si>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</si>
  <si>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</si>
  <si>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</si>
  <si>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</si>
  <si>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</si>
  <si>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</si>
  <si>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</si>
  <si>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</si>
  <si>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</si>
  <si>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</si>
  <si>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</si>
  <si>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</si>
  <si>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</si>
  <si>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</si>
  <si>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</si>
  <si>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</si>
  <si>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</si>
  <si>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</si>
  <si>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</si>
  <si>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</si>
  <si>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</si>
  <si>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</si>
  <si>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</si>
  <si>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</si>
  <si>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</si>
  <si>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</si>
  <si>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</si>
  <si>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</si>
  <si>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</si>
  <si>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</si>
  <si>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</si>
  <si>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</si>
  <si>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</si>
  <si>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</si>
  <si>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</si>
  <si>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</si>
  <si>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</si>
  <si>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</si>
  <si>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</si>
  <si>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</si>
  <si>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</si>
  <si>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</si>
  <si>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</si>
  <si>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</si>
  <si>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</si>
  <si>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</si>
  <si>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</si>
  <si>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</si>
  <si>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</si>
  <si>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</si>
  <si>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</si>
  <si>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</si>
  <si>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</si>
  <si>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</si>
  <si>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</si>
  <si>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</si>
  <si>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</si>
  <si>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</si>
  <si>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</si>
  <si>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</si>
  <si>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</si>
  <si>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</si>
  <si>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</si>
  <si>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</si>
  <si>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</si>
  <si>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</si>
  <si>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</si>
  <si>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</si>
  <si>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</si>
  <si>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</si>
  <si>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</si>
  <si>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</si>
  <si>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</si>
  <si>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</si>
  <si>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</si>
  <si>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</si>
  <si>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</si>
  <si>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</si>
  <si>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</si>
  <si>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</si>
  <si>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</si>
  <si>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</si>
  <si>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</si>
  <si>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</si>
  <si>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</si>
  <si>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</si>
  <si>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</si>
  <si>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</si>
  <si>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</si>
  <si>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</si>
  <si>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</si>
  <si>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</si>
  <si>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</si>
  <si>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</si>
  <si>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</si>
  <si>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</si>
  <si>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</si>
  <si>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</si>
  <si>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</si>
  <si>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</si>
  <si>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</si>
  <si>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</si>
  <si>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</si>
  <si>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</si>
  <si>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</si>
  <si>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</si>
  <si>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</si>
  <si>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</si>
  <si>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</si>
  <si>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</si>
  <si>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</si>
  <si>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</si>
  <si>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</si>
  <si>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</si>
  <si>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</si>
  <si>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</si>
  <si>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</si>
  <si>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</si>
  <si>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</si>
  <si>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</si>
  <si>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</si>
  <si>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</si>
  <si>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</si>
  <si>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</si>
  <si>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</si>
  <si>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</si>
  <si>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</si>
  <si>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</si>
  <si>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</si>
  <si>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</si>
  <si>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</si>
  <si>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</si>
  <si>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</si>
  <si>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</si>
  <si>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</si>
  <si>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</si>
  <si>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</si>
  <si>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</si>
  <si>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</si>
  <si>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</si>
  <si>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</si>
  <si>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</si>
  <si>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</si>
  <si>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</si>
  <si>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</si>
  <si>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</si>
  <si>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</si>
  <si>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</si>
  <si>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</si>
  <si>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</si>
  <si>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</si>
  <si>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</si>
  <si>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</si>
  <si>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</si>
  <si>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</si>
  <si>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</si>
  <si>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</si>
  <si>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</si>
  <si>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</si>
  <si>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</si>
  <si>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</si>
  <si>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</si>
  <si>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</si>
  <si>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</si>
  <si>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</si>
  <si>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</si>
  <si>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</si>
  <si>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</si>
  <si>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</si>
  <si>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</si>
  <si>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</si>
  <si>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</si>
  <si>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</si>
  <si>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</si>
  <si>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</si>
  <si>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</si>
  <si>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</si>
  <si>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</si>
  <si>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</si>
  <si>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</si>
  <si>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</si>
  <si>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</si>
  <si>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</si>
  <si>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</si>
  <si>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</si>
  <si>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</si>
  <si>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</si>
  <si>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</si>
  <si>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</si>
  <si>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</si>
  <si>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</si>
  <si>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</si>
  <si>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</si>
  <si>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</si>
  <si>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</si>
  <si>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</si>
  <si>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</si>
  <si>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</si>
  <si>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</si>
  <si>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</si>
  <si>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</si>
  <si>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</si>
  <si>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</si>
  <si>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</si>
  <si>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</si>
  <si>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</si>
  <si>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</si>
  <si>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</si>
  <si>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</si>
  <si>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</si>
  <si>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</si>
  <si>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</si>
  <si>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</si>
  <si>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</si>
  <si>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</si>
  <si>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</si>
  <si>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</si>
  <si>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</si>
  <si>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</si>
  <si>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</si>
  <si>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</si>
  <si>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</si>
  <si>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</si>
  <si>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</si>
  <si>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</si>
  <si>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</si>
  <si>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</si>
  <si>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</si>
  <si>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</si>
  <si>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</si>
  <si>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</si>
  <si>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</si>
  <si>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</si>
  <si>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</si>
  <si>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</si>
  <si>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</si>
  <si>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</si>
  <si>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</si>
  <si>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</si>
  <si>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</si>
  <si>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</si>
  <si>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</si>
  <si>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</si>
  <si>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</si>
  <si>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</si>
  <si>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</si>
  <si>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</si>
  <si>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</si>
  <si>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</si>
  <si>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</si>
  <si>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</si>
  <si>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</si>
  <si>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</si>
  <si>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</si>
  <si>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</si>
  <si>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</si>
  <si>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</si>
  <si>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</si>
  <si>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</si>
  <si>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</si>
  <si>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</si>
  <si>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</si>
  <si>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</si>
  <si>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</si>
  <si>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</si>
  <si>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</si>
  <si>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</si>
  <si>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</si>
  <si>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</si>
  <si>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</si>
  <si>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</si>
  <si>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</si>
  <si>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</si>
  <si>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</si>
  <si>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</si>
  <si>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</si>
  <si>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</si>
  <si>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</si>
  <si>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</si>
  <si>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</si>
  <si>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</si>
  <si>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</si>
  <si>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</si>
  <si>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</si>
  <si>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</si>
  <si>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</si>
  <si>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</si>
  <si>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</si>
  <si>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</si>
  <si>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</si>
  <si>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</si>
  <si>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</si>
  <si>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</si>
  <si>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</si>
  <si>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</si>
  <si>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</si>
  <si>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</si>
  <si>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</si>
  <si>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</si>
  <si>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</si>
  <si>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</si>
  <si>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</si>
  <si>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</si>
  <si>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</si>
  <si>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</si>
  <si>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</si>
  <si>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</si>
  <si>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</si>
  <si>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</si>
  <si>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</si>
  <si>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</si>
  <si>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</si>
  <si>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</si>
  <si>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</si>
  <si>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</si>
  <si>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</si>
  <si>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</si>
  <si>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</si>
  <si>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</si>
  <si>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</si>
  <si>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</si>
  <si>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</si>
  <si>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</si>
  <si>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</si>
  <si>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</si>
  <si>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</si>
  <si>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</si>
  <si>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</si>
  <si>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</si>
  <si>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</si>
  <si>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</si>
  <si>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</si>
  <si>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</si>
  <si>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</si>
  <si>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</si>
  <si>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</si>
  <si>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</si>
  <si>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</si>
  <si>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</si>
  <si>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</si>
  <si>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</si>
  <si>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</si>
  <si>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</si>
  <si>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</si>
  <si>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</si>
  <si>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</si>
  <si>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</si>
  <si>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</si>
  <si>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</si>
  <si>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</si>
  <si>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</si>
  <si>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</si>
  <si>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</si>
  <si>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</si>
  <si>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</si>
  <si>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</si>
  <si>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</si>
  <si>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</si>
  <si>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</si>
  <si>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</si>
  <si>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</si>
  <si>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</si>
  <si>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</si>
  <si>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</si>
  <si>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</si>
  <si>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</si>
  <si>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</si>
  <si>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</si>
  <si>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</si>
  <si>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</si>
  <si>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</si>
  <si>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</si>
  <si>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</si>
  <si>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</si>
  <si>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</si>
  <si>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</si>
  <si>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</si>
  <si>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</si>
  <si>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</si>
  <si>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</si>
  <si>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</si>
  <si>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</si>
  <si>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</si>
  <si>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</si>
  <si>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</si>
  <si>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</si>
  <si>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</si>
  <si>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</si>
  <si>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</si>
  <si>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</si>
  <si>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</si>
  <si>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</si>
  <si>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</si>
  <si>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</si>
  <si>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</si>
  <si>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</si>
  <si>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</si>
  <si>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</si>
  <si>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</si>
  <si>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</si>
  <si>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</si>
  <si>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</si>
  <si>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</si>
  <si>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</si>
  <si>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</si>
  <si>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</si>
  <si>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</si>
  <si>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</si>
  <si>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</si>
  <si>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</si>
  <si>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</si>
  <si>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</si>
  <si>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</si>
  <si>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</si>
  <si>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</si>
  <si>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</si>
  <si>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</si>
  <si>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</si>
  <si>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</si>
  <si>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</si>
  <si>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</si>
  <si>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</si>
  <si>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</si>
  <si>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</si>
  <si>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</si>
  <si>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</si>
  <si>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</si>
  <si>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</si>
  <si>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</si>
  <si>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</si>
  <si>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</si>
  <si>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</si>
  <si>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</si>
  <si>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</si>
  <si>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</si>
  <si>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</si>
  <si>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</si>
  <si>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</si>
  <si>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</si>
  <si>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</si>
  <si>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</si>
  <si>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</si>
  <si>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</si>
  <si>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</si>
  <si>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</si>
  <si>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</si>
  <si>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</si>
  <si>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</si>
  <si>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</si>
  <si>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</si>
  <si>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</si>
  <si>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</si>
  <si>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</si>
  <si>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</si>
  <si>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</si>
  <si>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</si>
  <si>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</si>
  <si>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</si>
  <si>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</si>
  <si>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</si>
  <si>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</si>
  <si>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</si>
  <si>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</si>
  <si>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</si>
  <si>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</si>
  <si>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</si>
  <si>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</si>
  <si>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</si>
  <si>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</si>
  <si>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</si>
  <si>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</si>
  <si>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</si>
  <si>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</si>
  <si>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</si>
  <si>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</si>
  <si>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</si>
  <si>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</si>
  <si>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</si>
  <si>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</si>
  <si>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</si>
  <si>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</si>
  <si>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</si>
  <si>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</si>
  <si>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</si>
  <si>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</si>
  <si>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</si>
  <si>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</si>
  <si>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</si>
  <si>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</si>
  <si>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</si>
  <si>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</si>
  <si>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</si>
  <si>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</si>
  <si>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</si>
  <si>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</si>
  <si>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</si>
  <si>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</si>
  <si>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</si>
  <si>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</si>
  <si>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</si>
  <si>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</si>
  <si>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</si>
  <si>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</si>
  <si>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</si>
  <si>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</si>
  <si>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</si>
  <si>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</si>
  <si>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</si>
  <si>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</si>
  <si>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</si>
  <si>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</si>
  <si>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</si>
  <si>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</si>
  <si>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</si>
  <si>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</si>
  <si>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</si>
  <si>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</si>
  <si>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</si>
  <si>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</si>
  <si>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</si>
  <si>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</si>
  <si>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</si>
  <si>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</si>
  <si>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</si>
  <si>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</si>
  <si>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</si>
  <si>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</si>
  <si>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</si>
  <si>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</si>
  <si>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</si>
  <si>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</si>
  <si>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</si>
  <si>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</si>
  <si>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</si>
  <si>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</si>
  <si>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</si>
  <si>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</si>
  <si>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</si>
  <si>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</si>
  <si>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</si>
  <si>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</si>
  <si>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</si>
  <si>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</si>
  <si>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</si>
  <si>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</si>
  <si>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</si>
  <si>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</si>
  <si>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</si>
  <si>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</si>
  <si>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</si>
  <si>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</si>
  <si>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</si>
  <si>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</si>
  <si>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</si>
  <si>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</si>
  <si>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</si>
  <si>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</si>
  <si>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</si>
  <si>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</si>
  <si>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</si>
  <si>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</si>
  <si>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</si>
  <si>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</si>
  <si>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</si>
  <si>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</si>
  <si>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</si>
  <si>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</si>
  <si>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</si>
  <si>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</si>
  <si>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</si>
  <si>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</si>
  <si>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</si>
  <si>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</si>
  <si>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</si>
  <si>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</si>
  <si>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</si>
  <si>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</si>
  <si>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</si>
  <si>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</si>
  <si>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</si>
  <si>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</si>
  <si>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</si>
  <si>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</si>
  <si>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</si>
  <si>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</si>
  <si>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</si>
  <si>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</si>
  <si>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</si>
  <si>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</si>
  <si>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</si>
  <si>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</si>
  <si>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</si>
  <si>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</si>
  <si>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</si>
  <si>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</si>
  <si>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</si>
  <si>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</si>
  <si>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</si>
  <si>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</si>
  <si>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</si>
  <si>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</si>
  <si>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</si>
  <si>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</si>
  <si>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</si>
  <si>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</si>
  <si>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</si>
  <si>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</si>
  <si>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</si>
  <si>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</si>
  <si>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</si>
  <si>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</si>
  <si>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</si>
  <si>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</si>
  <si>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</si>
  <si>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</si>
  <si>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</si>
  <si>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</si>
  <si>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</si>
  <si>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</si>
  <si>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</si>
  <si>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</si>
  <si>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</si>
  <si>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</si>
  <si>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</si>
  <si>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</si>
  <si>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</si>
  <si>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</si>
  <si>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</si>
  <si>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</si>
  <si>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</si>
  <si>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</si>
  <si>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</si>
  <si>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</si>
  <si>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</si>
  <si>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</si>
  <si>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</si>
  <si>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</si>
  <si>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</si>
  <si>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</si>
  <si>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</si>
  <si>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</si>
  <si>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</si>
  <si>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</si>
  <si>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</si>
  <si>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</si>
  <si>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</si>
  <si>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</si>
  <si>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</si>
  <si>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</si>
  <si>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</si>
  <si>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</si>
  <si>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</si>
  <si>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</si>
  <si>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</si>
  <si>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</si>
  <si>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</si>
  <si>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</si>
  <si>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</si>
  <si>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</si>
  <si>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</si>
  <si>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</si>
  <si>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</si>
  <si>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</si>
  <si>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</si>
  <si>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</si>
  <si>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</si>
  <si>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</si>
  <si>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</si>
  <si>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</si>
  <si>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</si>
  <si>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</si>
  <si>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</si>
  <si>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</si>
  <si>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</si>
  <si>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</si>
  <si>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</si>
  <si>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</si>
  <si>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</si>
  <si>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</si>
  <si>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</si>
  <si>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</si>
  <si>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</si>
  <si>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</si>
  <si>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</si>
  <si>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</si>
  <si>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</si>
  <si>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</si>
  <si>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</si>
  <si>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</si>
  <si>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</si>
  <si>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</si>
  <si>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</si>
  <si>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</si>
  <si>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</si>
  <si>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</si>
  <si>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</si>
  <si>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</si>
  <si>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</si>
  <si>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</si>
  <si>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</si>
  <si>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</si>
  <si>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</si>
  <si>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</si>
  <si>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</si>
  <si>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</si>
  <si>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</si>
  <si>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Paraquat</t>
  </si>
  <si>
    <t>Maiz Nk 800 tgcl refugio</t>
  </si>
  <si>
    <t>Sauquat super</t>
  </si>
  <si>
    <t>maiz Nk 825 vip3cl</t>
  </si>
  <si>
    <t>refugio semilla maiz illinois</t>
  </si>
  <si>
    <t>semilla comprada maiz illinois 7.24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</si>
  <si>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</si>
  <si>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</si>
  <si>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</si>
  <si>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</si>
  <si>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</si>
  <si>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</si>
  <si>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</si>
  <si>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</si>
  <si>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</si>
  <si>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</si>
  <si>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260831-483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</si>
  <si>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</si>
  <si>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</si>
  <si>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</si>
  <si>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</si>
  <si>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</si>
  <si>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</si>
  <si>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</si>
  <si>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</si>
  <si>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</si>
  <si>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</si>
  <si>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</si>
  <si>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</si>
  <si>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</si>
  <si>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</si>
  <si>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</si>
  <si>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</si>
  <si>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</si>
  <si>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</si>
  <si>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</si>
  <si>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</si>
  <si>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</si>
  <si>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</si>
  <si>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</si>
  <si>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</si>
  <si>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</si>
  <si>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</si>
  <si>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</si>
  <si>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</si>
  <si>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</si>
  <si>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</si>
  <si>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</si>
  <si>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</si>
  <si>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</si>
  <si>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</si>
  <si>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</si>
  <si>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</si>
  <si>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</si>
  <si>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</si>
  <si>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</si>
  <si>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</si>
  <si>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</si>
  <si>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</si>
  <si>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</si>
  <si>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</si>
  <si>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</si>
  <si>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</si>
  <si>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</si>
  <si>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</si>
  <si>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</si>
  <si>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</si>
  <si>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</si>
  <si>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</si>
  <si>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</si>
  <si>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</si>
  <si>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</si>
  <si>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</si>
  <si>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</si>
  <si>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</si>
  <si>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</si>
  <si>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</si>
  <si>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</si>
  <si>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</si>
  <si>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</si>
  <si>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</si>
  <si>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</si>
  <si>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</si>
  <si>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</si>
  <si>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</si>
  <si>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</si>
  <si>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</si>
  <si>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</si>
  <si>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</si>
  <si>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</si>
  <si>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</si>
  <si>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</si>
  <si>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</si>
  <si>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</si>
  <si>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</si>
  <si>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</si>
  <si>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</si>
  <si>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</si>
  <si>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</si>
  <si>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</si>
  <si>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</si>
  <si>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</si>
  <si>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</si>
  <si>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</si>
  <si>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</si>
  <si>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</si>
  <si>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</si>
  <si>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</si>
  <si>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</si>
  <si>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</si>
  <si>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</si>
  <si>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</si>
  <si>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</si>
  <si>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</si>
  <si>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</si>
  <si>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</si>
  <si>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</si>
  <si>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</si>
  <si>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</si>
  <si>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</si>
  <si>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</si>
  <si>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</si>
  <si>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</si>
  <si>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</si>
  <si>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</si>
  <si>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</si>
  <si>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</si>
  <si>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</si>
  <si>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</si>
  <si>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</si>
  <si>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</si>
  <si>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</si>
  <si>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</si>
  <si>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</si>
  <si>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</si>
  <si>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</si>
  <si>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</si>
  <si>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</si>
  <si>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</si>
  <si>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</si>
  <si>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</si>
  <si>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</si>
  <si>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</si>
  <si>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</si>
  <si>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</si>
  <si>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</si>
  <si>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</si>
  <si>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</si>
  <si>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</si>
  <si>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</si>
  <si>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</si>
  <si>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</si>
  <si>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</si>
  <si>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</si>
  <si>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</si>
  <si>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</si>
  <si>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</si>
  <si>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</si>
  <si>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</si>
  <si>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</si>
  <si>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</si>
  <si>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</si>
  <si>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</si>
  <si>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</si>
  <si>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</si>
  <si>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</si>
  <si>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</si>
  <si>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</si>
  <si>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</si>
  <si>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</si>
  <si>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</si>
  <si>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</si>
  <si>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</si>
  <si>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</si>
  <si>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</si>
  <si>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</si>
  <si>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</si>
  <si>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</si>
  <si>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</si>
  <si>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</si>
  <si>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</si>
  <si>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</si>
  <si>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</si>
  <si>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</si>
  <si>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</si>
  <si>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</si>
  <si>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</si>
  <si>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</si>
  <si>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</si>
  <si>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</si>
  <si>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</si>
  <si>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</si>
  <si>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</si>
  <si>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</si>
  <si>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</si>
  <si>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</si>
  <si>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</si>
  <si>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</si>
  <si>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</si>
  <si>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</si>
  <si>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</si>
  <si>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</si>
  <si>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</si>
  <si>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</si>
  <si>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</si>
  <si>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</si>
  <si>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</si>
  <si>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</si>
  <si>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</si>
  <si>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</si>
  <si>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</si>
  <si>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</si>
  <si>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</si>
  <si>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</si>
  <si>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</si>
  <si>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</si>
  <si>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</si>
  <si>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</si>
  <si>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</si>
  <si>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</si>
  <si>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</si>
  <si>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</si>
  <si>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</si>
  <si>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</si>
  <si>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</si>
  <si>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</si>
  <si>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</si>
  <si>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</si>
  <si>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</si>
  <si>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</si>
  <si>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</si>
  <si>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</si>
  <si>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</si>
  <si>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</si>
  <si>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</si>
  <si>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</si>
  <si>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</si>
  <si>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</si>
  <si>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</si>
  <si>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</si>
  <si>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</si>
  <si>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</si>
  <si>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</si>
  <si>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</si>
  <si>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</si>
  <si>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</si>
  <si>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</si>
  <si>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</si>
  <si>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</si>
  <si>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</si>
  <si>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</si>
  <si>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</si>
  <si>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</si>
  <si>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</si>
  <si>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</si>
  <si>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</si>
  <si>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</si>
  <si>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</si>
  <si>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</si>
  <si>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</si>
  <si>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</si>
  <si>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</si>
  <si>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</si>
  <si>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</si>
  <si>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</si>
  <si>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</si>
  <si>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</si>
  <si>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</si>
  <si>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</si>
  <si>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</si>
  <si>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</si>
  <si>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</si>
  <si>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</si>
  <si>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</si>
  <si>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</si>
  <si>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</si>
  <si>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</si>
  <si>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</si>
  <si>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</si>
  <si>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</si>
  <si>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</si>
  <si>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</si>
  <si>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</si>
  <si>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</si>
  <si>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</si>
  <si>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</si>
  <si>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</si>
  <si>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</si>
  <si>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</si>
  <si>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</si>
  <si>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</si>
  <si>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</si>
  <si>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</si>
  <si>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</si>
  <si>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</si>
  <si>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</si>
  <si>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</si>
  <si>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</si>
  <si>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</si>
  <si>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</si>
  <si>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</si>
  <si>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</si>
  <si>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</si>
  <si>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</si>
  <si>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</si>
  <si>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</si>
  <si>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</si>
  <si>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</si>
  <si>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</si>
  <si>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</si>
  <si>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</si>
  <si>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</si>
  <si>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</si>
  <si>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</si>
  <si>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</si>
  <si>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</si>
  <si>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</si>
  <si>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</si>
  <si>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</si>
  <si>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</si>
  <si>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</si>
  <si>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</si>
  <si>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</si>
  <si>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</si>
  <si>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</si>
  <si>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</si>
  <si>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</si>
  <si>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</si>
  <si>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</si>
  <si>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</si>
  <si>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</si>
  <si>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</si>
  <si>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</si>
  <si>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</si>
  <si>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</si>
  <si>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</si>
  <si>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</si>
  <si>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</si>
  <si>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</si>
  <si>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</si>
  <si>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</si>
  <si>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</si>
  <si>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</si>
  <si>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</si>
  <si>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</si>
  <si>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</si>
  <si>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</si>
  <si>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</si>
  <si>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</si>
  <si>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</si>
  <si>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</si>
  <si>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</si>
  <si>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</si>
  <si>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</si>
  <si>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</si>
  <si>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</si>
  <si>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</si>
  <si>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</si>
  <si>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</si>
  <si>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</si>
  <si>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</si>
  <si>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</si>
  <si>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</si>
  <si>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</si>
  <si>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</si>
  <si>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</si>
  <si>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</si>
  <si>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</si>
  <si>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</si>
  <si>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</si>
  <si>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</si>
  <si>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</si>
  <si>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</si>
  <si>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</si>
  <si>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</si>
  <si>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</si>
  <si>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</si>
  <si>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</si>
  <si>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</si>
  <si>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</si>
  <si>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</si>
  <si>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</si>
  <si>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</si>
  <si>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</si>
  <si>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</si>
  <si>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</si>
  <si>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</si>
  <si>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</si>
  <si>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</si>
  <si>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</si>
  <si>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</si>
  <si>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</si>
  <si>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</si>
  <si>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</si>
  <si>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</si>
  <si>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</si>
  <si>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</si>
  <si>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</si>
  <si>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</si>
  <si>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</si>
  <si>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</si>
  <si>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</si>
  <si>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</si>
  <si>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</si>
  <si>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</si>
  <si>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</si>
  <si>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</si>
  <si>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</si>
  <si>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</si>
  <si>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</si>
  <si>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</si>
  <si>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</si>
  <si>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</si>
  <si>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</si>
  <si>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</si>
  <si>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</si>
  <si>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</si>
  <si>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</si>
  <si>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</si>
  <si>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</si>
  <si>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</si>
  <si>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</si>
  <si>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</si>
  <si>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</si>
  <si>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</si>
  <si>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</si>
  <si>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</si>
  <si>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</si>
  <si>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</si>
  <si>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</si>
  <si>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</si>
  <si>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</si>
  <si>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</si>
  <si>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</si>
  <si>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</si>
  <si>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</si>
  <si>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</si>
  <si>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</si>
  <si>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</si>
  <si>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</si>
  <si>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</si>
  <si>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</si>
  <si>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</si>
  <si>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</si>
  <si>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</si>
  <si>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</si>
  <si>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</si>
  <si>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</si>
  <si>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</si>
  <si>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</si>
  <si>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</si>
  <si>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</si>
  <si>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</si>
  <si>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</si>
  <si>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</si>
  <si>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</si>
  <si>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</si>
  <si>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</si>
  <si>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</si>
  <si>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</si>
  <si>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</si>
  <si>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</si>
  <si>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</si>
  <si>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</si>
  <si>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</si>
  <si>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</si>
  <si>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</si>
  <si>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</si>
  <si>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</si>
  <si>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</si>
  <si>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</si>
  <si>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</si>
  <si>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</si>
  <si>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</si>
  <si>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</si>
  <si>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</si>
  <si>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</si>
  <si>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</si>
  <si>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</si>
  <si>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</si>
  <si>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</si>
  <si>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</si>
  <si>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</si>
  <si>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</si>
  <si>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</si>
  <si>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</si>
  <si>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</si>
  <si>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</si>
  <si>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</si>
  <si>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</si>
  <si>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</si>
  <si>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</si>
  <si>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</si>
  <si>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</si>
  <si>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</si>
  <si>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</si>
  <si>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</si>
  <si>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</si>
  <si>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</si>
  <si>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</si>
  <si>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</si>
  <si>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</si>
  <si>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</si>
  <si>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</si>
  <si>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</si>
  <si>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</si>
  <si>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</si>
  <si>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</si>
  <si>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</si>
  <si>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</si>
  <si>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</si>
  <si>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</si>
  <si>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</si>
  <si>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</si>
  <si>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</si>
  <si>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</si>
  <si>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</si>
  <si>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</si>
  <si>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</si>
  <si>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</si>
  <si>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</si>
  <si>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</si>
  <si>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</si>
  <si>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</si>
  <si>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</si>
  <si>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</si>
  <si>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</si>
  <si>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</si>
  <si>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</si>
  <si>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</si>
  <si>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</si>
  <si>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</si>
  <si>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</si>
  <si>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</si>
  <si>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</si>
  <si>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</si>
  <si>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</si>
  <si>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</si>
  <si>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</si>
  <si>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</si>
  <si>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</si>
  <si>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</si>
  <si>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</si>
  <si>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</si>
  <si>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</si>
  <si>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</si>
  <si>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</si>
  <si>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</si>
  <si>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</si>
  <si>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</si>
  <si>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</si>
  <si>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</si>
  <si>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</si>
  <si>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</si>
  <si>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</si>
  <si>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</si>
  <si>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</si>
  <si>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</si>
  <si>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</si>
  <si>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</si>
  <si>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</si>
  <si>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</si>
  <si>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</si>
  <si>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</si>
  <si>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</si>
  <si>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</si>
  <si>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</si>
  <si>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</si>
  <si>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</si>
  <si>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</si>
  <si>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</si>
  <si>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</si>
  <si>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</si>
  <si>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</si>
  <si>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</si>
  <si>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</si>
  <si>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</si>
  <si>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</si>
  <si>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</si>
  <si>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</si>
  <si>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</si>
  <si>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</si>
  <si>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</si>
  <si>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</si>
  <si>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</si>
  <si>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</si>
  <si>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</si>
  <si>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</si>
  <si>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</si>
  <si>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</si>
  <si>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</si>
  <si>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</si>
  <si>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</si>
  <si>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</si>
  <si>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</si>
  <si>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</si>
  <si>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</si>
  <si>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</si>
  <si>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</si>
  <si>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</si>
  <si>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</si>
  <si>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</si>
  <si>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</si>
  <si>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</si>
  <si>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</si>
  <si>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</si>
  <si>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</si>
  <si>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</si>
  <si>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</si>
  <si>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</si>
  <si>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</si>
  <si>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</si>
  <si>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</si>
  <si>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</si>
  <si>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</si>
  <si>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</si>
  <si>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</si>
  <si>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</si>
  <si>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</si>
  <si>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</si>
  <si>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</si>
  <si>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</si>
  <si>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</si>
  <si>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</si>
  <si>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</si>
  <si>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</si>
  <si>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</si>
  <si>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</si>
  <si>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</si>
  <si>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</si>
  <si>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</si>
  <si>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</si>
  <si>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</si>
  <si>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</si>
  <si>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</si>
  <si>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</si>
  <si>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</si>
  <si>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</si>
  <si>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</si>
  <si>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</si>
  <si>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</si>
  <si>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</si>
  <si>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</si>
  <si>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</si>
  <si>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</si>
  <si>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</si>
  <si>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</si>
  <si>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</si>
  <si>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</si>
  <si>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</si>
  <si>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</si>
  <si>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</si>
  <si>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</si>
  <si>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</si>
  <si>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</si>
  <si>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</si>
  <si>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</si>
  <si>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</si>
  <si>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</si>
  <si>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</si>
  <si>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</si>
  <si>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</si>
  <si>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</si>
  <si>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</si>
  <si>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</si>
  <si>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</si>
  <si>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</si>
  <si>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</si>
  <si>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</si>
  <si>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</si>
  <si>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</si>
  <si>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</si>
  <si>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</si>
  <si>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</si>
  <si>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</si>
  <si>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</si>
  <si>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</si>
  <si>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</si>
  <si>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</si>
  <si>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</si>
  <si>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</si>
  <si>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</si>
  <si>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</si>
  <si>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</si>
  <si>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</si>
  <si>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</si>
  <si>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</si>
  <si>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</si>
  <si>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</si>
  <si>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</si>
  <si>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</si>
  <si>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</si>
  <si>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</si>
  <si>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</si>
  <si>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</si>
  <si>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</si>
  <si>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</si>
  <si>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</si>
  <si>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</si>
  <si>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</si>
  <si>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</si>
  <si>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</si>
  <si>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</si>
  <si>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</si>
  <si>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</si>
  <si>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</si>
  <si>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</si>
  <si>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</si>
  <si>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</si>
  <si>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</si>
  <si>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</si>
  <si>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</si>
  <si>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</si>
  <si>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</si>
  <si>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</si>
  <si>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</si>
  <si>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</si>
  <si>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</si>
  <si>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</si>
  <si>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</si>
  <si>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</si>
  <si>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</si>
  <si>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</si>
  <si>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</si>
  <si>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</si>
  <si>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</si>
  <si>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</si>
  <si>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</si>
  <si>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</si>
  <si>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</si>
  <si>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</si>
  <si>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</si>
  <si>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</si>
  <si>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</si>
  <si>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</si>
  <si>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</si>
  <si>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</si>
  <si>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</si>
  <si>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</si>
  <si>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</si>
  <si>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</si>
  <si>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</si>
  <si>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</si>
  <si>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</si>
  <si>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</si>
  <si>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</si>
  <si>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</si>
  <si>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</si>
  <si>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</si>
  <si>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</si>
  <si>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</si>
  <si>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</si>
  <si>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</si>
  <si>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</si>
  <si>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</si>
  <si>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</si>
  <si>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</si>
  <si>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</si>
  <si>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</si>
  <si>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</si>
  <si>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</si>
  <si>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</si>
  <si>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</si>
  <si>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</si>
  <si>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</si>
  <si>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</si>
  <si>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</si>
  <si>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</si>
  <si>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</si>
  <si>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</si>
  <si>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</si>
  <si>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</si>
  <si>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</si>
  <si>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</si>
  <si>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</si>
  <si>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</si>
  <si>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</si>
  <si>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</si>
  <si>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</si>
  <si>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</si>
  <si>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</si>
  <si>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</si>
  <si>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</si>
  <si>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</si>
  <si>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</si>
  <si>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</si>
  <si>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</si>
  <si>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</si>
  <si>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</si>
  <si>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</si>
  <si>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</si>
  <si>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</si>
  <si>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</si>
  <si>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</si>
  <si>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</si>
  <si>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</si>
  <si>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</si>
  <si>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</si>
  <si>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</si>
  <si>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</si>
  <si>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</si>
  <si>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</si>
  <si>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</si>
  <si>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</si>
  <si>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</si>
  <si>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</si>
  <si>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</si>
  <si>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</si>
  <si>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</si>
  <si>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</si>
  <si>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</si>
  <si>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</si>
  <si>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</si>
  <si>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</si>
  <si>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</si>
  <si>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</si>
  <si>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</si>
  <si>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</si>
  <si>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</si>
  <si>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</si>
  <si>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</si>
  <si>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</si>
  <si>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</si>
  <si>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</si>
  <si>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</si>
  <si>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</si>
  <si>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</si>
  <si>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</si>
  <si>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</si>
  <si>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</si>
  <si>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</si>
  <si>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</si>
  <si>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</si>
  <si>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</si>
  <si>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</si>
  <si>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</si>
  <si>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</si>
  <si>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</si>
  <si>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</si>
  <si>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</si>
  <si>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</si>
  <si>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</si>
  <si>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</si>
  <si>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</si>
  <si>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</si>
  <si>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</si>
  <si>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</si>
  <si>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</si>
  <si>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</si>
  <si>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</si>
  <si>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</si>
  <si>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</si>
  <si>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</si>
  <si>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</si>
  <si>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</si>
  <si>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</si>
  <si>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</si>
  <si>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</si>
  <si>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</si>
  <si>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</si>
  <si>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</si>
  <si>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</si>
  <si>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</si>
  <si>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</si>
  <si>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</si>
  <si>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</si>
  <si>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</si>
  <si>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</si>
  <si>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</si>
  <si>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</si>
  <si>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</si>
  <si>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</si>
  <si>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</si>
  <si>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</si>
  <si>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</si>
  <si>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</si>
  <si>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</si>
  <si>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</si>
  <si>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</si>
  <si>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</si>
  <si>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</si>
  <si>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</si>
  <si>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</si>
  <si>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</si>
  <si>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</si>
  <si>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</si>
  <si>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</si>
  <si>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</si>
  <si>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</si>
  <si>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</si>
  <si>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</si>
  <si>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</si>
  <si>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</si>
  <si>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</si>
  <si>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</si>
  <si>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</si>
  <si>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</si>
  <si>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</si>
  <si>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</si>
  <si>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</si>
  <si>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</si>
  <si>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</si>
  <si>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</si>
  <si>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</si>
  <si>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</si>
  <si>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</si>
  <si>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</si>
  <si>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</si>
  <si>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</si>
  <si>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</si>
  <si>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</si>
  <si>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</si>
  <si>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</si>
  <si>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</si>
  <si>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</si>
  <si>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</si>
  <si>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</si>
  <si>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</si>
  <si>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</si>
  <si>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</si>
  <si>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</si>
  <si>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</si>
  <si>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</si>
  <si>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</si>
  <si>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</si>
  <si>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</si>
  <si>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</si>
  <si>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</si>
  <si>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</si>
  <si>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</si>
  <si>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</si>
  <si>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</si>
  <si>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</si>
  <si>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</si>
  <si>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</si>
  <si>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</si>
  <si>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</si>
  <si>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</si>
  <si>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</si>
  <si>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</si>
  <si>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</si>
  <si>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</si>
  <si>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</si>
  <si>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</si>
  <si>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</si>
  <si>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</si>
  <si>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</si>
  <si>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</si>
  <si>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</si>
  <si>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</si>
  <si>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</si>
  <si>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</si>
  <si>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</si>
  <si>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</si>
  <si>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</si>
  <si>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</si>
  <si>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</si>
  <si>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</si>
  <si>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</si>
  <si>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</si>
  <si>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 xml:space="preserve">semilla comprada maiz </t>
  </si>
  <si>
    <t xml:space="preserve">yesca </t>
  </si>
  <si>
    <r>
      <t>Haloxifop-P-metil</t>
    </r>
    <r>
      <rPr>
        <sz val="12"/>
        <color rgb="FF3DAF29"/>
        <rFont val="AvenirLight"/>
        <charset val="1"/>
      </rPr>
      <t xml:space="preserve"> | 540g/L</t>
    </r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</si>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</sst>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  <font>
      <sz val="12"/>
      <color rgb="FF3DAF29"/>
      <name val="AvenirLight"/>
      <charset val="1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right" vertical="center"/>
    </xf>
    <xf numFmtId="0" fontId="0" fillId="12" borderId="5" xfId="0" applyFill="1" applyBorder="1"/>
    <xf numFmtId="0" fontId="0" fillId="10" borderId="5" xfId="0" applyFill="1" applyBorder="1"/>
  </cellXfs>
  <cellStyles count="1">
    <cellStyle name="Normal" xfId="0" builtinId="0"/>
  </cellStyles>
  <dxfs count="2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V11997" totalsRowShown="0">
  <autoFilter ref="A1:V11997" xr:uid="{AB419160-9C2F-4406-84A3-963E72448A76}">
    <filterColumn colId="2">
      <filters>
        <filter val="Sorgo forrajero"/>
      </filters>
    </filterColumn>
  </autoFilter>
  <sortState xmlns:xlrd2="http://schemas.microsoft.com/office/spreadsheetml/2017/richdata2" ref="A2:U11993">
    <sortCondition ref="B2:B11993"/>
  </sortState>
  <tableColumns count="22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4">
      <calculatedColumnFormula>IF(C2="","",UPPER(LEFT(SUBSTITUTE(C2," ",""),3))&amp;"-"&amp;TEXT(B2,"AAMMDD")&amp;"-1")</calculatedColumnFormula>
    </tableColumn>
    <tableColumn id="21" xr3:uid="{8F548C6F-637B-4FE8-801A-5552B50EE69F}" name="Ubicación"/>
    <tableColumn id="22" xr3:uid="{E5C3F6C0-16BE-4BB5-8B49-6D0BC05A6F72}" name="Retira 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V11997"/>
  <sheetViews>
    <sheetView showGridLines="0" tabSelected="1" topLeftCell="A738" workbookViewId="0">
      <selection activeCell="F767" sqref="F767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8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6.7109375" customWidth="1"/>
    <col min="22" max="22" width="15.7109375" customWidth="1"/>
  </cols>
  <sheetData>
    <row r="1" spans="1:22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  <c r="V1" s="18" t="s">
        <v>21</v>
      </c>
    </row>
    <row r="2" spans="1:22" hidden="1">
      <c r="A2" s="20" t="s">
        <v>22</v>
      </c>
      <c r="B2" s="21">
        <v>46105</v>
      </c>
      <c r="C2" s="20" t="s">
        <v>23</v>
      </c>
      <c r="D2" s="20" t="s">
        <v>24</v>
      </c>
      <c r="E2" s="20" t="s">
        <v>25</v>
      </c>
      <c r="F2" s="20" t="s">
        <v>26</v>
      </c>
      <c r="G2" s="20" t="s">
        <v>27</v>
      </c>
      <c r="H2" s="20" t="str">
        <f>+T2</f>
        <v>260324-001</v>
      </c>
      <c r="I2" s="20" t="s">
        <v>28</v>
      </c>
      <c r="J2" s="28">
        <v>3400</v>
      </c>
      <c r="K2" s="22">
        <f>IF(I2="","",IF(I2="ENTRADA",ABS(J2),-ABS(J2)))</f>
        <v>3400</v>
      </c>
      <c r="L2" s="20" t="s">
        <v>29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30</v>
      </c>
    </row>
    <row r="3" spans="1:22" hidden="1">
      <c r="A3" s="20" t="s">
        <v>31</v>
      </c>
      <c r="B3" s="21">
        <v>46113</v>
      </c>
      <c r="C3" s="20" t="s">
        <v>32</v>
      </c>
      <c r="D3" s="20" t="s">
        <v>33</v>
      </c>
      <c r="E3" s="20" t="s">
        <v>34</v>
      </c>
      <c r="F3" s="20" t="s">
        <v>35</v>
      </c>
      <c r="G3" s="20" t="s">
        <v>36</v>
      </c>
      <c r="H3" s="20" t="str">
        <f>+T3</f>
        <v>260401-002</v>
      </c>
      <c r="I3" s="20" t="s">
        <v>28</v>
      </c>
      <c r="J3" s="28">
        <v>700</v>
      </c>
      <c r="K3" s="22">
        <f>IF(I3="","",IF(I3="ENTRADA",ABS(J3),-ABS(J3)))</f>
        <v>700</v>
      </c>
      <c r="L3" s="20" t="s">
        <v>37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38</v>
      </c>
    </row>
    <row r="4" spans="1:22" hidden="1">
      <c r="A4" s="20" t="s">
        <v>39</v>
      </c>
      <c r="B4" s="21">
        <v>46113</v>
      </c>
      <c r="C4" s="20" t="s">
        <v>40</v>
      </c>
      <c r="D4" s="20" t="s">
        <v>41</v>
      </c>
      <c r="E4" s="20" t="s">
        <v>34</v>
      </c>
      <c r="F4" s="20" t="s">
        <v>35</v>
      </c>
      <c r="G4" s="20" t="s">
        <v>36</v>
      </c>
      <c r="H4" s="20" t="str">
        <f>+T4</f>
        <v>260401-003</v>
      </c>
      <c r="I4" s="20" t="s">
        <v>28</v>
      </c>
      <c r="J4" s="28">
        <v>300</v>
      </c>
      <c r="K4" s="22">
        <f>IF(I4="","",IF(I4="ENTRADA",ABS(J4),-ABS(J4)))</f>
        <v>300</v>
      </c>
      <c r="L4" s="20" t="s">
        <v>37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42</v>
      </c>
    </row>
    <row r="5" spans="1:22" hidden="1">
      <c r="A5" s="20" t="s">
        <v>43</v>
      </c>
      <c r="B5" s="21">
        <v>46113</v>
      </c>
      <c r="C5" s="20" t="s">
        <v>44</v>
      </c>
      <c r="D5" s="20" t="s">
        <v>45</v>
      </c>
      <c r="E5" s="20" t="s">
        <v>34</v>
      </c>
      <c r="F5" s="20" t="s">
        <v>46</v>
      </c>
      <c r="G5" s="20" t="s">
        <v>36</v>
      </c>
      <c r="H5" s="20" t="str">
        <f>+T5</f>
        <v>260401-004</v>
      </c>
      <c r="I5" s="20" t="s">
        <v>28</v>
      </c>
      <c r="J5" s="28">
        <v>2700</v>
      </c>
      <c r="K5" s="22">
        <v>2700</v>
      </c>
      <c r="L5" s="20" t="s">
        <v>37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47</v>
      </c>
    </row>
    <row r="6" spans="1:22" hidden="1">
      <c r="A6" s="20" t="s">
        <v>48</v>
      </c>
      <c r="B6" s="21">
        <v>46113</v>
      </c>
      <c r="C6" s="20" t="s">
        <v>44</v>
      </c>
      <c r="D6" s="20" t="s">
        <v>45</v>
      </c>
      <c r="E6" s="20" t="s">
        <v>34</v>
      </c>
      <c r="F6" s="20" t="s">
        <v>46</v>
      </c>
      <c r="G6" s="20" t="s">
        <v>36</v>
      </c>
      <c r="H6" s="20" t="str">
        <f>+T6</f>
        <v>260401-005</v>
      </c>
      <c r="I6" s="20" t="s">
        <v>28</v>
      </c>
      <c r="J6" s="28">
        <v>100</v>
      </c>
      <c r="K6" s="22">
        <f>IF(I6="","",IF(I6="ENTRADA",ABS(J6),-ABS(J6)))</f>
        <v>100</v>
      </c>
      <c r="L6" s="20" t="s">
        <v>37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47</v>
      </c>
    </row>
    <row r="7" spans="1:22" hidden="1">
      <c r="A7" s="20" t="s">
        <v>49</v>
      </c>
      <c r="B7" s="21">
        <v>46113</v>
      </c>
      <c r="C7" s="20" t="s">
        <v>50</v>
      </c>
      <c r="D7" s="20" t="s">
        <v>51</v>
      </c>
      <c r="E7" s="20" t="s">
        <v>34</v>
      </c>
      <c r="F7" s="20" t="s">
        <v>35</v>
      </c>
      <c r="G7" s="20" t="s">
        <v>36</v>
      </c>
      <c r="H7" s="20" t="str">
        <f>+T7</f>
        <v>260401-006</v>
      </c>
      <c r="I7" s="20" t="s">
        <v>28</v>
      </c>
      <c r="J7" s="28">
        <v>300</v>
      </c>
      <c r="K7" s="22">
        <f>IF(I7="","",IF(I7="ENTRADA",ABS(J7),-ABS(J7)))</f>
        <v>300</v>
      </c>
      <c r="L7" s="20" t="s">
        <v>37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52</v>
      </c>
    </row>
    <row r="8" spans="1:22" hidden="1">
      <c r="A8" s="20" t="s">
        <v>53</v>
      </c>
      <c r="B8" s="21">
        <v>46113</v>
      </c>
      <c r="C8" s="20" t="s">
        <v>54</v>
      </c>
      <c r="D8" s="20" t="s">
        <v>55</v>
      </c>
      <c r="E8" s="20" t="s">
        <v>34</v>
      </c>
      <c r="F8" s="20" t="s">
        <v>35</v>
      </c>
      <c r="G8" s="20" t="s">
        <v>36</v>
      </c>
      <c r="H8" s="20" t="str">
        <f>+T8</f>
        <v>260401-007</v>
      </c>
      <c r="I8" s="20" t="s">
        <v>28</v>
      </c>
      <c r="J8" s="28">
        <v>300</v>
      </c>
      <c r="K8" s="22">
        <f>IF(I8="","",IF(I8="ENTRADA",ABS(J8),-ABS(J8)))</f>
        <v>300</v>
      </c>
      <c r="L8" s="20" t="s">
        <v>56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57</v>
      </c>
    </row>
    <row r="9" spans="1:22" hidden="1">
      <c r="A9" s="20" t="s">
        <v>58</v>
      </c>
      <c r="B9" s="21">
        <v>46113</v>
      </c>
      <c r="C9" s="20" t="s">
        <v>59</v>
      </c>
      <c r="D9" s="20" t="s">
        <v>60</v>
      </c>
      <c r="E9" s="20" t="s">
        <v>34</v>
      </c>
      <c r="F9" s="20" t="s">
        <v>35</v>
      </c>
      <c r="G9" s="20" t="s">
        <v>36</v>
      </c>
      <c r="H9" s="20" t="str">
        <f>+T9</f>
        <v>260401-008</v>
      </c>
      <c r="I9" s="20" t="s">
        <v>28</v>
      </c>
      <c r="J9" s="28">
        <v>4800</v>
      </c>
      <c r="K9" s="22">
        <f>IF(I9="","",IF(I9="ENTRADA",ABS(J9),-ABS(J9)))</f>
        <v>4800</v>
      </c>
      <c r="L9" s="20" t="s">
        <v>37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61</v>
      </c>
    </row>
    <row r="10" spans="1:22" hidden="1">
      <c r="A10" s="20" t="s">
        <v>62</v>
      </c>
      <c r="B10" s="21">
        <v>46113</v>
      </c>
      <c r="C10" t="s">
        <v>44</v>
      </c>
      <c r="D10" t="s">
        <v>63</v>
      </c>
      <c r="E10" t="s">
        <v>34</v>
      </c>
      <c r="F10" t="s">
        <v>46</v>
      </c>
      <c r="G10" t="s">
        <v>36</v>
      </c>
      <c r="H10" s="20" t="s">
        <v>64</v>
      </c>
      <c r="I10" t="s">
        <v>65</v>
      </c>
      <c r="J10" s="29">
        <v>100</v>
      </c>
      <c r="K10" s="22">
        <f>IF(I10="","",IF(I10="ENTRADA",ABS(J10),-ABS(J10)))</f>
        <v>-100</v>
      </c>
      <c r="L10" t="s">
        <v>37</v>
      </c>
      <c r="M10" s="21"/>
      <c r="N10" s="3">
        <v>59309</v>
      </c>
      <c r="O10" t="s">
        <v>66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2" hidden="1">
      <c r="A11" s="20" t="s">
        <v>67</v>
      </c>
      <c r="B11" s="21">
        <v>46113</v>
      </c>
      <c r="C11" t="s">
        <v>59</v>
      </c>
      <c r="D11" t="s">
        <v>60</v>
      </c>
      <c r="E11" t="s">
        <v>34</v>
      </c>
      <c r="F11" t="s">
        <v>35</v>
      </c>
      <c r="H11" s="20" t="s">
        <v>68</v>
      </c>
      <c r="I11" t="s">
        <v>65</v>
      </c>
      <c r="J11" s="29">
        <v>360</v>
      </c>
      <c r="K11" s="22">
        <f>IF(I11="","",IF(I11="ENTRADA",ABS(J11),-ABS(J11)))</f>
        <v>-360</v>
      </c>
      <c r="L11" t="s">
        <v>37</v>
      </c>
      <c r="M11" s="21"/>
      <c r="N11" s="3">
        <v>59309</v>
      </c>
      <c r="O11" t="s">
        <v>66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2" hidden="1">
      <c r="A12" s="20" t="s">
        <v>69</v>
      </c>
      <c r="B12" s="21">
        <v>46118</v>
      </c>
      <c r="C12" t="s">
        <v>70</v>
      </c>
      <c r="D12" t="s">
        <v>71</v>
      </c>
      <c r="E12" t="s">
        <v>70</v>
      </c>
      <c r="G12" t="s">
        <v>72</v>
      </c>
      <c r="H12" s="20" t="str">
        <f>+T12</f>
        <v>260406-011</v>
      </c>
      <c r="I12" t="s">
        <v>28</v>
      </c>
      <c r="J12" s="29">
        <v>3</v>
      </c>
      <c r="K12" s="22">
        <f>IF(I12="","",IF(I12="ENTRADA",ABS(J12),-ABS(J12)))</f>
        <v>3</v>
      </c>
      <c r="L12" t="s">
        <v>73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2" hidden="1">
      <c r="A13" s="20" t="s">
        <v>74</v>
      </c>
      <c r="B13" s="21">
        <v>46119</v>
      </c>
      <c r="C13" t="s">
        <v>75</v>
      </c>
      <c r="D13" t="s">
        <v>76</v>
      </c>
      <c r="E13" t="s">
        <v>34</v>
      </c>
      <c r="F13" t="s">
        <v>35</v>
      </c>
      <c r="G13" t="s">
        <v>77</v>
      </c>
      <c r="H13" s="20" t="str">
        <f>+T13</f>
        <v>260407-012</v>
      </c>
      <c r="I13" t="s">
        <v>28</v>
      </c>
      <c r="J13" s="29">
        <v>12500</v>
      </c>
      <c r="K13" s="22">
        <f>IF(I13="","",IF(I13="ENTRADA",ABS(J13),-ABS(J13)))</f>
        <v>12500</v>
      </c>
      <c r="L13" t="s">
        <v>37</v>
      </c>
      <c r="M13" s="21">
        <v>46725</v>
      </c>
      <c r="N13" s="3">
        <v>69750</v>
      </c>
      <c r="P13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78</v>
      </c>
    </row>
    <row r="14" spans="1:22" hidden="1">
      <c r="A14" s="20" t="s">
        <v>79</v>
      </c>
      <c r="B14" s="21">
        <v>46120</v>
      </c>
      <c r="C14" t="s">
        <v>80</v>
      </c>
      <c r="D14" t="s">
        <v>81</v>
      </c>
      <c r="E14" t="s">
        <v>25</v>
      </c>
      <c r="F14" t="s">
        <v>82</v>
      </c>
      <c r="G14" t="s">
        <v>83</v>
      </c>
      <c r="H14" s="20" t="str">
        <f>+T14</f>
        <v>260408-013</v>
      </c>
      <c r="I14" t="s">
        <v>28</v>
      </c>
      <c r="J14" s="29">
        <v>14000</v>
      </c>
      <c r="K14" s="22">
        <f>IF(I14="","",IF(I14="ENTRADA",ABS(J14),-ABS(J14)))</f>
        <v>14000</v>
      </c>
      <c r="L14" t="s">
        <v>29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84</v>
      </c>
    </row>
    <row r="15" spans="1:22" hidden="1">
      <c r="A15" s="20" t="s">
        <v>85</v>
      </c>
      <c r="B15" s="21">
        <v>46120</v>
      </c>
      <c r="C15" t="s">
        <v>86</v>
      </c>
      <c r="D15" t="s">
        <v>87</v>
      </c>
      <c r="E15" t="s">
        <v>34</v>
      </c>
      <c r="F15" t="s">
        <v>35</v>
      </c>
      <c r="G15" t="s">
        <v>36</v>
      </c>
      <c r="H15" s="20" t="str">
        <f>+T15</f>
        <v>260408-014</v>
      </c>
      <c r="I15" t="s">
        <v>28</v>
      </c>
      <c r="J15" s="29">
        <v>1140</v>
      </c>
      <c r="K15" s="22">
        <f>IF(I15="","",IF(I15="ENTRADA",ABS(J15),-ABS(J15)))</f>
        <v>1140</v>
      </c>
      <c r="L15" t="s">
        <v>37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88</v>
      </c>
    </row>
    <row r="16" spans="1:22" hidden="1">
      <c r="A16" s="20" t="s">
        <v>89</v>
      </c>
      <c r="B16" s="21">
        <v>46120</v>
      </c>
      <c r="C16" t="s">
        <v>90</v>
      </c>
      <c r="D16" t="s">
        <v>91</v>
      </c>
      <c r="E16" t="s">
        <v>34</v>
      </c>
      <c r="F16" t="s">
        <v>35</v>
      </c>
      <c r="G16" t="s">
        <v>36</v>
      </c>
      <c r="H16" s="20" t="str">
        <f>+T16</f>
        <v>260408-015</v>
      </c>
      <c r="I16" t="s">
        <v>28</v>
      </c>
      <c r="J16" s="29">
        <v>500</v>
      </c>
      <c r="K16" s="22">
        <f>IF(I16="","",IF(I16="ENTRADA",ABS(J16),-ABS(J16)))</f>
        <v>500</v>
      </c>
      <c r="L16" t="s">
        <v>37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92</v>
      </c>
    </row>
    <row r="17" spans="1:21" hidden="1">
      <c r="A17" s="20" t="s">
        <v>93</v>
      </c>
      <c r="B17" s="21">
        <v>46120</v>
      </c>
      <c r="C17" t="s">
        <v>75</v>
      </c>
      <c r="D17" t="s">
        <v>76</v>
      </c>
      <c r="E17" t="s">
        <v>34</v>
      </c>
      <c r="F17" t="s">
        <v>35</v>
      </c>
      <c r="G17" t="s">
        <v>77</v>
      </c>
      <c r="H17" s="20" t="s">
        <v>94</v>
      </c>
      <c r="I17" t="s">
        <v>65</v>
      </c>
      <c r="J17" s="29">
        <v>600</v>
      </c>
      <c r="K17" s="22">
        <f>IF(I17="","",IF(I17="ENTRADA",ABS(J17),-ABS(J17)))</f>
        <v>-600</v>
      </c>
      <c r="L17" t="s">
        <v>37</v>
      </c>
      <c r="M17" s="21"/>
      <c r="N17" s="3">
        <v>59310</v>
      </c>
      <c r="O17" t="s">
        <v>95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 hidden="1">
      <c r="A18" s="20" t="s">
        <v>96</v>
      </c>
      <c r="B18" s="21">
        <v>46120</v>
      </c>
      <c r="C18" t="s">
        <v>54</v>
      </c>
      <c r="D18" t="s">
        <v>55</v>
      </c>
      <c r="E18" t="s">
        <v>34</v>
      </c>
      <c r="F18" t="s">
        <v>35</v>
      </c>
      <c r="H18" s="20" t="s">
        <v>97</v>
      </c>
      <c r="I18" t="s">
        <v>65</v>
      </c>
      <c r="J18" s="29">
        <v>15</v>
      </c>
      <c r="K18" s="22">
        <f>IF(I18="","",IF(I18="ENTRADA",ABS(J18),-ABS(J18)))</f>
        <v>-15</v>
      </c>
      <c r="L18" t="s">
        <v>56</v>
      </c>
      <c r="M18" s="21"/>
      <c r="N18" s="3">
        <v>59310</v>
      </c>
      <c r="O18" t="s">
        <v>95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 hidden="1">
      <c r="A19" s="20" t="s">
        <v>98</v>
      </c>
      <c r="B19" s="21">
        <v>46120</v>
      </c>
      <c r="C19" t="s">
        <v>44</v>
      </c>
      <c r="D19" t="s">
        <v>63</v>
      </c>
      <c r="E19" t="s">
        <v>34</v>
      </c>
      <c r="F19" t="s">
        <v>46</v>
      </c>
      <c r="G19" t="s">
        <v>36</v>
      </c>
      <c r="H19" s="20" t="s">
        <v>64</v>
      </c>
      <c r="I19" t="s">
        <v>65</v>
      </c>
      <c r="J19" s="29">
        <v>560</v>
      </c>
      <c r="K19" s="22">
        <f>IF(I19="","",IF(I19="ENTRADA",ABS(J19),-ABS(J19)))</f>
        <v>-560</v>
      </c>
      <c r="L19" t="s">
        <v>37</v>
      </c>
      <c r="M19" s="21"/>
      <c r="N19" s="3">
        <v>59310</v>
      </c>
      <c r="O19" t="s">
        <v>95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 hidden="1">
      <c r="A20" s="20" t="s">
        <v>99</v>
      </c>
      <c r="B20" s="21">
        <v>46120</v>
      </c>
      <c r="C20" t="s">
        <v>86</v>
      </c>
      <c r="D20" t="s">
        <v>87</v>
      </c>
      <c r="E20" t="s">
        <v>34</v>
      </c>
      <c r="F20" t="s">
        <v>35</v>
      </c>
      <c r="G20" t="s">
        <v>36</v>
      </c>
      <c r="H20" s="20" t="s">
        <v>100</v>
      </c>
      <c r="I20" t="s">
        <v>65</v>
      </c>
      <c r="J20" s="29">
        <v>600</v>
      </c>
      <c r="K20" s="22">
        <f>IF(I20="","",IF(I20="ENTRADA",ABS(J20),-ABS(J20)))</f>
        <v>-600</v>
      </c>
      <c r="L20" t="s">
        <v>37</v>
      </c>
      <c r="M20" s="21"/>
      <c r="N20" s="3">
        <v>59310</v>
      </c>
      <c r="O20" t="s">
        <v>95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 hidden="1">
      <c r="A21" s="20" t="s">
        <v>101</v>
      </c>
      <c r="B21" s="21">
        <v>46120</v>
      </c>
      <c r="C21" t="s">
        <v>59</v>
      </c>
      <c r="D21" t="s">
        <v>60</v>
      </c>
      <c r="E21" t="s">
        <v>34</v>
      </c>
      <c r="F21" t="s">
        <v>35</v>
      </c>
      <c r="H21" s="20" t="s">
        <v>68</v>
      </c>
      <c r="I21" t="s">
        <v>65</v>
      </c>
      <c r="J21" s="29">
        <v>2100</v>
      </c>
      <c r="K21" s="22">
        <f>IF(I21="","",IF(I21="ENTRADA",ABS(J21),-ABS(J21)))</f>
        <v>-2100</v>
      </c>
      <c r="L21" t="s">
        <v>37</v>
      </c>
      <c r="M21" s="21"/>
      <c r="N21" s="3">
        <v>59310</v>
      </c>
      <c r="O21" t="s">
        <v>95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 hidden="1">
      <c r="A22" s="20" t="s">
        <v>102</v>
      </c>
      <c r="B22" s="21">
        <v>46120</v>
      </c>
      <c r="C22" t="s">
        <v>90</v>
      </c>
      <c r="D22" t="s">
        <v>91</v>
      </c>
      <c r="E22" t="s">
        <v>34</v>
      </c>
      <c r="F22" t="s">
        <v>35</v>
      </c>
      <c r="G22" t="s">
        <v>36</v>
      </c>
      <c r="H22" s="20" t="s">
        <v>103</v>
      </c>
      <c r="I22" t="s">
        <v>65</v>
      </c>
      <c r="J22" s="29">
        <v>300</v>
      </c>
      <c r="K22" s="22">
        <f>IF(I22="","",IF(I22="ENTRADA",ABS(J22),-ABS(J22)))</f>
        <v>-300</v>
      </c>
      <c r="L22" t="s">
        <v>37</v>
      </c>
      <c r="M22" s="21"/>
      <c r="N22" s="3">
        <v>59310</v>
      </c>
      <c r="O22" t="s">
        <v>95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 hidden="1">
      <c r="A23" s="20" t="s">
        <v>104</v>
      </c>
      <c r="B23" s="21">
        <v>46120</v>
      </c>
      <c r="C23" t="s">
        <v>32</v>
      </c>
      <c r="D23" t="s">
        <v>105</v>
      </c>
      <c r="E23" t="s">
        <v>34</v>
      </c>
      <c r="F23" t="s">
        <v>35</v>
      </c>
      <c r="H23" s="20" t="s">
        <v>106</v>
      </c>
      <c r="I23" t="s">
        <v>65</v>
      </c>
      <c r="J23" s="29">
        <v>200</v>
      </c>
      <c r="K23" s="22">
        <f>IF(I23="","",IF(I23="ENTRADA",ABS(J23),-ABS(J23)))</f>
        <v>-200</v>
      </c>
      <c r="L23" t="s">
        <v>37</v>
      </c>
      <c r="M23" s="21"/>
      <c r="N23" s="3">
        <v>59310</v>
      </c>
      <c r="O23" t="s">
        <v>95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 hidden="1">
      <c r="A24" s="20" t="s">
        <v>107</v>
      </c>
      <c r="B24" s="21">
        <v>46122</v>
      </c>
      <c r="C24" t="s">
        <v>108</v>
      </c>
      <c r="D24" t="s">
        <v>109</v>
      </c>
      <c r="E24" t="s">
        <v>25</v>
      </c>
      <c r="F24" t="s">
        <v>26</v>
      </c>
      <c r="G24" t="s">
        <v>27</v>
      </c>
      <c r="H24" s="20" t="str">
        <f>+T24</f>
        <v>260410-023</v>
      </c>
      <c r="I24" t="s">
        <v>28</v>
      </c>
      <c r="J24" s="29">
        <v>2860</v>
      </c>
      <c r="K24" s="22">
        <f>IF(I24="","",IF(I24="ENTRADA",ABS(J24),-ABS(J24)))</f>
        <v>2860</v>
      </c>
      <c r="L24" t="s">
        <v>29</v>
      </c>
      <c r="M24" s="21"/>
      <c r="N24" s="3">
        <v>47418</v>
      </c>
      <c r="P24" s="57">
        <v>14331</v>
      </c>
      <c r="Q24" s="56" t="s">
        <v>110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 hidden="1">
      <c r="A25" s="20" t="s">
        <v>111</v>
      </c>
      <c r="B25" s="21">
        <v>46122</v>
      </c>
      <c r="C25" t="s">
        <v>112</v>
      </c>
      <c r="D25" t="s">
        <v>113</v>
      </c>
      <c r="E25" t="s">
        <v>25</v>
      </c>
      <c r="F25" t="s">
        <v>26</v>
      </c>
      <c r="G25" t="s">
        <v>27</v>
      </c>
      <c r="H25" s="20" t="str">
        <f>+T25</f>
        <v>260410-024</v>
      </c>
      <c r="I25" t="s">
        <v>28</v>
      </c>
      <c r="J25" s="29">
        <v>200</v>
      </c>
      <c r="K25" s="22">
        <f>IF(I25="","",IF(I25="ENTRADA",ABS(J25),-ABS(J25)))</f>
        <v>200</v>
      </c>
      <c r="L25" t="s">
        <v>29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 hidden="1">
      <c r="A26" s="20" t="s">
        <v>114</v>
      </c>
      <c r="B26" s="21">
        <v>46122</v>
      </c>
      <c r="C26" t="s">
        <v>115</v>
      </c>
      <c r="D26" t="s">
        <v>116</v>
      </c>
      <c r="E26" t="s">
        <v>34</v>
      </c>
      <c r="F26" t="s">
        <v>35</v>
      </c>
      <c r="G26" t="s">
        <v>117</v>
      </c>
      <c r="H26" s="20" t="str">
        <f>+T26</f>
        <v>260410-025</v>
      </c>
      <c r="I26" t="s">
        <v>28</v>
      </c>
      <c r="J26" s="29">
        <v>21120</v>
      </c>
      <c r="K26" s="22">
        <f>IF(I26="","",IF(I26="ENTRADA",ABS(J26),-ABS(J26)))</f>
        <v>21120</v>
      </c>
      <c r="L26" t="s">
        <v>37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118</v>
      </c>
    </row>
    <row r="27" spans="1:21" hidden="1">
      <c r="A27" s="20" t="s">
        <v>119</v>
      </c>
      <c r="B27" s="21">
        <v>46122</v>
      </c>
      <c r="C27" t="s">
        <v>115</v>
      </c>
      <c r="D27" t="s">
        <v>116</v>
      </c>
      <c r="E27" t="s">
        <v>34</v>
      </c>
      <c r="F27" t="s">
        <v>35</v>
      </c>
      <c r="G27" t="s">
        <v>117</v>
      </c>
      <c r="H27" s="20" t="s">
        <v>120</v>
      </c>
      <c r="I27" t="s">
        <v>28</v>
      </c>
      <c r="J27" s="29">
        <v>2880</v>
      </c>
      <c r="K27" s="22">
        <f>IF(I27="","",IF(I27="ENTRADA",ABS(J27),-ABS(J27)))</f>
        <v>2880</v>
      </c>
      <c r="L27" t="s">
        <v>37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118</v>
      </c>
    </row>
    <row r="28" spans="1:21" hidden="1">
      <c r="A28" s="20" t="s">
        <v>121</v>
      </c>
      <c r="B28" s="21">
        <v>46122</v>
      </c>
      <c r="C28" t="s">
        <v>122</v>
      </c>
      <c r="D28" t="s">
        <v>123</v>
      </c>
      <c r="E28" t="s">
        <v>34</v>
      </c>
      <c r="F28" t="s">
        <v>35</v>
      </c>
      <c r="G28" t="s">
        <v>117</v>
      </c>
      <c r="H28" s="20" t="str">
        <f>+T28</f>
        <v>260410-027</v>
      </c>
      <c r="I28" t="s">
        <v>28</v>
      </c>
      <c r="J28" s="29">
        <v>17940</v>
      </c>
      <c r="K28" s="22">
        <f>IF(I28="","",IF(I28="ENTRADA",ABS(J28),-ABS(J28)))</f>
        <v>17940</v>
      </c>
      <c r="L28" t="s">
        <v>37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124</v>
      </c>
    </row>
    <row r="29" spans="1:21" hidden="1">
      <c r="A29" s="20" t="s">
        <v>125</v>
      </c>
      <c r="B29" s="32">
        <v>46122</v>
      </c>
      <c r="C29" s="34" t="s">
        <v>126</v>
      </c>
      <c r="D29" s="34" t="s">
        <v>127</v>
      </c>
      <c r="E29" s="34" t="s">
        <v>25</v>
      </c>
      <c r="F29" s="34" t="s">
        <v>128</v>
      </c>
      <c r="G29" s="34"/>
      <c r="H29" s="20" t="str">
        <f>+T29</f>
        <v>260410-078</v>
      </c>
      <c r="I29" s="34" t="s">
        <v>28</v>
      </c>
      <c r="J29" s="39">
        <v>30000</v>
      </c>
      <c r="K29" s="22">
        <f>IF(I29="","",IF(I29="ENTRADA",ABS(J29),-ABS(J29)))</f>
        <v>30000</v>
      </c>
      <c r="L29" s="34" t="s">
        <v>29</v>
      </c>
      <c r="M29" s="4"/>
      <c r="N29" s="40">
        <v>59237</v>
      </c>
      <c r="O29" s="34" t="s">
        <v>95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 hidden="1">
      <c r="A30" s="20" t="s">
        <v>129</v>
      </c>
      <c r="B30" s="21">
        <v>46126</v>
      </c>
      <c r="C30" t="s">
        <v>130</v>
      </c>
      <c r="D30" s="33" t="s">
        <v>131</v>
      </c>
      <c r="E30" t="s">
        <v>132</v>
      </c>
      <c r="F30" s="33"/>
      <c r="G30" t="s">
        <v>133</v>
      </c>
      <c r="H30" s="20" t="str">
        <f>+T30</f>
        <v>260414-028</v>
      </c>
      <c r="I30" s="33" t="s">
        <v>28</v>
      </c>
      <c r="J30" s="29">
        <v>1000</v>
      </c>
      <c r="K30" s="22">
        <f>IF(I30="","",IF(I30="ENTRADA",ABS(J30),-ABS(J30)))</f>
        <v>1000</v>
      </c>
      <c r="L30" s="33" t="s">
        <v>37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134</v>
      </c>
    </row>
    <row r="31" spans="1:21" hidden="1">
      <c r="A31" s="20" t="s">
        <v>135</v>
      </c>
      <c r="B31" s="32">
        <v>46126</v>
      </c>
      <c r="C31" t="s">
        <v>130</v>
      </c>
      <c r="D31" s="4" t="s">
        <v>131</v>
      </c>
      <c r="E31" t="s">
        <v>132</v>
      </c>
      <c r="F31" s="4"/>
      <c r="G31" t="s">
        <v>133</v>
      </c>
      <c r="H31" s="20" t="str">
        <f>+T31</f>
        <v>260414-029</v>
      </c>
      <c r="I31" s="4" t="s">
        <v>28</v>
      </c>
      <c r="J31" s="29">
        <v>5000</v>
      </c>
      <c r="K31" s="22">
        <f>IF(I31="","",IF(I31="ENTRADA",ABS(J31),-ABS(J31)))</f>
        <v>5000</v>
      </c>
      <c r="L31" s="4" t="s">
        <v>37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134</v>
      </c>
    </row>
    <row r="32" spans="1:21" hidden="1">
      <c r="A32" s="20" t="s">
        <v>136</v>
      </c>
      <c r="B32" s="32">
        <v>46126</v>
      </c>
      <c r="C32" t="s">
        <v>137</v>
      </c>
      <c r="D32" s="4" t="s">
        <v>138</v>
      </c>
      <c r="E32" t="s">
        <v>132</v>
      </c>
      <c r="F32" s="4"/>
      <c r="G32" t="s">
        <v>133</v>
      </c>
      <c r="H32" s="20" t="str">
        <f>+T32</f>
        <v>260414-030</v>
      </c>
      <c r="I32" s="4" t="s">
        <v>28</v>
      </c>
      <c r="J32" s="29">
        <v>1200</v>
      </c>
      <c r="K32" s="22">
        <f>IF(I32="","",IF(I32="ENTRADA",ABS(J32),-ABS(J32)))</f>
        <v>1200</v>
      </c>
      <c r="L32" s="4" t="s">
        <v>37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139</v>
      </c>
    </row>
    <row r="33" spans="1:21" hidden="1">
      <c r="A33" s="20" t="s">
        <v>140</v>
      </c>
      <c r="B33" s="32">
        <v>46126</v>
      </c>
      <c r="C33" t="s">
        <v>141</v>
      </c>
      <c r="D33" s="4" t="s">
        <v>142</v>
      </c>
      <c r="E33" t="s">
        <v>132</v>
      </c>
      <c r="F33" s="4"/>
      <c r="G33" t="s">
        <v>133</v>
      </c>
      <c r="H33" s="20" t="str">
        <f>+T33</f>
        <v>260414-031</v>
      </c>
      <c r="I33" s="4" t="s">
        <v>28</v>
      </c>
      <c r="J33" s="29">
        <v>195</v>
      </c>
      <c r="K33" s="22">
        <f>IF(I33="","",IF(I33="ENTRADA",ABS(J33),-ABS(J33)))</f>
        <v>195</v>
      </c>
      <c r="L33" s="4" t="s">
        <v>37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143</v>
      </c>
    </row>
    <row r="34" spans="1:21" hidden="1">
      <c r="A34" s="20" t="s">
        <v>144</v>
      </c>
      <c r="B34" s="32">
        <v>46126</v>
      </c>
      <c r="C34" s="4" t="s">
        <v>126</v>
      </c>
      <c r="D34" s="4" t="s">
        <v>127</v>
      </c>
      <c r="E34" s="4" t="s">
        <v>25</v>
      </c>
      <c r="F34" s="4" t="s">
        <v>128</v>
      </c>
      <c r="G34" s="4"/>
      <c r="H34" s="20" t="s">
        <v>145</v>
      </c>
      <c r="I34" s="4" t="s">
        <v>28</v>
      </c>
      <c r="J34" s="39">
        <v>30000</v>
      </c>
      <c r="K34" s="22">
        <f>IF(I34="","",IF(I34="ENTRADA",ABS(J34),-ABS(J34)))</f>
        <v>30000</v>
      </c>
      <c r="L34" s="4" t="s">
        <v>29</v>
      </c>
      <c r="M34" s="4"/>
      <c r="N34" s="4">
        <v>59238</v>
      </c>
      <c r="O34" s="4" t="s">
        <v>95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 hidden="1">
      <c r="A35" s="20" t="s">
        <v>146</v>
      </c>
      <c r="B35" s="32">
        <v>46127</v>
      </c>
      <c r="C35" s="33" t="s">
        <v>147</v>
      </c>
      <c r="D35" s="4" t="s">
        <v>148</v>
      </c>
      <c r="E35" s="33" t="s">
        <v>34</v>
      </c>
      <c r="F35" s="4" t="s">
        <v>35</v>
      </c>
      <c r="G35" s="33" t="s">
        <v>36</v>
      </c>
      <c r="H35" s="20" t="str">
        <f>+T35</f>
        <v>260415-032</v>
      </c>
      <c r="I35" s="4" t="s">
        <v>28</v>
      </c>
      <c r="J35" s="29">
        <v>2000</v>
      </c>
      <c r="K35" s="22">
        <f>IF(I35="","",IF(I35="ENTRADA",ABS(J35),-ABS(J35)))</f>
        <v>2000</v>
      </c>
      <c r="L35" s="4" t="s">
        <v>37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149</v>
      </c>
    </row>
    <row r="36" spans="1:21" hidden="1">
      <c r="A36" s="20" t="s">
        <v>150</v>
      </c>
      <c r="B36" s="32">
        <v>46127</v>
      </c>
      <c r="C36" s="4" t="s">
        <v>80</v>
      </c>
      <c r="D36" s="4" t="s">
        <v>81</v>
      </c>
      <c r="E36" s="4" t="s">
        <v>25</v>
      </c>
      <c r="F36" s="4" t="s">
        <v>82</v>
      </c>
      <c r="G36" s="4" t="s">
        <v>83</v>
      </c>
      <c r="H36" s="20" t="s">
        <v>151</v>
      </c>
      <c r="I36" s="4" t="s">
        <v>65</v>
      </c>
      <c r="J36" s="29">
        <v>1250</v>
      </c>
      <c r="K36" s="22">
        <f>IF(I36="","",IF(I36="ENTRADA",ABS(J36),-ABS(J36)))</f>
        <v>-1250</v>
      </c>
      <c r="L36" s="4" t="s">
        <v>29</v>
      </c>
      <c r="M36" s="4"/>
      <c r="N36" s="4">
        <v>59311</v>
      </c>
      <c r="O36" s="4" t="s">
        <v>152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 hidden="1">
      <c r="A37" s="20" t="s">
        <v>153</v>
      </c>
      <c r="B37" s="32">
        <v>46128</v>
      </c>
      <c r="C37" s="4" t="s">
        <v>70</v>
      </c>
      <c r="D37" s="4" t="s">
        <v>71</v>
      </c>
      <c r="E37" s="4" t="s">
        <v>70</v>
      </c>
      <c r="F37" s="4"/>
      <c r="G37" s="4" t="s">
        <v>72</v>
      </c>
      <c r="H37" s="20" t="s">
        <v>154</v>
      </c>
      <c r="I37" s="4" t="s">
        <v>28</v>
      </c>
      <c r="J37" s="29">
        <v>30</v>
      </c>
      <c r="K37" s="22">
        <f>IF(I37="","",IF(I37="ENTRADA",ABS(J37),-ABS(J37)))</f>
        <v>30</v>
      </c>
      <c r="L37" s="4" t="s">
        <v>73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 hidden="1">
      <c r="A38" s="20" t="s">
        <v>155</v>
      </c>
      <c r="B38" s="32">
        <v>46128</v>
      </c>
      <c r="C38" s="4" t="s">
        <v>156</v>
      </c>
      <c r="D38" s="4" t="s">
        <v>157</v>
      </c>
      <c r="E38" s="4" t="s">
        <v>25</v>
      </c>
      <c r="F38" s="4" t="s">
        <v>26</v>
      </c>
      <c r="G38" s="4" t="s">
        <v>158</v>
      </c>
      <c r="H38" s="20" t="str">
        <f>+T38</f>
        <v>260416-035</v>
      </c>
      <c r="I38" s="4" t="s">
        <v>28</v>
      </c>
      <c r="J38" s="29">
        <v>3200</v>
      </c>
      <c r="K38" s="22">
        <f>IF(I38="","",IF(I38="ENTRADA",ABS(J38),-ABS(J38)))</f>
        <v>3200</v>
      </c>
      <c r="L38" s="4" t="s">
        <v>29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 hidden="1">
      <c r="A39" s="20" t="s">
        <v>159</v>
      </c>
      <c r="B39" s="32">
        <v>46128</v>
      </c>
      <c r="C39" s="4" t="s">
        <v>160</v>
      </c>
      <c r="D39" s="4" t="s">
        <v>161</v>
      </c>
      <c r="E39" s="4" t="s">
        <v>25</v>
      </c>
      <c r="F39" s="4" t="s">
        <v>26</v>
      </c>
      <c r="G39" s="4" t="s">
        <v>158</v>
      </c>
      <c r="H39" s="20" t="str">
        <f>+T39</f>
        <v>260416-036</v>
      </c>
      <c r="I39" s="4" t="s">
        <v>28</v>
      </c>
      <c r="J39" s="29">
        <v>1520</v>
      </c>
      <c r="K39" s="22">
        <f>IF(I39="","",IF(I39="ENTRADA",ABS(J39),-ABS(J39)))</f>
        <v>1520</v>
      </c>
      <c r="L39" s="4" t="s">
        <v>29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162</v>
      </c>
    </row>
    <row r="40" spans="1:21" hidden="1">
      <c r="A40" s="20" t="s">
        <v>163</v>
      </c>
      <c r="B40" s="43">
        <v>46129</v>
      </c>
      <c r="C40" s="4" t="s">
        <v>164</v>
      </c>
      <c r="D40" s="4" t="s">
        <v>164</v>
      </c>
      <c r="E40" s="4" t="s">
        <v>25</v>
      </c>
      <c r="F40" s="4" t="s">
        <v>165</v>
      </c>
      <c r="G40" s="4" t="s">
        <v>166</v>
      </c>
      <c r="H40" s="20" t="str">
        <f>+T40</f>
        <v>260417-037</v>
      </c>
      <c r="I40" s="4" t="s">
        <v>28</v>
      </c>
      <c r="J40" s="29">
        <v>3400</v>
      </c>
      <c r="K40" s="22">
        <f>IF(I40="","",IF(I40="ENTRADA",ABS(J40),-ABS(J40)))</f>
        <v>3400</v>
      </c>
      <c r="L40" s="4" t="s">
        <v>29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 hidden="1">
      <c r="A41" s="20" t="s">
        <v>167</v>
      </c>
      <c r="B41" s="32">
        <v>46129</v>
      </c>
      <c r="C41" s="4" t="s">
        <v>168</v>
      </c>
      <c r="D41" s="4" t="s">
        <v>169</v>
      </c>
      <c r="E41" s="4" t="s">
        <v>25</v>
      </c>
      <c r="F41" s="4" t="s">
        <v>170</v>
      </c>
      <c r="G41" s="4" t="s">
        <v>166</v>
      </c>
      <c r="H41" s="20" t="str">
        <f>+T41</f>
        <v>260417-038</v>
      </c>
      <c r="I41" s="4" t="s">
        <v>28</v>
      </c>
      <c r="J41" s="29">
        <v>375</v>
      </c>
      <c r="K41" s="22">
        <f>IF(I41="","",IF(I41="ENTRADA",ABS(J41),-ABS(J41)))</f>
        <v>375</v>
      </c>
      <c r="L41" s="4" t="s">
        <v>29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 hidden="1">
      <c r="A42" s="20" t="s">
        <v>171</v>
      </c>
      <c r="B42" s="32">
        <v>46129</v>
      </c>
      <c r="C42" s="4" t="s">
        <v>172</v>
      </c>
      <c r="D42" s="4" t="s">
        <v>173</v>
      </c>
      <c r="E42" s="4" t="s">
        <v>25</v>
      </c>
      <c r="F42" s="4" t="s">
        <v>174</v>
      </c>
      <c r="G42" s="4" t="s">
        <v>166</v>
      </c>
      <c r="H42" s="20" t="str">
        <f>+T42</f>
        <v>260417-039</v>
      </c>
      <c r="I42" s="4" t="s">
        <v>28</v>
      </c>
      <c r="J42" s="29">
        <v>750</v>
      </c>
      <c r="K42" s="22">
        <f>IF(I42="","",IF(I42="ENTRADA",ABS(J42),-ABS(J42)))</f>
        <v>750</v>
      </c>
      <c r="L42" s="4" t="s">
        <v>29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 hidden="1">
      <c r="A43" s="20" t="s">
        <v>175</v>
      </c>
      <c r="B43" s="32">
        <v>46129</v>
      </c>
      <c r="C43" s="4" t="s">
        <v>156</v>
      </c>
      <c r="D43" s="4" t="s">
        <v>157</v>
      </c>
      <c r="E43" s="4" t="s">
        <v>25</v>
      </c>
      <c r="F43" s="4" t="s">
        <v>26</v>
      </c>
      <c r="G43" s="4" t="s">
        <v>176</v>
      </c>
      <c r="H43" s="20" t="str">
        <f>+T43</f>
        <v>260417-040</v>
      </c>
      <c r="I43" s="4" t="s">
        <v>28</v>
      </c>
      <c r="J43" s="29">
        <v>1600</v>
      </c>
      <c r="K43" s="22">
        <f>IF(I43="","",IF(I43="ENTRADA",ABS(J43),-ABS(J43)))</f>
        <v>1600</v>
      </c>
      <c r="L43" s="4" t="s">
        <v>29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 hidden="1">
      <c r="A44" s="20" t="s">
        <v>177</v>
      </c>
      <c r="B44" s="43">
        <v>46129</v>
      </c>
      <c r="C44" s="4" t="s">
        <v>178</v>
      </c>
      <c r="D44" s="4" t="s">
        <v>179</v>
      </c>
      <c r="E44" s="4" t="s">
        <v>25</v>
      </c>
      <c r="F44" s="4" t="s">
        <v>165</v>
      </c>
      <c r="G44" s="4" t="s">
        <v>180</v>
      </c>
      <c r="H44" s="20" t="str">
        <f>+T44</f>
        <v>260417-041</v>
      </c>
      <c r="I44" s="4" t="s">
        <v>28</v>
      </c>
      <c r="J44" s="29">
        <v>6800</v>
      </c>
      <c r="K44" s="22">
        <f>IF(I44="","",IF(I44="ENTRADA",ABS(J44),-ABS(J44)))</f>
        <v>6800</v>
      </c>
      <c r="L44" s="4" t="s">
        <v>29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 hidden="1">
      <c r="A45" s="20" t="s">
        <v>181</v>
      </c>
      <c r="B45" s="32">
        <v>46129</v>
      </c>
      <c r="C45" s="4" t="s">
        <v>182</v>
      </c>
      <c r="D45" s="4" t="s">
        <v>183</v>
      </c>
      <c r="E45" s="4" t="s">
        <v>25</v>
      </c>
      <c r="F45" s="4" t="s">
        <v>184</v>
      </c>
      <c r="G45" s="4" t="s">
        <v>180</v>
      </c>
      <c r="H45" s="20" t="str">
        <f>+T45</f>
        <v>260417-042</v>
      </c>
      <c r="I45" s="4" t="s">
        <v>28</v>
      </c>
      <c r="J45" s="29">
        <v>975</v>
      </c>
      <c r="K45" s="22">
        <f>IF(I45="","",IF(I45="ENTRADA",ABS(J45),-ABS(J45)))</f>
        <v>975</v>
      </c>
      <c r="L45" s="4" t="s">
        <v>29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 hidden="1">
      <c r="A46" s="20" t="s">
        <v>185</v>
      </c>
      <c r="B46" s="32">
        <v>46129</v>
      </c>
      <c r="C46" s="4" t="s">
        <v>186</v>
      </c>
      <c r="D46" s="4" t="s">
        <v>187</v>
      </c>
      <c r="E46" s="4" t="s">
        <v>25</v>
      </c>
      <c r="F46" s="4" t="s">
        <v>188</v>
      </c>
      <c r="G46" s="4" t="s">
        <v>180</v>
      </c>
      <c r="H46" s="20" t="str">
        <f>+T46</f>
        <v>260417-043</v>
      </c>
      <c r="I46" s="4" t="s">
        <v>28</v>
      </c>
      <c r="J46" s="29">
        <v>1375</v>
      </c>
      <c r="K46" s="22">
        <f>IF(I46="","",IF(I46="ENTRADA",ABS(J46),-ABS(J46)))</f>
        <v>1375</v>
      </c>
      <c r="L46" s="4" t="s">
        <v>29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 hidden="1">
      <c r="A47" s="20" t="s">
        <v>189</v>
      </c>
      <c r="B47" s="32">
        <v>46129</v>
      </c>
      <c r="C47" s="4" t="s">
        <v>190</v>
      </c>
      <c r="D47" s="4" t="s">
        <v>191</v>
      </c>
      <c r="E47" s="4" t="s">
        <v>25</v>
      </c>
      <c r="F47" s="4" t="s">
        <v>192</v>
      </c>
      <c r="G47" s="4" t="s">
        <v>180</v>
      </c>
      <c r="H47" s="20" t="str">
        <f>+T47</f>
        <v>260417-044</v>
      </c>
      <c r="I47" s="4" t="s">
        <v>28</v>
      </c>
      <c r="J47" s="28">
        <v>450</v>
      </c>
      <c r="K47" s="22">
        <f>IF(I47="","",IF(I47="ENTRADA",ABS(J47),-ABS(J47)))</f>
        <v>450</v>
      </c>
      <c r="L47" s="4" t="s">
        <v>29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 hidden="1">
      <c r="A48" s="20" t="s">
        <v>193</v>
      </c>
      <c r="B48" s="32">
        <v>46129</v>
      </c>
      <c r="C48" s="4" t="s">
        <v>194</v>
      </c>
      <c r="D48" s="4" t="s">
        <v>194</v>
      </c>
      <c r="E48" s="4" t="s">
        <v>25</v>
      </c>
      <c r="F48" s="4" t="s">
        <v>195</v>
      </c>
      <c r="G48" s="4" t="s">
        <v>180</v>
      </c>
      <c r="H48" s="20" t="str">
        <f>+T48</f>
        <v>260417-045</v>
      </c>
      <c r="I48" s="4" t="s">
        <v>28</v>
      </c>
      <c r="J48" s="28">
        <v>275</v>
      </c>
      <c r="K48" s="22">
        <f>IF(I48="","",IF(I48="ENTRADA",ABS(J48),-ABS(J48)))</f>
        <v>275</v>
      </c>
      <c r="L48" s="4" t="s">
        <v>29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 hidden="1">
      <c r="A49" s="20" t="s">
        <v>196</v>
      </c>
      <c r="B49" s="32">
        <v>46129</v>
      </c>
      <c r="C49" s="4" t="s">
        <v>115</v>
      </c>
      <c r="D49" s="4" t="s">
        <v>116</v>
      </c>
      <c r="E49" s="4" t="s">
        <v>34</v>
      </c>
      <c r="F49" s="4" t="s">
        <v>35</v>
      </c>
      <c r="G49" s="4" t="s">
        <v>117</v>
      </c>
      <c r="H49" s="20" t="s">
        <v>120</v>
      </c>
      <c r="I49" s="4" t="s">
        <v>28</v>
      </c>
      <c r="J49" s="31">
        <v>21120</v>
      </c>
      <c r="K49" s="22">
        <f>IF(I49="","",IF(I49="ENTRADA",ABS(J49),-ABS(J49)))</f>
        <v>21120</v>
      </c>
      <c r="L49" s="4" t="s">
        <v>37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 hidden="1">
      <c r="A50" s="20" t="s">
        <v>197</v>
      </c>
      <c r="B50" s="32">
        <v>46132</v>
      </c>
      <c r="C50" s="4" t="s">
        <v>23</v>
      </c>
      <c r="D50" s="4" t="s">
        <v>24</v>
      </c>
      <c r="E50" s="4" t="s">
        <v>25</v>
      </c>
      <c r="F50" s="4" t="s">
        <v>26</v>
      </c>
      <c r="G50" s="4" t="s">
        <v>27</v>
      </c>
      <c r="H50" s="20" t="s">
        <v>198</v>
      </c>
      <c r="I50" s="4" t="s">
        <v>65</v>
      </c>
      <c r="J50" s="31">
        <v>1200</v>
      </c>
      <c r="K50" s="22">
        <f>IF(I50="","",IF(I50="ENTRADA",ABS(J50),-ABS(J50)))</f>
        <v>-1200</v>
      </c>
      <c r="L50" s="4" t="s">
        <v>29</v>
      </c>
      <c r="M50" s="4"/>
      <c r="N50" s="4">
        <v>59312</v>
      </c>
      <c r="O50" s="4" t="s">
        <v>152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 hidden="1">
      <c r="A51" s="20" t="s">
        <v>199</v>
      </c>
      <c r="B51" s="32">
        <v>46132</v>
      </c>
      <c r="C51" s="4" t="s">
        <v>80</v>
      </c>
      <c r="D51" s="4" t="s">
        <v>81</v>
      </c>
      <c r="E51" s="4" t="s">
        <v>25</v>
      </c>
      <c r="F51" s="4" t="s">
        <v>82</v>
      </c>
      <c r="G51" s="4" t="s">
        <v>83</v>
      </c>
      <c r="H51" s="20" t="s">
        <v>151</v>
      </c>
      <c r="I51" s="4" t="s">
        <v>65</v>
      </c>
      <c r="J51" s="31">
        <v>625</v>
      </c>
      <c r="K51" s="22">
        <f>IF(I51="","",IF(I51="ENTRADA",ABS(J51),-ABS(J51)))</f>
        <v>-625</v>
      </c>
      <c r="L51" s="4" t="s">
        <v>29</v>
      </c>
      <c r="M51" s="4"/>
      <c r="N51" s="4">
        <v>59312</v>
      </c>
      <c r="O51" s="4" t="s">
        <v>152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 hidden="1">
      <c r="A52" s="20" t="s">
        <v>200</v>
      </c>
      <c r="B52" s="32">
        <v>46132</v>
      </c>
      <c r="C52" s="4" t="s">
        <v>115</v>
      </c>
      <c r="D52" s="4" t="s">
        <v>116</v>
      </c>
      <c r="E52" s="4" t="s">
        <v>34</v>
      </c>
      <c r="F52" s="4" t="s">
        <v>35</v>
      </c>
      <c r="G52" s="4" t="s">
        <v>117</v>
      </c>
      <c r="H52" s="20" t="s">
        <v>120</v>
      </c>
      <c r="I52" s="4" t="s">
        <v>65</v>
      </c>
      <c r="J52" s="31">
        <v>340</v>
      </c>
      <c r="K52" s="22">
        <f>IF(I52="","",IF(I52="ENTRADA",ABS(J52),-ABS(J52)))</f>
        <v>-340</v>
      </c>
      <c r="L52" s="4" t="s">
        <v>37</v>
      </c>
      <c r="M52" s="4"/>
      <c r="N52" s="4">
        <v>59313</v>
      </c>
      <c r="O52" s="4" t="s">
        <v>201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 hidden="1">
      <c r="A53" s="20" t="s">
        <v>202</v>
      </c>
      <c r="B53" s="32">
        <v>46132</v>
      </c>
      <c r="C53" s="4" t="s">
        <v>122</v>
      </c>
      <c r="D53" s="4" t="s">
        <v>123</v>
      </c>
      <c r="E53" s="4" t="s">
        <v>34</v>
      </c>
      <c r="F53" s="4" t="s">
        <v>35</v>
      </c>
      <c r="G53" s="4" t="s">
        <v>117</v>
      </c>
      <c r="H53" s="20" t="s">
        <v>203</v>
      </c>
      <c r="I53" s="4" t="s">
        <v>65</v>
      </c>
      <c r="J53" s="31">
        <v>100</v>
      </c>
      <c r="K53" s="22">
        <f>IF(I53="","",IF(I53="ENTRADA",ABS(J53),-ABS(J53)))</f>
        <v>-100</v>
      </c>
      <c r="L53" s="4" t="s">
        <v>37</v>
      </c>
      <c r="M53" s="4"/>
      <c r="N53" s="4">
        <v>59313</v>
      </c>
      <c r="O53" s="4" t="s">
        <v>201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 hidden="1">
      <c r="A54" s="20" t="s">
        <v>204</v>
      </c>
      <c r="B54" s="32">
        <v>46132</v>
      </c>
      <c r="C54" s="4" t="s">
        <v>86</v>
      </c>
      <c r="D54" s="4" t="s">
        <v>87</v>
      </c>
      <c r="E54" s="4" t="s">
        <v>34</v>
      </c>
      <c r="F54" s="4" t="s">
        <v>35</v>
      </c>
      <c r="G54" s="4" t="s">
        <v>36</v>
      </c>
      <c r="H54" s="20" t="s">
        <v>100</v>
      </c>
      <c r="I54" s="4" t="s">
        <v>65</v>
      </c>
      <c r="J54" s="31">
        <v>40</v>
      </c>
      <c r="K54" s="22">
        <f>IF(I54="","",IF(I54="ENTRADA",ABS(J54),-ABS(J54)))</f>
        <v>-40</v>
      </c>
      <c r="L54" s="4" t="s">
        <v>37</v>
      </c>
      <c r="M54" s="4"/>
      <c r="N54" s="4">
        <v>59313</v>
      </c>
      <c r="O54" s="4" t="s">
        <v>201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 hidden="1">
      <c r="A55" s="20" t="s">
        <v>205</v>
      </c>
      <c r="B55" s="32">
        <v>46132</v>
      </c>
      <c r="C55" s="4" t="s">
        <v>70</v>
      </c>
      <c r="D55" s="4" t="s">
        <v>71</v>
      </c>
      <c r="E55" s="4" t="s">
        <v>70</v>
      </c>
      <c r="F55" s="4"/>
      <c r="G55" s="4" t="s">
        <v>72</v>
      </c>
      <c r="H55" s="20" t="s">
        <v>154</v>
      </c>
      <c r="I55" s="4" t="s">
        <v>65</v>
      </c>
      <c r="J55" s="31">
        <v>3</v>
      </c>
      <c r="K55" s="22">
        <f>IF(I55="","",IF(I55="ENTRADA",ABS(J55),-ABS(J55)))</f>
        <v>-3</v>
      </c>
      <c r="L55" s="4" t="s">
        <v>73</v>
      </c>
      <c r="M55" s="4"/>
      <c r="N55" s="4">
        <v>59314</v>
      </c>
      <c r="O55" s="4" t="s">
        <v>66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 hidden="1">
      <c r="A56" s="20" t="s">
        <v>206</v>
      </c>
      <c r="B56" s="32">
        <v>46132</v>
      </c>
      <c r="C56" s="4" t="s">
        <v>115</v>
      </c>
      <c r="D56" s="4" t="s">
        <v>116</v>
      </c>
      <c r="E56" s="4" t="s">
        <v>34</v>
      </c>
      <c r="F56" s="4" t="s">
        <v>35</v>
      </c>
      <c r="G56" s="4" t="s">
        <v>117</v>
      </c>
      <c r="H56" s="20" t="s">
        <v>120</v>
      </c>
      <c r="I56" s="4" t="s">
        <v>28</v>
      </c>
      <c r="J56" s="31">
        <v>11520</v>
      </c>
      <c r="K56" s="22">
        <f>IF(I56="","",IF(I56="ENTRADA",ABS(J56),-ABS(J56)))</f>
        <v>11520</v>
      </c>
      <c r="L56" s="4" t="s">
        <v>37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 hidden="1">
      <c r="A57" s="20" t="s">
        <v>207</v>
      </c>
      <c r="B57" s="32">
        <v>46132</v>
      </c>
      <c r="C57" s="4" t="s">
        <v>115</v>
      </c>
      <c r="D57" s="4" t="s">
        <v>116</v>
      </c>
      <c r="E57" s="4" t="s">
        <v>34</v>
      </c>
      <c r="F57" s="4" t="s">
        <v>35</v>
      </c>
      <c r="G57" s="4" t="s">
        <v>117</v>
      </c>
      <c r="H57" s="20" t="s">
        <v>120</v>
      </c>
      <c r="I57" s="4" t="s">
        <v>65</v>
      </c>
      <c r="J57" s="31">
        <v>280</v>
      </c>
      <c r="K57" s="22">
        <f>IF(I57="","",IF(I57="ENTRADA",ABS(J57),-ABS(J57)))</f>
        <v>-280</v>
      </c>
      <c r="L57" s="4" t="s">
        <v>37</v>
      </c>
      <c r="M57" s="4"/>
      <c r="N57" s="4">
        <v>59317</v>
      </c>
      <c r="O57" s="4" t="s">
        <v>201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 hidden="1">
      <c r="A58" s="20" t="s">
        <v>208</v>
      </c>
      <c r="B58" s="32">
        <v>46132</v>
      </c>
      <c r="C58" s="4" t="s">
        <v>130</v>
      </c>
      <c r="D58" s="4" t="s">
        <v>131</v>
      </c>
      <c r="E58" s="4" t="s">
        <v>132</v>
      </c>
      <c r="F58" s="4"/>
      <c r="G58" s="4" t="s">
        <v>133</v>
      </c>
      <c r="H58" s="20" t="s">
        <v>209</v>
      </c>
      <c r="I58" s="4" t="s">
        <v>65</v>
      </c>
      <c r="J58" s="31">
        <v>60</v>
      </c>
      <c r="K58" s="22">
        <f>IF(I58="","",IF(I58="ENTRADA",ABS(J58),-ABS(J58)))</f>
        <v>-60</v>
      </c>
      <c r="L58" s="4" t="s">
        <v>37</v>
      </c>
      <c r="M58" s="4"/>
      <c r="N58" s="4">
        <v>59317</v>
      </c>
      <c r="O58" s="4" t="s">
        <v>201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 hidden="1">
      <c r="A59" s="20" t="s">
        <v>210</v>
      </c>
      <c r="B59" s="32">
        <v>46132</v>
      </c>
      <c r="C59" s="4" t="s">
        <v>137</v>
      </c>
      <c r="D59" s="4" t="s">
        <v>138</v>
      </c>
      <c r="E59" s="4" t="s">
        <v>132</v>
      </c>
      <c r="F59" s="4"/>
      <c r="G59" s="4" t="s">
        <v>133</v>
      </c>
      <c r="H59" s="20" t="s">
        <v>211</v>
      </c>
      <c r="I59" s="4" t="s">
        <v>65</v>
      </c>
      <c r="J59" s="49">
        <v>15</v>
      </c>
      <c r="K59" s="22">
        <f>IF(I59="","",IF(I59="ENTRADA",ABS(J59),-ABS(J59)))</f>
        <v>-15</v>
      </c>
      <c r="L59" s="4" t="s">
        <v>37</v>
      </c>
      <c r="M59" s="4"/>
      <c r="N59" s="4">
        <v>59317</v>
      </c>
      <c r="O59" s="4" t="s">
        <v>201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 hidden="1">
      <c r="A60" s="20" t="s">
        <v>212</v>
      </c>
      <c r="B60" s="32">
        <v>46132</v>
      </c>
      <c r="C60" s="4" t="s">
        <v>23</v>
      </c>
      <c r="D60" s="4" t="s">
        <v>24</v>
      </c>
      <c r="E60" s="4" t="s">
        <v>25</v>
      </c>
      <c r="F60" s="4" t="s">
        <v>26</v>
      </c>
      <c r="G60" s="4" t="s">
        <v>27</v>
      </c>
      <c r="H60" s="20" t="s">
        <v>198</v>
      </c>
      <c r="I60" s="4" t="s">
        <v>65</v>
      </c>
      <c r="J60" s="31">
        <v>1000</v>
      </c>
      <c r="K60" s="22">
        <f>IF(I60="","",IF(I60="ENTRADA",ABS(J60),-ABS(J60)))</f>
        <v>-1000</v>
      </c>
      <c r="L60" s="4" t="s">
        <v>29</v>
      </c>
      <c r="M60" s="4"/>
      <c r="N60" s="4">
        <v>59315</v>
      </c>
      <c r="O60" s="4" t="s">
        <v>213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 hidden="1">
      <c r="A61" s="20" t="s">
        <v>214</v>
      </c>
      <c r="B61" s="32">
        <v>46132</v>
      </c>
      <c r="C61" s="4" t="s">
        <v>112</v>
      </c>
      <c r="D61" s="4" t="s">
        <v>113</v>
      </c>
      <c r="E61" s="4" t="s">
        <v>25</v>
      </c>
      <c r="F61" s="4" t="s">
        <v>26</v>
      </c>
      <c r="G61" s="4" t="s">
        <v>27</v>
      </c>
      <c r="H61" s="20" t="s">
        <v>215</v>
      </c>
      <c r="I61" s="4" t="s">
        <v>65</v>
      </c>
      <c r="J61" s="31">
        <v>200</v>
      </c>
      <c r="K61" s="22">
        <f>IF(I61="","",IF(I61="ENTRADA",ABS(J61),-ABS(J61)))</f>
        <v>-200</v>
      </c>
      <c r="L61" s="4" t="s">
        <v>29</v>
      </c>
      <c r="M61" s="4"/>
      <c r="N61" s="4">
        <v>59315</v>
      </c>
      <c r="O61" s="4" t="s">
        <v>213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 hidden="1">
      <c r="A62" s="20" t="s">
        <v>216</v>
      </c>
      <c r="B62" s="32">
        <v>46133</v>
      </c>
      <c r="C62" s="4" t="s">
        <v>80</v>
      </c>
      <c r="D62" s="4" t="s">
        <v>81</v>
      </c>
      <c r="E62" s="4" t="s">
        <v>25</v>
      </c>
      <c r="F62" s="4" t="s">
        <v>26</v>
      </c>
      <c r="G62" s="4" t="s">
        <v>83</v>
      </c>
      <c r="H62" s="20" t="s">
        <v>151</v>
      </c>
      <c r="I62" s="4" t="s">
        <v>65</v>
      </c>
      <c r="J62" s="31">
        <v>2500</v>
      </c>
      <c r="K62" s="22">
        <f>IF(I62="","",IF(I62="ENTRADA",ABS(J62),-ABS(J62)))</f>
        <v>-2500</v>
      </c>
      <c r="L62" s="4" t="s">
        <v>29</v>
      </c>
      <c r="M62" s="4"/>
      <c r="N62" s="4">
        <v>59318</v>
      </c>
      <c r="O62" s="4" t="s">
        <v>152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 hidden="1">
      <c r="A63" s="20" t="s">
        <v>217</v>
      </c>
      <c r="B63" s="32">
        <v>46133</v>
      </c>
      <c r="C63" s="4" t="s">
        <v>23</v>
      </c>
      <c r="D63" s="4" t="s">
        <v>24</v>
      </c>
      <c r="E63" s="4" t="s">
        <v>25</v>
      </c>
      <c r="F63" s="4" t="s">
        <v>26</v>
      </c>
      <c r="G63" s="4" t="s">
        <v>27</v>
      </c>
      <c r="H63" s="20" t="s">
        <v>198</v>
      </c>
      <c r="I63" s="4" t="s">
        <v>65</v>
      </c>
      <c r="J63" s="31">
        <v>360</v>
      </c>
      <c r="K63" s="22">
        <f>IF(I63="","",IF(I63="ENTRADA",ABS(J63),-ABS(J63)))</f>
        <v>-360</v>
      </c>
      <c r="L63" s="4" t="s">
        <v>29</v>
      </c>
      <c r="M63" s="4"/>
      <c r="N63" s="4">
        <v>59316</v>
      </c>
      <c r="O63" s="4" t="s">
        <v>218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 hidden="1">
      <c r="A64" s="20" t="s">
        <v>219</v>
      </c>
      <c r="B64" s="32">
        <v>46133</v>
      </c>
      <c r="C64" s="4" t="s">
        <v>115</v>
      </c>
      <c r="D64" s="4" t="s">
        <v>116</v>
      </c>
      <c r="E64" s="4" t="s">
        <v>34</v>
      </c>
      <c r="F64" s="4" t="s">
        <v>35</v>
      </c>
      <c r="G64" s="4" t="s">
        <v>117</v>
      </c>
      <c r="H64" s="20" t="s">
        <v>120</v>
      </c>
      <c r="I64" s="4" t="s">
        <v>65</v>
      </c>
      <c r="J64" s="31">
        <v>2200</v>
      </c>
      <c r="K64" s="22">
        <f>IF(I64="","",IF(I64="ENTRADA",ABS(J64),-ABS(J64)))</f>
        <v>-2200</v>
      </c>
      <c r="L64" s="4" t="s">
        <v>37</v>
      </c>
      <c r="M64" s="4"/>
      <c r="N64" s="4">
        <v>59319</v>
      </c>
      <c r="O64" s="4" t="s">
        <v>152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 hidden="1">
      <c r="A65" s="20" t="s">
        <v>220</v>
      </c>
      <c r="B65" s="32">
        <v>46133</v>
      </c>
      <c r="C65" s="4" t="s">
        <v>130</v>
      </c>
      <c r="D65" s="4" t="s">
        <v>131</v>
      </c>
      <c r="E65" s="4" t="s">
        <v>132</v>
      </c>
      <c r="F65" s="4"/>
      <c r="G65" s="4" t="s">
        <v>133</v>
      </c>
      <c r="H65" s="20" t="s">
        <v>209</v>
      </c>
      <c r="I65" s="4" t="s">
        <v>65</v>
      </c>
      <c r="J65" s="31">
        <v>60</v>
      </c>
      <c r="K65" s="22">
        <f>IF(I65="","",IF(I65="ENTRADA",ABS(J65),-ABS(J65)))</f>
        <v>-60</v>
      </c>
      <c r="L65" s="4" t="s">
        <v>37</v>
      </c>
      <c r="M65" s="4"/>
      <c r="N65" s="4">
        <v>59319</v>
      </c>
      <c r="O65" s="4" t="s">
        <v>152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 hidden="1">
      <c r="A66" s="20" t="s">
        <v>220</v>
      </c>
      <c r="B66" s="32">
        <v>46133</v>
      </c>
      <c r="C66" s="4" t="s">
        <v>130</v>
      </c>
      <c r="D66" s="4" t="s">
        <v>131</v>
      </c>
      <c r="E66" s="4" t="s">
        <v>132</v>
      </c>
      <c r="F66" s="4"/>
      <c r="G66" s="4" t="s">
        <v>133</v>
      </c>
      <c r="H66" s="20" t="s">
        <v>221</v>
      </c>
      <c r="I66" s="4" t="s">
        <v>65</v>
      </c>
      <c r="J66" s="31">
        <v>20</v>
      </c>
      <c r="K66" s="22">
        <f>IF(I66="","",IF(I66="ENTRADA",ABS(J66),-ABS(J66)))</f>
        <v>-20</v>
      </c>
      <c r="L66" s="4" t="s">
        <v>37</v>
      </c>
      <c r="M66" s="4"/>
      <c r="N66" s="4">
        <v>59319</v>
      </c>
      <c r="O66" s="4" t="s">
        <v>152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 hidden="1">
      <c r="A67" s="20" t="s">
        <v>222</v>
      </c>
      <c r="B67" s="32">
        <v>46133</v>
      </c>
      <c r="C67" s="4" t="s">
        <v>137</v>
      </c>
      <c r="D67" s="4" t="s">
        <v>138</v>
      </c>
      <c r="E67" s="4" t="s">
        <v>132</v>
      </c>
      <c r="F67" s="4"/>
      <c r="G67" s="4" t="s">
        <v>133</v>
      </c>
      <c r="H67" s="20" t="s">
        <v>211</v>
      </c>
      <c r="I67" s="4" t="s">
        <v>65</v>
      </c>
      <c r="J67" s="49">
        <v>15</v>
      </c>
      <c r="K67" s="22">
        <f>IF(I67="","",IF(I67="ENTRADA",ABS(J67),-ABS(J67)))</f>
        <v>-15</v>
      </c>
      <c r="L67" s="4" t="s">
        <v>37</v>
      </c>
      <c r="M67" s="4"/>
      <c r="N67" s="4">
        <v>59319</v>
      </c>
      <c r="O67" s="4" t="s">
        <v>152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 hidden="1">
      <c r="A68" s="20" t="s">
        <v>223</v>
      </c>
      <c r="B68" s="32">
        <v>46133</v>
      </c>
      <c r="C68" s="4" t="s">
        <v>115</v>
      </c>
      <c r="D68" s="4" t="s">
        <v>116</v>
      </c>
      <c r="E68" s="4" t="s">
        <v>34</v>
      </c>
      <c r="F68" s="4"/>
      <c r="G68" s="4" t="s">
        <v>117</v>
      </c>
      <c r="H68" s="20" t="s">
        <v>120</v>
      </c>
      <c r="I68" s="4" t="s">
        <v>65</v>
      </c>
      <c r="J68" s="31">
        <v>960</v>
      </c>
      <c r="K68" s="22">
        <f>IF(I68="","",IF(I68="ENTRADA",ABS(J68),-ABS(J68)))</f>
        <v>-960</v>
      </c>
      <c r="L68" s="4" t="s">
        <v>37</v>
      </c>
      <c r="M68" s="4"/>
      <c r="N68" s="4">
        <v>59320</v>
      </c>
      <c r="O68" s="4" t="s">
        <v>201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 hidden="1">
      <c r="A69" s="20" t="s">
        <v>224</v>
      </c>
      <c r="B69" s="32">
        <v>46133</v>
      </c>
      <c r="C69" s="4" t="s">
        <v>122</v>
      </c>
      <c r="D69" s="4" t="s">
        <v>123</v>
      </c>
      <c r="E69" s="4" t="s">
        <v>34</v>
      </c>
      <c r="F69" s="4" t="s">
        <v>35</v>
      </c>
      <c r="G69" s="4" t="s">
        <v>117</v>
      </c>
      <c r="H69" s="20" t="s">
        <v>203</v>
      </c>
      <c r="I69" s="4" t="s">
        <v>65</v>
      </c>
      <c r="J69" s="31">
        <v>320</v>
      </c>
      <c r="K69" s="22">
        <f>IF(I69="","",IF(I69="ENTRADA",ABS(J69),-ABS(J69)))</f>
        <v>-320</v>
      </c>
      <c r="L69" s="4" t="s">
        <v>37</v>
      </c>
      <c r="M69" s="4"/>
      <c r="N69" s="4">
        <v>59320</v>
      </c>
      <c r="O69" s="4" t="s">
        <v>201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 hidden="1">
      <c r="A70" s="20" t="s">
        <v>225</v>
      </c>
      <c r="B70" s="32">
        <v>46133</v>
      </c>
      <c r="C70" s="4" t="s">
        <v>130</v>
      </c>
      <c r="D70" s="4" t="s">
        <v>131</v>
      </c>
      <c r="E70" s="4" t="s">
        <v>132</v>
      </c>
      <c r="F70" s="4"/>
      <c r="G70" s="4" t="s">
        <v>133</v>
      </c>
      <c r="H70" s="20" t="s">
        <v>221</v>
      </c>
      <c r="I70" s="4" t="s">
        <v>65</v>
      </c>
      <c r="J70" s="31">
        <v>40</v>
      </c>
      <c r="K70" s="22">
        <f>IF(I70="","",IF(I70="ENTRADA",ABS(J70),-ABS(J70)))</f>
        <v>-40</v>
      </c>
      <c r="L70" s="4" t="s">
        <v>37</v>
      </c>
      <c r="M70" s="4"/>
      <c r="N70" s="4">
        <v>59320</v>
      </c>
      <c r="O70" s="4" t="s">
        <v>201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 hidden="1">
      <c r="A71" s="20" t="s">
        <v>226</v>
      </c>
      <c r="B71" s="32">
        <v>46133</v>
      </c>
      <c r="C71" s="4" t="s">
        <v>137</v>
      </c>
      <c r="D71" s="4" t="s">
        <v>138</v>
      </c>
      <c r="E71" s="4" t="s">
        <v>132</v>
      </c>
      <c r="F71" s="4"/>
      <c r="G71" s="4" t="s">
        <v>133</v>
      </c>
      <c r="H71" s="20" t="s">
        <v>211</v>
      </c>
      <c r="I71" s="4" t="s">
        <v>65</v>
      </c>
      <c r="J71" s="49">
        <v>15</v>
      </c>
      <c r="K71" s="22">
        <f>IF(I71="","",IF(I71="ENTRADA",ABS(J71),-ABS(J71)))</f>
        <v>-15</v>
      </c>
      <c r="L71" s="4" t="s">
        <v>37</v>
      </c>
      <c r="M71" s="4"/>
      <c r="N71" s="4">
        <v>59320</v>
      </c>
      <c r="O71" s="4" t="s">
        <v>201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 hidden="1">
      <c r="A72" s="20" t="s">
        <v>227</v>
      </c>
      <c r="B72" s="32">
        <v>46133</v>
      </c>
      <c r="C72" s="4" t="s">
        <v>228</v>
      </c>
      <c r="D72" s="4" t="s">
        <v>229</v>
      </c>
      <c r="E72" s="4" t="s">
        <v>25</v>
      </c>
      <c r="F72" s="4" t="s">
        <v>26</v>
      </c>
      <c r="G72" s="4" t="s">
        <v>27</v>
      </c>
      <c r="H72" s="20" t="str">
        <f>+T72</f>
        <v>260421-067</v>
      </c>
      <c r="I72" s="4" t="s">
        <v>28</v>
      </c>
      <c r="J72" s="31">
        <v>3000</v>
      </c>
      <c r="K72" s="22">
        <f>IF(I72="","",IF(I72="ENTRADA",ABS(J72),-ABS(J72)))</f>
        <v>3000</v>
      </c>
      <c r="L72" s="4" t="s">
        <v>29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 hidden="1">
      <c r="A73" s="20" t="s">
        <v>230</v>
      </c>
      <c r="B73" s="32">
        <v>46133</v>
      </c>
      <c r="C73" s="4" t="s">
        <v>231</v>
      </c>
      <c r="D73" s="4" t="s">
        <v>231</v>
      </c>
      <c r="E73" s="4" t="s">
        <v>25</v>
      </c>
      <c r="F73" s="4" t="s">
        <v>26</v>
      </c>
      <c r="G73" s="4" t="s">
        <v>27</v>
      </c>
      <c r="H73" s="20" t="str">
        <f>+T73</f>
        <v>260421-068</v>
      </c>
      <c r="I73" s="4" t="s">
        <v>28</v>
      </c>
      <c r="J73" s="31">
        <v>3200</v>
      </c>
      <c r="K73" s="22">
        <f>IF(I73="","",IF(I73="ENTRADA",ABS(J73),-ABS(J73)))</f>
        <v>3200</v>
      </c>
      <c r="L73" s="4" t="s">
        <v>29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 hidden="1">
      <c r="A74" s="20" t="s">
        <v>232</v>
      </c>
      <c r="B74" s="32">
        <v>46134</v>
      </c>
      <c r="C74" s="4" t="s">
        <v>80</v>
      </c>
      <c r="D74" s="4" t="s">
        <v>81</v>
      </c>
      <c r="E74" s="4" t="s">
        <v>25</v>
      </c>
      <c r="F74" s="4" t="s">
        <v>82</v>
      </c>
      <c r="G74" s="4" t="s">
        <v>83</v>
      </c>
      <c r="H74" s="20" t="s">
        <v>151</v>
      </c>
      <c r="I74" s="4" t="s">
        <v>65</v>
      </c>
      <c r="J74" s="31">
        <v>700</v>
      </c>
      <c r="K74" s="22">
        <f>IF(I74="","",IF(I74="ENTRADA",ABS(J74),-ABS(J74)))</f>
        <v>-700</v>
      </c>
      <c r="L74" s="4" t="s">
        <v>29</v>
      </c>
      <c r="M74" s="4"/>
      <c r="N74" s="4">
        <v>59321</v>
      </c>
      <c r="O74" s="4" t="s">
        <v>152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 hidden="1">
      <c r="A75" s="20" t="s">
        <v>233</v>
      </c>
      <c r="B75" s="32">
        <v>46134</v>
      </c>
      <c r="C75" s="4" t="s">
        <v>86</v>
      </c>
      <c r="D75" s="4" t="s">
        <v>87</v>
      </c>
      <c r="E75" s="4" t="s">
        <v>34</v>
      </c>
      <c r="F75" s="4" t="s">
        <v>35</v>
      </c>
      <c r="G75" s="4" t="s">
        <v>36</v>
      </c>
      <c r="H75" s="20" t="s">
        <v>100</v>
      </c>
      <c r="I75" s="4" t="s">
        <v>65</v>
      </c>
      <c r="J75" s="31">
        <v>120</v>
      </c>
      <c r="K75" s="22">
        <f>IF(I75="","",IF(I75="ENTRADA",ABS(J75),-ABS(J75)))</f>
        <v>-120</v>
      </c>
      <c r="L75" s="4" t="s">
        <v>37</v>
      </c>
      <c r="M75" s="4"/>
      <c r="N75" s="4">
        <v>59323</v>
      </c>
      <c r="O75" s="4" t="s">
        <v>201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 hidden="1">
      <c r="A76" s="20" t="s">
        <v>234</v>
      </c>
      <c r="B76" s="32">
        <v>46134</v>
      </c>
      <c r="C76" s="4" t="s">
        <v>122</v>
      </c>
      <c r="D76" s="4" t="s">
        <v>123</v>
      </c>
      <c r="E76" s="4" t="s">
        <v>34</v>
      </c>
      <c r="F76" s="4" t="s">
        <v>35</v>
      </c>
      <c r="G76" s="4"/>
      <c r="H76" s="20" t="s">
        <v>203</v>
      </c>
      <c r="I76" s="4" t="s">
        <v>65</v>
      </c>
      <c r="J76" s="31">
        <v>300</v>
      </c>
      <c r="K76" s="22">
        <f>IF(I76="","",IF(I76="ENTRADA",ABS(J76),-ABS(J76)))</f>
        <v>-300</v>
      </c>
      <c r="L76" s="4" t="s">
        <v>37</v>
      </c>
      <c r="M76" s="4"/>
      <c r="N76" s="4">
        <v>59323</v>
      </c>
      <c r="O76" s="4" t="s">
        <v>201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 hidden="1">
      <c r="A77" s="20" t="s">
        <v>235</v>
      </c>
      <c r="B77" s="32">
        <v>46134</v>
      </c>
      <c r="C77" s="4" t="s">
        <v>126</v>
      </c>
      <c r="D77" s="4" t="s">
        <v>127</v>
      </c>
      <c r="E77" s="4" t="s">
        <v>25</v>
      </c>
      <c r="F77" s="4" t="s">
        <v>128</v>
      </c>
      <c r="G77" s="4"/>
      <c r="H77" s="20" t="s">
        <v>145</v>
      </c>
      <c r="I77" s="4" t="s">
        <v>65</v>
      </c>
      <c r="J77" s="31">
        <v>24000</v>
      </c>
      <c r="K77" s="22">
        <f>IF(I77="","",IF(I77="ENTRADA",ABS(J77),-ABS(J77)))</f>
        <v>-24000</v>
      </c>
      <c r="L77" s="4" t="s">
        <v>29</v>
      </c>
      <c r="M77" s="4"/>
      <c r="N77" s="4">
        <v>59322</v>
      </c>
      <c r="O77" s="4" t="s">
        <v>152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 hidden="1">
      <c r="A78" s="20" t="s">
        <v>236</v>
      </c>
      <c r="B78" s="32">
        <v>46135</v>
      </c>
      <c r="C78" s="4" t="s">
        <v>23</v>
      </c>
      <c r="D78" s="4" t="s">
        <v>24</v>
      </c>
      <c r="E78" s="4" t="s">
        <v>25</v>
      </c>
      <c r="F78" s="4" t="s">
        <v>26</v>
      </c>
      <c r="G78" s="4" t="s">
        <v>27</v>
      </c>
      <c r="H78" s="20" t="s">
        <v>198</v>
      </c>
      <c r="I78" s="4" t="s">
        <v>65</v>
      </c>
      <c r="J78" s="31">
        <v>500</v>
      </c>
      <c r="K78" s="22">
        <f>IF(I78="","",IF(I78="ENTRADA",ABS(J78),-ABS(J78)))</f>
        <v>-500</v>
      </c>
      <c r="L78" s="4" t="s">
        <v>29</v>
      </c>
      <c r="M78" s="4"/>
      <c r="N78" s="4">
        <v>59324</v>
      </c>
      <c r="O78" s="4" t="s">
        <v>237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 hidden="1">
      <c r="A79" s="20" t="s">
        <v>238</v>
      </c>
      <c r="B79" s="32">
        <v>46135</v>
      </c>
      <c r="C79" s="4" t="s">
        <v>160</v>
      </c>
      <c r="D79" s="4" t="s">
        <v>161</v>
      </c>
      <c r="E79" s="4" t="s">
        <v>25</v>
      </c>
      <c r="F79" s="4" t="s">
        <v>26</v>
      </c>
      <c r="G79" s="4" t="s">
        <v>158</v>
      </c>
      <c r="H79" s="20" t="s">
        <v>239</v>
      </c>
      <c r="I79" s="4" t="s">
        <v>65</v>
      </c>
      <c r="J79" s="31">
        <v>832</v>
      </c>
      <c r="K79" s="22">
        <f>IF(I79="","",IF(I79="ENTRADA",ABS(J79),-ABS(J79)))</f>
        <v>-832</v>
      </c>
      <c r="L79" s="4" t="s">
        <v>29</v>
      </c>
      <c r="M79" s="4"/>
      <c r="N79" s="4">
        <v>59324</v>
      </c>
      <c r="O79" s="4" t="s">
        <v>237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 hidden="1">
      <c r="A80" s="20" t="s">
        <v>240</v>
      </c>
      <c r="B80" s="32">
        <v>46135</v>
      </c>
      <c r="C80" s="4" t="s">
        <v>90</v>
      </c>
      <c r="D80" s="4" t="s">
        <v>91</v>
      </c>
      <c r="E80" s="4" t="s">
        <v>34</v>
      </c>
      <c r="F80" s="4" t="s">
        <v>35</v>
      </c>
      <c r="G80" s="4" t="s">
        <v>36</v>
      </c>
      <c r="H80" s="20" t="s">
        <v>103</v>
      </c>
      <c r="I80" s="4" t="s">
        <v>65</v>
      </c>
      <c r="J80" s="31">
        <v>80</v>
      </c>
      <c r="K80" s="22">
        <f>IF(I80="","",IF(I80="ENTRADA",ABS(J80),-ABS(J80)))</f>
        <v>-80</v>
      </c>
      <c r="L80" s="4" t="s">
        <v>37</v>
      </c>
      <c r="M80" s="4"/>
      <c r="N80" s="4">
        <v>59324</v>
      </c>
      <c r="O80" s="4" t="s">
        <v>237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 hidden="1">
      <c r="A81" s="20" t="s">
        <v>241</v>
      </c>
      <c r="B81" s="32">
        <v>46135</v>
      </c>
      <c r="C81" s="4" t="s">
        <v>86</v>
      </c>
      <c r="D81" s="4" t="s">
        <v>87</v>
      </c>
      <c r="E81" s="4" t="s">
        <v>34</v>
      </c>
      <c r="F81" s="4" t="s">
        <v>35</v>
      </c>
      <c r="G81" s="4" t="s">
        <v>36</v>
      </c>
      <c r="H81" s="20" t="s">
        <v>100</v>
      </c>
      <c r="I81" s="4" t="s">
        <v>65</v>
      </c>
      <c r="J81" s="31">
        <v>50</v>
      </c>
      <c r="K81" s="22">
        <f>IF(I81="","",IF(I81="ENTRADA",ABS(J81),-ABS(J81)))</f>
        <v>-50</v>
      </c>
      <c r="L81" s="4" t="s">
        <v>37</v>
      </c>
      <c r="M81" s="4"/>
      <c r="N81" s="4">
        <v>59324</v>
      </c>
      <c r="O81" s="4" t="s">
        <v>237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 hidden="1">
      <c r="A82" s="20" t="s">
        <v>242</v>
      </c>
      <c r="B82" s="32">
        <v>46135</v>
      </c>
      <c r="C82" s="4" t="s">
        <v>59</v>
      </c>
      <c r="D82" s="4" t="s">
        <v>60</v>
      </c>
      <c r="E82" s="4" t="s">
        <v>34</v>
      </c>
      <c r="F82" s="4" t="s">
        <v>35</v>
      </c>
      <c r="G82" s="4"/>
      <c r="H82" s="20" t="s">
        <v>68</v>
      </c>
      <c r="I82" s="4" t="s">
        <v>65</v>
      </c>
      <c r="J82" s="31">
        <v>500</v>
      </c>
      <c r="K82" s="22">
        <f>IF(I82="","",IF(I82="ENTRADA",ABS(J82),-ABS(J82)))</f>
        <v>-500</v>
      </c>
      <c r="L82" s="4" t="s">
        <v>37</v>
      </c>
      <c r="M82" s="4"/>
      <c r="N82" s="4">
        <v>59324</v>
      </c>
      <c r="O82" s="4" t="s">
        <v>237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 hidden="1">
      <c r="A83" s="20" t="s">
        <v>243</v>
      </c>
      <c r="B83" s="32">
        <v>46135</v>
      </c>
      <c r="C83" s="4" t="s">
        <v>70</v>
      </c>
      <c r="D83" s="4" t="s">
        <v>71</v>
      </c>
      <c r="E83" s="4" t="s">
        <v>70</v>
      </c>
      <c r="F83" s="4"/>
      <c r="G83" s="4" t="s">
        <v>72</v>
      </c>
      <c r="H83" s="20" t="s">
        <v>154</v>
      </c>
      <c r="I83" s="4" t="s">
        <v>65</v>
      </c>
      <c r="J83" s="31">
        <v>30</v>
      </c>
      <c r="K83" s="22">
        <f>IF(I83="","",IF(I83="ENTRADA",ABS(J83),-ABS(J83)))</f>
        <v>-30</v>
      </c>
      <c r="L83" s="4" t="s">
        <v>73</v>
      </c>
      <c r="M83" s="4"/>
      <c r="N83" s="4">
        <v>59324</v>
      </c>
      <c r="O83" s="4" t="s">
        <v>237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 hidden="1">
      <c r="A84" s="20" t="s">
        <v>244</v>
      </c>
      <c r="B84" s="32">
        <v>46135</v>
      </c>
      <c r="C84" s="4" t="s">
        <v>245</v>
      </c>
      <c r="D84" s="4" t="s">
        <v>246</v>
      </c>
      <c r="E84" s="4" t="s">
        <v>34</v>
      </c>
      <c r="F84" s="4" t="s">
        <v>35</v>
      </c>
      <c r="G84" s="4" t="s">
        <v>27</v>
      </c>
      <c r="H84" s="20" t="str">
        <f>+T84</f>
        <v>260423-080</v>
      </c>
      <c r="I84" s="4" t="s">
        <v>28</v>
      </c>
      <c r="J84" s="31">
        <v>200</v>
      </c>
      <c r="K84" s="22">
        <f>IF(I84="","",IF(I84="ENTRADA",ABS(J84),-ABS(J84)))</f>
        <v>200</v>
      </c>
      <c r="L84" s="4" t="s">
        <v>37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247</v>
      </c>
    </row>
    <row r="85" spans="1:21" hidden="1">
      <c r="A85" s="20" t="s">
        <v>248</v>
      </c>
      <c r="B85" s="32">
        <v>46135</v>
      </c>
      <c r="C85" s="4" t="s">
        <v>249</v>
      </c>
      <c r="D85" s="4" t="s">
        <v>250</v>
      </c>
      <c r="E85" s="4" t="s">
        <v>132</v>
      </c>
      <c r="F85" s="4"/>
      <c r="G85" s="4" t="s">
        <v>27</v>
      </c>
      <c r="H85" s="20" t="str">
        <f>+T85</f>
        <v>260423-083</v>
      </c>
      <c r="I85" s="4" t="s">
        <v>28</v>
      </c>
      <c r="J85" s="31">
        <v>188</v>
      </c>
      <c r="K85" s="22">
        <f>IF(I85="","",IF(I85="ENTRADA",ABS(J85),-ABS(J85)))</f>
        <v>188</v>
      </c>
      <c r="L85" s="4" t="s">
        <v>37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247</v>
      </c>
    </row>
    <row r="86" spans="1:21" hidden="1">
      <c r="A86" s="20" t="s">
        <v>251</v>
      </c>
      <c r="B86" s="32">
        <v>46135</v>
      </c>
      <c r="C86" s="4" t="s">
        <v>115</v>
      </c>
      <c r="D86" s="4" t="s">
        <v>116</v>
      </c>
      <c r="E86" s="4" t="s">
        <v>34</v>
      </c>
      <c r="F86" s="4" t="s">
        <v>35</v>
      </c>
      <c r="G86" s="4" t="s">
        <v>117</v>
      </c>
      <c r="H86" s="20" t="s">
        <v>120</v>
      </c>
      <c r="I86" s="4" t="s">
        <v>28</v>
      </c>
      <c r="J86" s="31">
        <v>19120</v>
      </c>
      <c r="K86" s="22">
        <f>IF(I86="","",IF(I86="ENTRADA",ABS(J86),-ABS(J86)))</f>
        <v>19120</v>
      </c>
      <c r="L86" s="4" t="s">
        <v>37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 hidden="1">
      <c r="A87" s="20" t="s">
        <v>252</v>
      </c>
      <c r="B87" s="32">
        <v>46135</v>
      </c>
      <c r="C87" s="4" t="s">
        <v>126</v>
      </c>
      <c r="D87" s="4" t="s">
        <v>127</v>
      </c>
      <c r="E87" s="4" t="s">
        <v>25</v>
      </c>
      <c r="F87" s="4" t="s">
        <v>128</v>
      </c>
      <c r="G87" s="4"/>
      <c r="H87" s="20" t="s">
        <v>145</v>
      </c>
      <c r="I87" s="4" t="s">
        <v>65</v>
      </c>
      <c r="J87" s="31">
        <v>25600</v>
      </c>
      <c r="K87" s="22">
        <f>IF(I87="","",IF(I87="ENTRADA",ABS(J87),-ABS(J87)))</f>
        <v>-25600</v>
      </c>
      <c r="L87" s="4" t="s">
        <v>29</v>
      </c>
      <c r="M87" s="4"/>
      <c r="N87" s="4">
        <v>59325</v>
      </c>
      <c r="O87" s="4" t="s">
        <v>152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 hidden="1">
      <c r="A88" s="20" t="s">
        <v>253</v>
      </c>
      <c r="B88" s="32">
        <v>46136</v>
      </c>
      <c r="C88" s="4" t="s">
        <v>130</v>
      </c>
      <c r="D88" s="4" t="s">
        <v>131</v>
      </c>
      <c r="E88" s="4" t="s">
        <v>132</v>
      </c>
      <c r="F88" s="4"/>
      <c r="G88" s="4" t="s">
        <v>133</v>
      </c>
      <c r="H88" s="20" t="s">
        <v>221</v>
      </c>
      <c r="I88" s="4" t="s">
        <v>65</v>
      </c>
      <c r="J88" s="31">
        <v>120</v>
      </c>
      <c r="K88" s="22">
        <f>IF(I88="","",IF(I88="ENTRADA",ABS(J88),-ABS(J88)))</f>
        <v>-120</v>
      </c>
      <c r="L88" s="4" t="s">
        <v>37</v>
      </c>
      <c r="M88" s="4"/>
      <c r="N88" s="4">
        <v>59326</v>
      </c>
      <c r="O88" s="4" t="s">
        <v>152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 hidden="1">
      <c r="A89" s="20" t="s">
        <v>254</v>
      </c>
      <c r="B89" s="32">
        <v>46136</v>
      </c>
      <c r="C89" s="4" t="s">
        <v>137</v>
      </c>
      <c r="D89" s="4" t="s">
        <v>138</v>
      </c>
      <c r="E89" s="4" t="s">
        <v>132</v>
      </c>
      <c r="F89" s="4"/>
      <c r="G89" s="4" t="s">
        <v>133</v>
      </c>
      <c r="H89" s="20" t="s">
        <v>211</v>
      </c>
      <c r="I89" s="4" t="s">
        <v>65</v>
      </c>
      <c r="J89" s="49">
        <v>15</v>
      </c>
      <c r="K89" s="22">
        <f>IF(I89="","",IF(I89="ENTRADA",ABS(J89),-ABS(J89)))</f>
        <v>-15</v>
      </c>
      <c r="L89" s="4" t="s">
        <v>37</v>
      </c>
      <c r="M89" s="4"/>
      <c r="N89" s="4">
        <v>59326</v>
      </c>
      <c r="O89" s="4" t="s">
        <v>152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 hidden="1">
      <c r="A90" s="20" t="s">
        <v>255</v>
      </c>
      <c r="B90" s="32">
        <v>46136</v>
      </c>
      <c r="C90" s="4" t="s">
        <v>256</v>
      </c>
      <c r="D90" s="4" t="s">
        <v>257</v>
      </c>
      <c r="E90" s="4" t="s">
        <v>25</v>
      </c>
      <c r="F90" s="4" t="s">
        <v>258</v>
      </c>
      <c r="G90" s="4" t="s">
        <v>259</v>
      </c>
      <c r="H90" s="20" t="str">
        <f>+T90</f>
        <v>260424-088</v>
      </c>
      <c r="I90" s="4" t="s">
        <v>28</v>
      </c>
      <c r="J90" s="31">
        <v>5200</v>
      </c>
      <c r="K90" s="22">
        <f>IF(I90="","",IF(I90="ENTRADA",ABS(J90),-ABS(J90)))</f>
        <v>5200</v>
      </c>
      <c r="L90" s="4" t="s">
        <v>29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 hidden="1">
      <c r="A91" s="20" t="s">
        <v>260</v>
      </c>
      <c r="B91" s="32">
        <v>46136</v>
      </c>
      <c r="C91" s="4" t="s">
        <v>261</v>
      </c>
      <c r="D91" s="4" t="s">
        <v>262</v>
      </c>
      <c r="E91" s="4" t="s">
        <v>25</v>
      </c>
      <c r="F91" s="4" t="s">
        <v>184</v>
      </c>
      <c r="G91" s="4" t="s">
        <v>259</v>
      </c>
      <c r="H91" s="20" t="str">
        <f>+T91</f>
        <v>260424-089</v>
      </c>
      <c r="I91" s="4" t="s">
        <v>28</v>
      </c>
      <c r="J91" s="31">
        <v>1200</v>
      </c>
      <c r="K91" s="22">
        <f>IF(I91="","",IF(I91="ENTRADA",ABS(J91),-ABS(J91)))</f>
        <v>1200</v>
      </c>
      <c r="L91" s="4" t="s">
        <v>29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 hidden="1">
      <c r="A92" s="20" t="s">
        <v>263</v>
      </c>
      <c r="B92" s="32">
        <v>46136</v>
      </c>
      <c r="C92" s="4" t="s">
        <v>264</v>
      </c>
      <c r="D92" s="4" t="s">
        <v>265</v>
      </c>
      <c r="E92" s="4" t="s">
        <v>25</v>
      </c>
      <c r="F92" s="4" t="s">
        <v>170</v>
      </c>
      <c r="G92" s="4" t="s">
        <v>259</v>
      </c>
      <c r="H92" s="20" t="str">
        <f>+T92</f>
        <v>260424-090</v>
      </c>
      <c r="I92" s="4" t="s">
        <v>28</v>
      </c>
      <c r="J92" s="31">
        <v>375</v>
      </c>
      <c r="K92" s="22">
        <f>IF(I92="","",IF(I92="ENTRADA",ABS(J92),-ABS(J92)))</f>
        <v>375</v>
      </c>
      <c r="L92" s="4" t="s">
        <v>29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 hidden="1">
      <c r="A93" s="20" t="s">
        <v>266</v>
      </c>
      <c r="B93" s="32">
        <v>46136</v>
      </c>
      <c r="C93" s="4" t="s">
        <v>267</v>
      </c>
      <c r="D93" s="4" t="s">
        <v>267</v>
      </c>
      <c r="E93" s="4" t="s">
        <v>25</v>
      </c>
      <c r="F93" s="4" t="s">
        <v>26</v>
      </c>
      <c r="G93" s="4" t="s">
        <v>36</v>
      </c>
      <c r="H93" s="20" t="str">
        <f>+T93</f>
        <v>260424-091</v>
      </c>
      <c r="I93" s="4" t="s">
        <v>28</v>
      </c>
      <c r="J93" s="31">
        <v>200</v>
      </c>
      <c r="K93" s="22">
        <f>IF(I93="","",IF(I93="ENTRADA",ABS(J93),-ABS(J93)))</f>
        <v>200</v>
      </c>
      <c r="L93" s="4" t="s">
        <v>29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268</v>
      </c>
    </row>
    <row r="94" spans="1:21" hidden="1">
      <c r="A94" s="20" t="s">
        <v>269</v>
      </c>
      <c r="B94" s="32">
        <v>46136</v>
      </c>
      <c r="C94" s="4" t="s">
        <v>115</v>
      </c>
      <c r="D94" s="4" t="s">
        <v>116</v>
      </c>
      <c r="E94" s="4" t="s">
        <v>34</v>
      </c>
      <c r="F94" s="4" t="s">
        <v>35</v>
      </c>
      <c r="G94" s="4" t="s">
        <v>117</v>
      </c>
      <c r="H94" s="20" t="s">
        <v>120</v>
      </c>
      <c r="I94" s="4" t="s">
        <v>65</v>
      </c>
      <c r="J94" s="31">
        <v>960</v>
      </c>
      <c r="K94" s="22">
        <f>IF(I94="","",IF(I94="ENTRADA",ABS(J94),-ABS(J94)))</f>
        <v>-960</v>
      </c>
      <c r="L94" s="4" t="s">
        <v>37</v>
      </c>
      <c r="M94" s="4"/>
      <c r="N94" s="4">
        <v>59327</v>
      </c>
      <c r="O94" s="4" t="s">
        <v>201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 hidden="1">
      <c r="A95" s="20" t="s">
        <v>270</v>
      </c>
      <c r="B95" s="32">
        <v>46136</v>
      </c>
      <c r="C95" s="4" t="s">
        <v>122</v>
      </c>
      <c r="D95" s="4" t="s">
        <v>123</v>
      </c>
      <c r="E95" s="4" t="s">
        <v>34</v>
      </c>
      <c r="F95" s="4" t="s">
        <v>35</v>
      </c>
      <c r="G95" s="4" t="s">
        <v>117</v>
      </c>
      <c r="H95" s="20" t="s">
        <v>203</v>
      </c>
      <c r="I95" s="4" t="s">
        <v>65</v>
      </c>
      <c r="J95" s="31">
        <v>300</v>
      </c>
      <c r="K95" s="22">
        <f>IF(I95="","",IF(I95="ENTRADA",ABS(J95),-ABS(J95)))</f>
        <v>-300</v>
      </c>
      <c r="L95" s="4" t="s">
        <v>37</v>
      </c>
      <c r="M95" s="4"/>
      <c r="N95" s="4">
        <v>59327</v>
      </c>
      <c r="O95" s="4" t="s">
        <v>201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 hidden="1">
      <c r="A96" s="20" t="s">
        <v>271</v>
      </c>
      <c r="B96" s="32">
        <v>46137</v>
      </c>
      <c r="C96" s="4" t="s">
        <v>126</v>
      </c>
      <c r="D96" s="4" t="s">
        <v>127</v>
      </c>
      <c r="E96" s="4" t="s">
        <v>25</v>
      </c>
      <c r="F96" s="4" t="s">
        <v>128</v>
      </c>
      <c r="G96" s="4"/>
      <c r="H96" s="20" t="s">
        <v>145</v>
      </c>
      <c r="I96" s="4" t="s">
        <v>65</v>
      </c>
      <c r="J96" s="31">
        <v>10400</v>
      </c>
      <c r="K96" s="22">
        <f>IF(I96="","",IF(I96="ENTRADA",ABS(J96),-ABS(J96)))</f>
        <v>-10400</v>
      </c>
      <c r="L96" s="4" t="s">
        <v>29</v>
      </c>
      <c r="M96" s="4"/>
      <c r="N96" s="4">
        <v>59328</v>
      </c>
      <c r="O96" s="4" t="s">
        <v>201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 hidden="1">
      <c r="A97" s="20" t="s">
        <v>272</v>
      </c>
      <c r="B97" s="32">
        <v>46139</v>
      </c>
      <c r="C97" s="4" t="s">
        <v>23</v>
      </c>
      <c r="D97" s="4" t="s">
        <v>24</v>
      </c>
      <c r="E97" s="4" t="s">
        <v>25</v>
      </c>
      <c r="F97" s="4" t="s">
        <v>26</v>
      </c>
      <c r="G97" s="4" t="s">
        <v>27</v>
      </c>
      <c r="H97" s="20" t="s">
        <v>198</v>
      </c>
      <c r="I97" s="4" t="s">
        <v>65</v>
      </c>
      <c r="J97" s="31">
        <v>340</v>
      </c>
      <c r="K97" s="22">
        <f>IF(I97="","",IF(I97="ENTRADA",ABS(J97),-ABS(J97)))</f>
        <v>-340</v>
      </c>
      <c r="L97" s="4" t="s">
        <v>29</v>
      </c>
      <c r="M97" s="4"/>
      <c r="N97" s="4">
        <v>59329</v>
      </c>
      <c r="O97" s="4" t="s">
        <v>152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 hidden="1">
      <c r="A98" s="20" t="s">
        <v>273</v>
      </c>
      <c r="B98" s="32">
        <v>46139</v>
      </c>
      <c r="C98" s="4" t="s">
        <v>115</v>
      </c>
      <c r="D98" s="4" t="s">
        <v>116</v>
      </c>
      <c r="E98" s="4" t="s">
        <v>34</v>
      </c>
      <c r="F98" s="4" t="s">
        <v>35</v>
      </c>
      <c r="G98" s="4" t="s">
        <v>117</v>
      </c>
      <c r="H98" s="20" t="s">
        <v>120</v>
      </c>
      <c r="I98" s="4" t="s">
        <v>65</v>
      </c>
      <c r="J98" s="31">
        <v>400</v>
      </c>
      <c r="K98" s="22">
        <f>IF(I98="","",IF(I98="ENTRADA",ABS(J98),-ABS(J98)))</f>
        <v>-400</v>
      </c>
      <c r="L98" s="4" t="s">
        <v>37</v>
      </c>
      <c r="M98" s="4"/>
      <c r="N98" s="4">
        <v>59330</v>
      </c>
      <c r="O98" s="4" t="s">
        <v>201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 hidden="1">
      <c r="A99" s="20" t="s">
        <v>274</v>
      </c>
      <c r="B99" s="32">
        <v>46139</v>
      </c>
      <c r="C99" s="4" t="s">
        <v>86</v>
      </c>
      <c r="D99" s="4" t="s">
        <v>87</v>
      </c>
      <c r="E99" s="4" t="s">
        <v>34</v>
      </c>
      <c r="F99" s="4" t="s">
        <v>35</v>
      </c>
      <c r="G99" s="4" t="s">
        <v>36</v>
      </c>
      <c r="H99" s="20" t="s">
        <v>100</v>
      </c>
      <c r="I99" s="4" t="s">
        <v>65</v>
      </c>
      <c r="J99" s="31">
        <v>50</v>
      </c>
      <c r="K99" s="22">
        <f>IF(I99="","",IF(I99="ENTRADA",ABS(J99),-ABS(J99)))</f>
        <v>-50</v>
      </c>
      <c r="L99" s="4" t="s">
        <v>37</v>
      </c>
      <c r="M99" s="4"/>
      <c r="N99" s="4">
        <v>59330</v>
      </c>
      <c r="O99" s="4" t="s">
        <v>201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 hidden="1">
      <c r="A100" s="20" t="s">
        <v>275</v>
      </c>
      <c r="B100" s="32">
        <v>46139</v>
      </c>
      <c r="C100" s="4" t="s">
        <v>130</v>
      </c>
      <c r="D100" s="4" t="s">
        <v>131</v>
      </c>
      <c r="E100" s="4" t="s">
        <v>132</v>
      </c>
      <c r="F100" s="4"/>
      <c r="G100" s="4" t="s">
        <v>133</v>
      </c>
      <c r="H100" s="20" t="s">
        <v>221</v>
      </c>
      <c r="I100" s="4" t="s">
        <v>65</v>
      </c>
      <c r="J100" s="31">
        <v>20</v>
      </c>
      <c r="K100" s="22">
        <f>IF(I100="","",IF(I100="ENTRADA",ABS(J100),-ABS(J100)))</f>
        <v>-20</v>
      </c>
      <c r="L100" s="4" t="s">
        <v>37</v>
      </c>
      <c r="M100" s="4"/>
      <c r="N100" s="4">
        <v>59330</v>
      </c>
      <c r="O100" s="4" t="s">
        <v>201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 hidden="1">
      <c r="A101" s="20" t="s">
        <v>276</v>
      </c>
      <c r="B101" s="32">
        <v>46139</v>
      </c>
      <c r="C101" s="4" t="s">
        <v>44</v>
      </c>
      <c r="D101" s="4" t="s">
        <v>63</v>
      </c>
      <c r="E101" s="4" t="s">
        <v>34</v>
      </c>
      <c r="F101" s="4" t="s">
        <v>46</v>
      </c>
      <c r="G101" s="4" t="s">
        <v>36</v>
      </c>
      <c r="H101" s="20" t="s">
        <v>64</v>
      </c>
      <c r="I101" s="4" t="s">
        <v>65</v>
      </c>
      <c r="J101" s="31">
        <v>50</v>
      </c>
      <c r="K101" s="22">
        <f>IF(I101="","",IF(I101="ENTRADA",ABS(J101),-ABS(J101)))</f>
        <v>-50</v>
      </c>
      <c r="L101" s="4" t="s">
        <v>37</v>
      </c>
      <c r="M101" s="4"/>
      <c r="N101" s="4">
        <v>59330</v>
      </c>
      <c r="O101" s="4" t="s">
        <v>201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 hidden="1">
      <c r="A102" s="20" t="s">
        <v>277</v>
      </c>
      <c r="B102" s="32">
        <v>46141</v>
      </c>
      <c r="C102" s="4" t="s">
        <v>108</v>
      </c>
      <c r="D102" s="4" t="s">
        <v>109</v>
      </c>
      <c r="E102" s="4" t="s">
        <v>25</v>
      </c>
      <c r="F102" s="4" t="s">
        <v>26</v>
      </c>
      <c r="G102" s="4" t="s">
        <v>27</v>
      </c>
      <c r="H102" s="20" t="s">
        <v>278</v>
      </c>
      <c r="I102" s="4" t="s">
        <v>65</v>
      </c>
      <c r="J102" s="31">
        <v>460</v>
      </c>
      <c r="K102" s="22">
        <f>IF(I102="","",IF(I102="ENTRADA",ABS(J102),-ABS(J102)))</f>
        <v>-460</v>
      </c>
      <c r="L102" s="4" t="s">
        <v>29</v>
      </c>
      <c r="M102" s="4"/>
      <c r="N102" s="4">
        <v>59331</v>
      </c>
      <c r="O102" s="4" t="s">
        <v>237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 hidden="1">
      <c r="A103" s="20" t="s">
        <v>279</v>
      </c>
      <c r="B103" s="32">
        <v>46141</v>
      </c>
      <c r="C103" s="4" t="s">
        <v>50</v>
      </c>
      <c r="D103" s="4" t="s">
        <v>280</v>
      </c>
      <c r="E103" s="4" t="s">
        <v>34</v>
      </c>
      <c r="F103" s="4" t="s">
        <v>35</v>
      </c>
      <c r="G103" s="4" t="s">
        <v>36</v>
      </c>
      <c r="H103" s="20" t="s">
        <v>281</v>
      </c>
      <c r="I103" s="4" t="s">
        <v>65</v>
      </c>
      <c r="J103" s="31">
        <v>100</v>
      </c>
      <c r="K103" s="22">
        <f>IF(I103="","",IF(I103="ENTRADA",ABS(J103),-ABS(J103)))</f>
        <v>-100</v>
      </c>
      <c r="L103" s="4" t="s">
        <v>37</v>
      </c>
      <c r="M103" s="21">
        <v>46517</v>
      </c>
      <c r="N103" s="4">
        <v>59331</v>
      </c>
      <c r="O103" s="4" t="s">
        <v>237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 hidden="1">
      <c r="A104" s="20" t="s">
        <v>282</v>
      </c>
      <c r="B104" s="32">
        <v>46141</v>
      </c>
      <c r="C104" s="4" t="s">
        <v>283</v>
      </c>
      <c r="D104" s="4" t="s">
        <v>284</v>
      </c>
      <c r="E104" s="4" t="s">
        <v>285</v>
      </c>
      <c r="F104" s="4" t="s">
        <v>286</v>
      </c>
      <c r="G104" s="4" t="s">
        <v>83</v>
      </c>
      <c r="H104" s="20" t="str">
        <f>+T104</f>
        <v>260429-102</v>
      </c>
      <c r="I104" s="4" t="s">
        <v>28</v>
      </c>
      <c r="J104" s="31">
        <v>18500</v>
      </c>
      <c r="K104" s="22">
        <f>IF(I104="","",IF(I104="ENTRADA",ABS(J104),-ABS(J104)))</f>
        <v>18500</v>
      </c>
      <c r="L104" s="4" t="s">
        <v>37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84</v>
      </c>
    </row>
    <row r="105" spans="1:21" hidden="1">
      <c r="A105" s="20" t="s">
        <v>287</v>
      </c>
      <c r="B105" s="32">
        <v>46141</v>
      </c>
      <c r="C105" s="4" t="s">
        <v>80</v>
      </c>
      <c r="D105" s="4" t="s">
        <v>81</v>
      </c>
      <c r="E105" s="4" t="s">
        <v>25</v>
      </c>
      <c r="F105" s="4" t="s">
        <v>82</v>
      </c>
      <c r="G105" s="4" t="s">
        <v>83</v>
      </c>
      <c r="H105" s="20" t="s">
        <v>151</v>
      </c>
      <c r="I105" s="4" t="s">
        <v>65</v>
      </c>
      <c r="J105" s="31">
        <v>2500</v>
      </c>
      <c r="K105" s="22">
        <f>IF(I105="","",IF(I105="ENTRADA",ABS(J105),-ABS(J105)))</f>
        <v>-2500</v>
      </c>
      <c r="L105" s="4" t="s">
        <v>29</v>
      </c>
      <c r="M105" s="4"/>
      <c r="N105" s="4">
        <v>59332</v>
      </c>
      <c r="O105" s="4" t="s">
        <v>152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 hidden="1">
      <c r="A106" s="20" t="s">
        <v>288</v>
      </c>
      <c r="B106" s="32">
        <v>46141</v>
      </c>
      <c r="C106" s="4" t="s">
        <v>108</v>
      </c>
      <c r="D106" s="4" t="s">
        <v>109</v>
      </c>
      <c r="E106" s="4" t="s">
        <v>25</v>
      </c>
      <c r="F106" s="4" t="s">
        <v>26</v>
      </c>
      <c r="G106" s="4" t="s">
        <v>27</v>
      </c>
      <c r="H106" s="20" t="s">
        <v>278</v>
      </c>
      <c r="I106" s="4" t="s">
        <v>65</v>
      </c>
      <c r="J106" s="31">
        <v>540</v>
      </c>
      <c r="K106" s="22">
        <f>IF(I106="","",IF(I106="ENTRADA",ABS(J106),-ABS(J106)))</f>
        <v>-540</v>
      </c>
      <c r="L106" s="4" t="s">
        <v>29</v>
      </c>
      <c r="M106" s="4"/>
      <c r="N106" s="4">
        <v>59333</v>
      </c>
      <c r="O106" s="4" t="s">
        <v>152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 hidden="1">
      <c r="A107" s="20" t="s">
        <v>289</v>
      </c>
      <c r="B107" s="32">
        <v>46141</v>
      </c>
      <c r="C107" s="4" t="s">
        <v>70</v>
      </c>
      <c r="D107" s="4" t="s">
        <v>71</v>
      </c>
      <c r="E107" s="4" t="s">
        <v>70</v>
      </c>
      <c r="F107" s="4"/>
      <c r="G107" s="4" t="s">
        <v>72</v>
      </c>
      <c r="H107" s="20" t="str">
        <f>+T107</f>
        <v>260429-105</v>
      </c>
      <c r="I107" s="4" t="s">
        <v>28</v>
      </c>
      <c r="J107" s="31">
        <v>10</v>
      </c>
      <c r="K107" s="22">
        <f>IF(I107="","",IF(I107="ENTRADA",ABS(J107),-ABS(J107)))</f>
        <v>10</v>
      </c>
      <c r="L107" s="4" t="s">
        <v>73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 hidden="1">
      <c r="A108" s="20" t="s">
        <v>290</v>
      </c>
      <c r="B108" s="32">
        <v>46141</v>
      </c>
      <c r="C108" s="4" t="s">
        <v>115</v>
      </c>
      <c r="D108" s="4" t="s">
        <v>116</v>
      </c>
      <c r="E108" s="4" t="s">
        <v>34</v>
      </c>
      <c r="F108" s="4" t="s">
        <v>35</v>
      </c>
      <c r="G108" s="4" t="s">
        <v>117</v>
      </c>
      <c r="H108" s="20" t="s">
        <v>120</v>
      </c>
      <c r="I108" s="4" t="s">
        <v>65</v>
      </c>
      <c r="J108" s="31">
        <v>1500</v>
      </c>
      <c r="K108" s="22">
        <f>IF(I108="","",IF(I108="ENTRADA",ABS(J108),-ABS(J108)))</f>
        <v>-1500</v>
      </c>
      <c r="L108" s="4" t="s">
        <v>37</v>
      </c>
      <c r="M108" s="4"/>
      <c r="N108" s="4">
        <v>59334</v>
      </c>
      <c r="O108" s="4" t="s">
        <v>66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 hidden="1">
      <c r="A109" s="20" t="s">
        <v>291</v>
      </c>
      <c r="B109" s="42">
        <v>46141</v>
      </c>
      <c r="C109" s="33" t="s">
        <v>122</v>
      </c>
      <c r="D109" s="33" t="s">
        <v>123</v>
      </c>
      <c r="E109" s="33" t="s">
        <v>34</v>
      </c>
      <c r="F109" s="33" t="s">
        <v>35</v>
      </c>
      <c r="G109" s="33" t="s">
        <v>117</v>
      </c>
      <c r="H109" s="20" t="s">
        <v>203</v>
      </c>
      <c r="I109" s="33" t="s">
        <v>65</v>
      </c>
      <c r="J109" s="37">
        <v>300</v>
      </c>
      <c r="K109" s="22">
        <f>IF(I109="","",IF(I109="ENTRADA",ABS(J109),-ABS(J109)))</f>
        <v>-300</v>
      </c>
      <c r="L109" s="33" t="s">
        <v>37</v>
      </c>
      <c r="M109" s="33"/>
      <c r="N109" s="33">
        <v>59334</v>
      </c>
      <c r="O109" s="33" t="s">
        <v>66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 hidden="1">
      <c r="A110" s="20" t="s">
        <v>292</v>
      </c>
      <c r="B110" s="42">
        <v>46141</v>
      </c>
      <c r="C110" s="33" t="s">
        <v>130</v>
      </c>
      <c r="D110" s="33" t="s">
        <v>131</v>
      </c>
      <c r="E110" s="33" t="s">
        <v>132</v>
      </c>
      <c r="F110" s="33"/>
      <c r="G110" s="33" t="s">
        <v>133</v>
      </c>
      <c r="H110" s="20" t="s">
        <v>221</v>
      </c>
      <c r="I110" s="33" t="s">
        <v>65</v>
      </c>
      <c r="J110" s="37">
        <v>60</v>
      </c>
      <c r="K110" s="22">
        <f>IF(I110="","",IF(I110="ENTRADA",ABS(J110),-ABS(J110)))</f>
        <v>-60</v>
      </c>
      <c r="L110" s="33" t="s">
        <v>37</v>
      </c>
      <c r="M110" s="33"/>
      <c r="N110" s="33">
        <v>59334</v>
      </c>
      <c r="O110" s="33" t="s">
        <v>66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 hidden="1">
      <c r="A111" s="20" t="s">
        <v>293</v>
      </c>
      <c r="B111" s="42">
        <v>46141</v>
      </c>
      <c r="C111" s="33" t="s">
        <v>137</v>
      </c>
      <c r="D111" s="33" t="s">
        <v>138</v>
      </c>
      <c r="E111" s="33" t="s">
        <v>132</v>
      </c>
      <c r="F111" s="33"/>
      <c r="G111" s="33" t="s">
        <v>133</v>
      </c>
      <c r="H111" s="20" t="s">
        <v>211</v>
      </c>
      <c r="I111" s="33" t="s">
        <v>65</v>
      </c>
      <c r="J111" s="50">
        <v>15</v>
      </c>
      <c r="K111" s="22">
        <f>IF(I111="","",IF(I111="ENTRADA",ABS(J111),-ABS(J111)))</f>
        <v>-15</v>
      </c>
      <c r="L111" s="33" t="s">
        <v>37</v>
      </c>
      <c r="M111" s="33"/>
      <c r="N111" s="33">
        <v>59334</v>
      </c>
      <c r="O111" s="33" t="s">
        <v>66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 hidden="1">
      <c r="A112" s="20" t="s">
        <v>294</v>
      </c>
      <c r="B112" s="42">
        <v>46141</v>
      </c>
      <c r="C112" s="33" t="s">
        <v>156</v>
      </c>
      <c r="D112" s="33" t="s">
        <v>157</v>
      </c>
      <c r="E112" s="33" t="s">
        <v>25</v>
      </c>
      <c r="F112" s="33" t="s">
        <v>26</v>
      </c>
      <c r="G112" s="33" t="s">
        <v>158</v>
      </c>
      <c r="H112" s="20" t="s">
        <v>295</v>
      </c>
      <c r="I112" s="33" t="s">
        <v>65</v>
      </c>
      <c r="J112" s="37">
        <v>660</v>
      </c>
      <c r="K112" s="22">
        <f>IF(I112="","",IF(I112="ENTRADA",ABS(J112),-ABS(J112)))</f>
        <v>-660</v>
      </c>
      <c r="L112" s="33" t="s">
        <v>29</v>
      </c>
      <c r="M112" s="33"/>
      <c r="N112" s="33">
        <v>59334</v>
      </c>
      <c r="O112" s="33" t="s">
        <v>66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 hidden="1">
      <c r="A113" s="20" t="s">
        <v>296</v>
      </c>
      <c r="B113" s="42">
        <v>46141</v>
      </c>
      <c r="C113" s="33" t="s">
        <v>70</v>
      </c>
      <c r="D113" s="33" t="s">
        <v>71</v>
      </c>
      <c r="E113" s="33" t="s">
        <v>70</v>
      </c>
      <c r="F113" s="33"/>
      <c r="G113" s="33" t="s">
        <v>72</v>
      </c>
      <c r="H113" s="20" t="s">
        <v>297</v>
      </c>
      <c r="I113" s="33" t="s">
        <v>65</v>
      </c>
      <c r="J113" s="37">
        <v>10</v>
      </c>
      <c r="K113" s="22">
        <f>IF(I113="","",IF(I113="ENTRADA",ABS(J113),-ABS(J113)))</f>
        <v>-10</v>
      </c>
      <c r="L113" s="33" t="s">
        <v>73</v>
      </c>
      <c r="M113" s="33"/>
      <c r="N113" s="33">
        <v>59334</v>
      </c>
      <c r="O113" s="33" t="s">
        <v>66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 hidden="1">
      <c r="A114" s="20" t="s">
        <v>298</v>
      </c>
      <c r="B114" s="44">
        <v>46141</v>
      </c>
      <c r="C114" s="33" t="s">
        <v>299</v>
      </c>
      <c r="D114" s="33" t="s">
        <v>300</v>
      </c>
      <c r="E114" s="33" t="s">
        <v>25</v>
      </c>
      <c r="F114" s="33" t="s">
        <v>165</v>
      </c>
      <c r="G114" s="33" t="s">
        <v>301</v>
      </c>
      <c r="H114" s="20" t="str">
        <f>+T114</f>
        <v>260429-112</v>
      </c>
      <c r="I114" s="33" t="s">
        <v>28</v>
      </c>
      <c r="J114" s="37">
        <v>2840</v>
      </c>
      <c r="K114" s="22">
        <f>IF(I114="","",IF(I114="ENTRADA",ABS(J114),-ABS(J114)))</f>
        <v>2840</v>
      </c>
      <c r="L114" s="33" t="s">
        <v>29</v>
      </c>
      <c r="M114" s="33"/>
      <c r="N114" s="33" t="s">
        <v>302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 hidden="1">
      <c r="A115" s="20" t="s">
        <v>303</v>
      </c>
      <c r="B115" s="42">
        <v>46141</v>
      </c>
      <c r="C115" s="33" t="s">
        <v>304</v>
      </c>
      <c r="D115" s="33" t="s">
        <v>305</v>
      </c>
      <c r="E115" s="33" t="s">
        <v>25</v>
      </c>
      <c r="F115" s="33" t="s">
        <v>188</v>
      </c>
      <c r="G115" s="33" t="s">
        <v>301</v>
      </c>
      <c r="H115" s="20" t="str">
        <f>+T115</f>
        <v>260429-113</v>
      </c>
      <c r="I115" s="33" t="s">
        <v>28</v>
      </c>
      <c r="J115" s="37">
        <v>300</v>
      </c>
      <c r="K115" s="22">
        <f>IF(I115="","",IF(I115="ENTRADA",ABS(J115),-ABS(J115)))</f>
        <v>300</v>
      </c>
      <c r="L115" s="33" t="s">
        <v>29</v>
      </c>
      <c r="M115" s="33"/>
      <c r="N115" s="33" t="s">
        <v>302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 hidden="1">
      <c r="A116" s="20" t="s">
        <v>306</v>
      </c>
      <c r="B116" s="42">
        <v>46142</v>
      </c>
      <c r="C116" s="33" t="s">
        <v>108</v>
      </c>
      <c r="D116" s="33" t="s">
        <v>109</v>
      </c>
      <c r="E116" s="33" t="s">
        <v>25</v>
      </c>
      <c r="F116" s="33" t="s">
        <v>26</v>
      </c>
      <c r="G116" s="33" t="s">
        <v>27</v>
      </c>
      <c r="H116" s="20" t="s">
        <v>278</v>
      </c>
      <c r="I116" s="33" t="s">
        <v>65</v>
      </c>
      <c r="J116" s="37">
        <v>200</v>
      </c>
      <c r="K116" s="22">
        <f>IF(I116="","",IF(I116="ENTRADA",ABS(J116),-ABS(J116)))</f>
        <v>-200</v>
      </c>
      <c r="L116" s="33" t="s">
        <v>29</v>
      </c>
      <c r="M116" s="33"/>
      <c r="N116" s="33">
        <v>59335</v>
      </c>
      <c r="O116" s="33" t="s">
        <v>152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 hidden="1">
      <c r="A117" s="20" t="s">
        <v>307</v>
      </c>
      <c r="B117" s="44">
        <v>46146</v>
      </c>
      <c r="C117" s="33" t="s">
        <v>178</v>
      </c>
      <c r="D117" s="33" t="s">
        <v>179</v>
      </c>
      <c r="E117" s="33" t="s">
        <v>25</v>
      </c>
      <c r="F117" s="33" t="s">
        <v>165</v>
      </c>
      <c r="G117" s="33" t="s">
        <v>180</v>
      </c>
      <c r="H117" s="20" t="s">
        <v>308</v>
      </c>
      <c r="I117" s="33" t="s">
        <v>65</v>
      </c>
      <c r="J117" s="37">
        <v>3900</v>
      </c>
      <c r="K117" s="22">
        <f>IF(I117="","",IF(I117="ENTRADA",ABS(J117),-ABS(J117)))</f>
        <v>-3900</v>
      </c>
      <c r="L117" s="33" t="s">
        <v>29</v>
      </c>
      <c r="M117" s="33"/>
      <c r="N117" s="33">
        <v>59336</v>
      </c>
      <c r="O117" s="33" t="s">
        <v>309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 hidden="1">
      <c r="A118" s="20" t="s">
        <v>310</v>
      </c>
      <c r="B118" s="44">
        <v>46146</v>
      </c>
      <c r="C118" s="33" t="s">
        <v>178</v>
      </c>
      <c r="D118" s="33" t="s">
        <v>179</v>
      </c>
      <c r="E118" s="33" t="s">
        <v>25</v>
      </c>
      <c r="F118" s="33" t="s">
        <v>165</v>
      </c>
      <c r="G118" s="33" t="s">
        <v>180</v>
      </c>
      <c r="H118" s="20" t="s">
        <v>308</v>
      </c>
      <c r="I118" s="33" t="s">
        <v>65</v>
      </c>
      <c r="J118" s="37">
        <v>1800</v>
      </c>
      <c r="K118" s="22">
        <f>IF(I118="","",IF(I118="ENTRADA",ABS(J118),-ABS(J118)))</f>
        <v>-1800</v>
      </c>
      <c r="L118" s="33" t="s">
        <v>29</v>
      </c>
      <c r="M118" s="33"/>
      <c r="N118" s="33">
        <v>59336</v>
      </c>
      <c r="O118" s="33" t="s">
        <v>311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 hidden="1">
      <c r="A119" s="20" t="s">
        <v>312</v>
      </c>
      <c r="B119" s="42">
        <v>46146</v>
      </c>
      <c r="C119" s="33" t="s">
        <v>256</v>
      </c>
      <c r="D119" s="33" t="s">
        <v>257</v>
      </c>
      <c r="E119" s="33" t="s">
        <v>25</v>
      </c>
      <c r="F119" s="33" t="s">
        <v>258</v>
      </c>
      <c r="G119" s="33" t="s">
        <v>259</v>
      </c>
      <c r="H119" s="20" t="s">
        <v>313</v>
      </c>
      <c r="I119" s="33" t="s">
        <v>65</v>
      </c>
      <c r="J119" s="37">
        <v>3200</v>
      </c>
      <c r="K119" s="22">
        <f>IF(I119="","",IF(I119="ENTRADA",ABS(J119),-ABS(J119)))</f>
        <v>-3200</v>
      </c>
      <c r="L119" s="33" t="s">
        <v>29</v>
      </c>
      <c r="M119" s="33"/>
      <c r="N119" s="33">
        <v>59336</v>
      </c>
      <c r="O119" s="33" t="s">
        <v>309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 hidden="1">
      <c r="A120" s="20" t="s">
        <v>314</v>
      </c>
      <c r="B120" s="42">
        <v>46146</v>
      </c>
      <c r="C120" s="33" t="s">
        <v>172</v>
      </c>
      <c r="D120" s="33" t="s">
        <v>173</v>
      </c>
      <c r="E120" s="33" t="s">
        <v>25</v>
      </c>
      <c r="F120" s="33" t="s">
        <v>174</v>
      </c>
      <c r="G120" s="33" t="s">
        <v>166</v>
      </c>
      <c r="H120" s="20" t="s">
        <v>315</v>
      </c>
      <c r="I120" s="33" t="s">
        <v>65</v>
      </c>
      <c r="J120" s="37">
        <v>325</v>
      </c>
      <c r="K120" s="22">
        <f>IF(I120="","",IF(I120="ENTRADA",ABS(J120),-ABS(J120)))</f>
        <v>-325</v>
      </c>
      <c r="L120" s="33" t="s">
        <v>29</v>
      </c>
      <c r="M120" s="33"/>
      <c r="N120" s="33">
        <v>59336</v>
      </c>
      <c r="O120" s="33" t="s">
        <v>309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 hidden="1">
      <c r="A121" s="20" t="s">
        <v>316</v>
      </c>
      <c r="B121" s="44">
        <v>46146</v>
      </c>
      <c r="C121" s="33" t="s">
        <v>164</v>
      </c>
      <c r="D121" s="33" t="s">
        <v>164</v>
      </c>
      <c r="E121" s="33" t="s">
        <v>25</v>
      </c>
      <c r="F121" s="33" t="s">
        <v>165</v>
      </c>
      <c r="G121" s="33" t="s">
        <v>166</v>
      </c>
      <c r="H121" s="20" t="s">
        <v>317</v>
      </c>
      <c r="I121" s="33" t="s">
        <v>65</v>
      </c>
      <c r="J121" s="37">
        <v>3400</v>
      </c>
      <c r="K121" s="22">
        <f>IF(I121="","",IF(I121="ENTRADA",ABS(J121),-ABS(J121)))</f>
        <v>-3400</v>
      </c>
      <c r="L121" s="33" t="s">
        <v>29</v>
      </c>
      <c r="M121" s="33"/>
      <c r="N121" s="33">
        <v>59336</v>
      </c>
      <c r="O121" s="33" t="s">
        <v>311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 hidden="1">
      <c r="A122" s="20" t="s">
        <v>318</v>
      </c>
      <c r="B122" s="42">
        <v>46146</v>
      </c>
      <c r="C122" s="33" t="s">
        <v>186</v>
      </c>
      <c r="D122" s="33" t="s">
        <v>187</v>
      </c>
      <c r="E122" s="33" t="s">
        <v>25</v>
      </c>
      <c r="F122" s="33" t="s">
        <v>188</v>
      </c>
      <c r="G122" s="33" t="s">
        <v>180</v>
      </c>
      <c r="H122" s="20" t="s">
        <v>319</v>
      </c>
      <c r="I122" s="33" t="s">
        <v>65</v>
      </c>
      <c r="J122" s="37">
        <v>300</v>
      </c>
      <c r="K122" s="22">
        <f>IF(I122="","",IF(I122="ENTRADA",ABS(J122),-ABS(J122)))</f>
        <v>-300</v>
      </c>
      <c r="L122" s="33" t="s">
        <v>29</v>
      </c>
      <c r="M122" s="33"/>
      <c r="N122" s="33">
        <v>59336</v>
      </c>
      <c r="O122" s="33" t="s">
        <v>309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 hidden="1">
      <c r="A123" s="20" t="s">
        <v>320</v>
      </c>
      <c r="B123" s="42">
        <v>46146</v>
      </c>
      <c r="C123" s="33" t="s">
        <v>190</v>
      </c>
      <c r="D123" s="33" t="s">
        <v>191</v>
      </c>
      <c r="E123" s="33" t="s">
        <v>25</v>
      </c>
      <c r="F123" s="33" t="s">
        <v>192</v>
      </c>
      <c r="G123" s="33" t="s">
        <v>180</v>
      </c>
      <c r="H123" s="20" t="s">
        <v>321</v>
      </c>
      <c r="I123" s="33" t="s">
        <v>65</v>
      </c>
      <c r="J123" s="37">
        <v>450</v>
      </c>
      <c r="K123" s="22">
        <f>IF(I123="","",IF(I123="ENTRADA",ABS(J123),-ABS(J123)))</f>
        <v>-450</v>
      </c>
      <c r="L123" s="33" t="s">
        <v>29</v>
      </c>
      <c r="M123" s="33"/>
      <c r="N123" s="33">
        <v>59337</v>
      </c>
      <c r="O123" s="33" t="s">
        <v>309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 hidden="1">
      <c r="A124" s="20" t="s">
        <v>322</v>
      </c>
      <c r="B124" s="42">
        <v>46146</v>
      </c>
      <c r="C124" s="33" t="s">
        <v>261</v>
      </c>
      <c r="D124" s="33" t="s">
        <v>262</v>
      </c>
      <c r="E124" s="33" t="s">
        <v>25</v>
      </c>
      <c r="F124" s="33" t="s">
        <v>184</v>
      </c>
      <c r="G124" s="33" t="s">
        <v>259</v>
      </c>
      <c r="H124" s="20" t="s">
        <v>323</v>
      </c>
      <c r="I124" s="33" t="s">
        <v>65</v>
      </c>
      <c r="J124" s="37">
        <v>1200</v>
      </c>
      <c r="K124" s="22">
        <f>IF(I124="","",IF(I124="ENTRADA",ABS(J124),-ABS(J124)))</f>
        <v>-1200</v>
      </c>
      <c r="L124" s="33" t="s">
        <v>29</v>
      </c>
      <c r="M124" s="33"/>
      <c r="N124" s="33">
        <v>59337</v>
      </c>
      <c r="O124" s="33" t="s">
        <v>309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 hidden="1">
      <c r="A125" s="20" t="s">
        <v>324</v>
      </c>
      <c r="B125" s="42">
        <v>46146</v>
      </c>
      <c r="C125" s="33" t="s">
        <v>194</v>
      </c>
      <c r="D125" s="33" t="s">
        <v>194</v>
      </c>
      <c r="E125" s="33" t="s">
        <v>25</v>
      </c>
      <c r="F125" s="33" t="s">
        <v>195</v>
      </c>
      <c r="G125" s="33" t="s">
        <v>180</v>
      </c>
      <c r="H125" s="20" t="s">
        <v>325</v>
      </c>
      <c r="I125" s="33" t="s">
        <v>65</v>
      </c>
      <c r="J125" s="37">
        <v>275</v>
      </c>
      <c r="K125" s="22">
        <f>IF(I125="","",IF(I125="ENTRADA",ABS(J125),-ABS(J125)))</f>
        <v>-275</v>
      </c>
      <c r="L125" s="33" t="s">
        <v>29</v>
      </c>
      <c r="M125" s="33"/>
      <c r="N125" s="33">
        <v>59337</v>
      </c>
      <c r="O125" s="33" t="s">
        <v>309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 hidden="1">
      <c r="A126" s="20" t="s">
        <v>326</v>
      </c>
      <c r="B126" s="42">
        <v>46146</v>
      </c>
      <c r="C126" s="33" t="s">
        <v>228</v>
      </c>
      <c r="D126" s="33" t="s">
        <v>229</v>
      </c>
      <c r="E126" s="33" t="s">
        <v>25</v>
      </c>
      <c r="F126" s="33" t="s">
        <v>26</v>
      </c>
      <c r="G126" s="33" t="s">
        <v>27</v>
      </c>
      <c r="H126" s="20" t="s">
        <v>327</v>
      </c>
      <c r="I126" s="33" t="s">
        <v>65</v>
      </c>
      <c r="J126" s="37">
        <v>1500</v>
      </c>
      <c r="K126" s="22">
        <f>IF(I126="","",IF(I126="ENTRADA",ABS(J126),-ABS(J126)))</f>
        <v>-1500</v>
      </c>
      <c r="L126" s="33" t="s">
        <v>29</v>
      </c>
      <c r="M126" s="33"/>
      <c r="N126" s="33">
        <v>59337</v>
      </c>
      <c r="O126" s="33" t="s">
        <v>309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 hidden="1">
      <c r="A127" s="20" t="s">
        <v>328</v>
      </c>
      <c r="B127" s="42">
        <v>46146</v>
      </c>
      <c r="C127" s="33" t="s">
        <v>231</v>
      </c>
      <c r="D127" s="33" t="s">
        <v>231</v>
      </c>
      <c r="E127" s="33" t="s">
        <v>25</v>
      </c>
      <c r="F127" s="33" t="s">
        <v>26</v>
      </c>
      <c r="G127" s="33" t="s">
        <v>27</v>
      </c>
      <c r="H127" s="20" t="s">
        <v>329</v>
      </c>
      <c r="I127" s="33" t="s">
        <v>65</v>
      </c>
      <c r="J127" s="37">
        <v>1180</v>
      </c>
      <c r="K127" s="22">
        <f>IF(I127="","",IF(I127="ENTRADA",ABS(J127),-ABS(J127)))</f>
        <v>-1180</v>
      </c>
      <c r="L127" s="33" t="s">
        <v>29</v>
      </c>
      <c r="M127" s="33"/>
      <c r="N127" s="33">
        <v>59337</v>
      </c>
      <c r="O127" s="33" t="s">
        <v>309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 hidden="1">
      <c r="A128" s="20" t="s">
        <v>330</v>
      </c>
      <c r="B128" s="42">
        <v>46146</v>
      </c>
      <c r="C128" s="33" t="s">
        <v>108</v>
      </c>
      <c r="D128" s="33" t="s">
        <v>109</v>
      </c>
      <c r="E128" s="33" t="s">
        <v>25</v>
      </c>
      <c r="F128" s="33" t="s">
        <v>26</v>
      </c>
      <c r="G128" s="33" t="s">
        <v>27</v>
      </c>
      <c r="H128" s="20" t="s">
        <v>278</v>
      </c>
      <c r="I128" s="33" t="s">
        <v>65</v>
      </c>
      <c r="J128" s="37">
        <v>1080</v>
      </c>
      <c r="K128" s="22">
        <f>IF(I128="","",IF(I128="ENTRADA",ABS(J128),-ABS(J128)))</f>
        <v>-1080</v>
      </c>
      <c r="L128" s="33" t="s">
        <v>29</v>
      </c>
      <c r="M128" s="33"/>
      <c r="N128" s="33">
        <v>59337</v>
      </c>
      <c r="O128" s="33" t="s">
        <v>331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 hidden="1">
      <c r="A129" s="20" t="s">
        <v>332</v>
      </c>
      <c r="B129" s="42">
        <v>46146</v>
      </c>
      <c r="C129" s="33" t="s">
        <v>80</v>
      </c>
      <c r="D129" s="33" t="s">
        <v>81</v>
      </c>
      <c r="E129" s="33" t="s">
        <v>25</v>
      </c>
      <c r="F129" s="33" t="s">
        <v>82</v>
      </c>
      <c r="G129" s="33" t="s">
        <v>83</v>
      </c>
      <c r="H129" s="20" t="s">
        <v>151</v>
      </c>
      <c r="I129" s="33" t="s">
        <v>65</v>
      </c>
      <c r="J129" s="37">
        <v>625</v>
      </c>
      <c r="K129" s="22">
        <f>IF(I129="","",IF(I129="ENTRADA",ABS(J129),-ABS(J129)))</f>
        <v>-625</v>
      </c>
      <c r="L129" s="33" t="s">
        <v>29</v>
      </c>
      <c r="M129" s="33"/>
      <c r="N129" s="33">
        <v>59340</v>
      </c>
      <c r="O129" s="33" t="s">
        <v>152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 hidden="1">
      <c r="A130" s="20" t="s">
        <v>333</v>
      </c>
      <c r="B130" s="42">
        <v>46146</v>
      </c>
      <c r="C130" s="33" t="s">
        <v>115</v>
      </c>
      <c r="D130" s="33" t="s">
        <v>116</v>
      </c>
      <c r="E130" s="33" t="s">
        <v>34</v>
      </c>
      <c r="F130" s="33" t="s">
        <v>35</v>
      </c>
      <c r="G130" s="33" t="s">
        <v>117</v>
      </c>
      <c r="H130" s="20" t="s">
        <v>120</v>
      </c>
      <c r="I130" s="33" t="s">
        <v>65</v>
      </c>
      <c r="J130" s="37">
        <v>2880</v>
      </c>
      <c r="K130" s="22">
        <f>IF(I130="","",IF(I130="ENTRADA",ABS(J130),-ABS(J130)))</f>
        <v>-2880</v>
      </c>
      <c r="L130" s="33" t="s">
        <v>37</v>
      </c>
      <c r="M130" s="33"/>
      <c r="N130" s="33">
        <v>59339</v>
      </c>
      <c r="O130" s="33" t="s">
        <v>213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 hidden="1">
      <c r="A131" s="20" t="s">
        <v>334</v>
      </c>
      <c r="B131" s="42">
        <v>46146</v>
      </c>
      <c r="C131" s="33" t="s">
        <v>122</v>
      </c>
      <c r="D131" s="33" t="s">
        <v>123</v>
      </c>
      <c r="E131" s="33" t="s">
        <v>34</v>
      </c>
      <c r="F131" s="33" t="s">
        <v>35</v>
      </c>
      <c r="G131" s="33" t="s">
        <v>117</v>
      </c>
      <c r="H131" s="20" t="s">
        <v>203</v>
      </c>
      <c r="I131" s="33" t="s">
        <v>65</v>
      </c>
      <c r="J131" s="37">
        <v>1000</v>
      </c>
      <c r="K131" s="22">
        <f>IF(I131="","",IF(I131="ENTRADA",ABS(J131),-ABS(J131)))</f>
        <v>-1000</v>
      </c>
      <c r="L131" s="33" t="s">
        <v>37</v>
      </c>
      <c r="M131" s="33"/>
      <c r="N131" s="33">
        <v>59339</v>
      </c>
      <c r="O131" s="33" t="s">
        <v>213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 hidden="1">
      <c r="A132" s="20" t="s">
        <v>335</v>
      </c>
      <c r="B132" s="42">
        <v>46146</v>
      </c>
      <c r="C132" s="33" t="s">
        <v>86</v>
      </c>
      <c r="D132" s="33" t="s">
        <v>87</v>
      </c>
      <c r="E132" s="33" t="s">
        <v>34</v>
      </c>
      <c r="F132" s="33" t="s">
        <v>35</v>
      </c>
      <c r="G132" s="33" t="s">
        <v>36</v>
      </c>
      <c r="H132" s="20" t="s">
        <v>100</v>
      </c>
      <c r="I132" s="33" t="s">
        <v>65</v>
      </c>
      <c r="J132" s="37">
        <v>200</v>
      </c>
      <c r="K132" s="22">
        <f>IF(I132="","",IF(I132="ENTRADA",ABS(J132),-ABS(J132)))</f>
        <v>-200</v>
      </c>
      <c r="L132" s="33" t="s">
        <v>37</v>
      </c>
      <c r="M132" s="33"/>
      <c r="N132" s="33">
        <v>59339</v>
      </c>
      <c r="O132" s="33" t="s">
        <v>213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 hidden="1">
      <c r="A133" s="20" t="s">
        <v>336</v>
      </c>
      <c r="B133" s="42">
        <v>46117</v>
      </c>
      <c r="C133" s="33" t="s">
        <v>108</v>
      </c>
      <c r="D133" s="33" t="s">
        <v>109</v>
      </c>
      <c r="E133" s="33" t="s">
        <v>25</v>
      </c>
      <c r="F133" s="33" t="s">
        <v>26</v>
      </c>
      <c r="G133" s="33" t="s">
        <v>27</v>
      </c>
      <c r="H133" s="20" t="s">
        <v>278</v>
      </c>
      <c r="I133" s="33" t="s">
        <v>65</v>
      </c>
      <c r="J133" s="37">
        <v>20</v>
      </c>
      <c r="K133" s="22">
        <f>IF(I133="","",IF(I133="ENTRADA",ABS(J133),-ABS(J133)))</f>
        <v>-20</v>
      </c>
      <c r="L133" s="33" t="s">
        <v>29</v>
      </c>
      <c r="M133" s="33"/>
      <c r="N133" s="33">
        <v>59341</v>
      </c>
      <c r="O133" s="33" t="s">
        <v>152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 hidden="1">
      <c r="A134" s="20" t="s">
        <v>337</v>
      </c>
      <c r="B134" s="42">
        <v>46117</v>
      </c>
      <c r="C134" s="33" t="s">
        <v>90</v>
      </c>
      <c r="D134" s="33" t="s">
        <v>91</v>
      </c>
      <c r="E134" s="33" t="s">
        <v>34</v>
      </c>
      <c r="F134" s="33" t="s">
        <v>35</v>
      </c>
      <c r="G134" s="33" t="s">
        <v>36</v>
      </c>
      <c r="H134" s="20" t="str">
        <f>+T134</f>
        <v>260405-132</v>
      </c>
      <c r="I134" s="33" t="s">
        <v>28</v>
      </c>
      <c r="J134" s="37">
        <v>4500</v>
      </c>
      <c r="K134" s="22">
        <f>IF(I134="","",IF(I134="ENTRADA",ABS(J134),-ABS(J134)))</f>
        <v>4500</v>
      </c>
      <c r="L134" s="33" t="s">
        <v>37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 hidden="1">
      <c r="A135" s="20" t="s">
        <v>338</v>
      </c>
      <c r="B135" s="42">
        <v>46146</v>
      </c>
      <c r="C135" s="33" t="s">
        <v>115</v>
      </c>
      <c r="D135" s="33" t="s">
        <v>116</v>
      </c>
      <c r="E135" s="33" t="s">
        <v>34</v>
      </c>
      <c r="F135" s="33" t="s">
        <v>35</v>
      </c>
      <c r="G135" s="33" t="s">
        <v>117</v>
      </c>
      <c r="H135" s="20" t="s">
        <v>120</v>
      </c>
      <c r="I135" s="33" t="s">
        <v>65</v>
      </c>
      <c r="J135" s="37">
        <v>900</v>
      </c>
      <c r="K135" s="22">
        <f>IF(I135="","",IF(I135="ENTRADA",ABS(J135),-ABS(J135)))</f>
        <v>-900</v>
      </c>
      <c r="L135" s="33" t="s">
        <v>37</v>
      </c>
      <c r="M135" s="33"/>
      <c r="N135" s="33">
        <v>59338</v>
      </c>
      <c r="O135" s="33" t="s">
        <v>218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 hidden="1">
      <c r="A136" s="20" t="s">
        <v>339</v>
      </c>
      <c r="B136" s="42">
        <v>46146</v>
      </c>
      <c r="C136" s="33" t="s">
        <v>122</v>
      </c>
      <c r="D136" s="33" t="s">
        <v>123</v>
      </c>
      <c r="E136" s="33" t="s">
        <v>34</v>
      </c>
      <c r="F136" s="33" t="s">
        <v>35</v>
      </c>
      <c r="G136" s="33" t="s">
        <v>117</v>
      </c>
      <c r="H136" s="20" t="s">
        <v>203</v>
      </c>
      <c r="I136" s="33" t="s">
        <v>65</v>
      </c>
      <c r="J136" s="37">
        <v>300</v>
      </c>
      <c r="K136" s="22">
        <f>IF(I136="","",IF(I136="ENTRADA",ABS(J136),-ABS(J136)))</f>
        <v>-300</v>
      </c>
      <c r="L136" s="33" t="s">
        <v>37</v>
      </c>
      <c r="M136" s="33"/>
      <c r="N136" s="33">
        <v>59338</v>
      </c>
      <c r="O136" s="33" t="s">
        <v>218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 hidden="1">
      <c r="A137" s="20" t="s">
        <v>340</v>
      </c>
      <c r="B137" s="42">
        <v>46146</v>
      </c>
      <c r="C137" s="33" t="s">
        <v>90</v>
      </c>
      <c r="D137" s="33" t="s">
        <v>91</v>
      </c>
      <c r="E137" s="33" t="s">
        <v>34</v>
      </c>
      <c r="F137" s="33" t="s">
        <v>35</v>
      </c>
      <c r="G137" s="33" t="s">
        <v>36</v>
      </c>
      <c r="H137" s="20" t="s">
        <v>103</v>
      </c>
      <c r="I137" s="33" t="s">
        <v>65</v>
      </c>
      <c r="J137" s="37">
        <v>120</v>
      </c>
      <c r="K137" s="22">
        <f>IF(I137="","",IF(I137="ENTRADA",ABS(J137),-ABS(J137)))</f>
        <v>-120</v>
      </c>
      <c r="L137" s="33" t="s">
        <v>37</v>
      </c>
      <c r="M137" s="33"/>
      <c r="N137" s="33">
        <v>59338</v>
      </c>
      <c r="O137" s="33" t="s">
        <v>218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 hidden="1">
      <c r="A138" s="20" t="s">
        <v>341</v>
      </c>
      <c r="B138" s="42">
        <v>46146</v>
      </c>
      <c r="C138" s="33" t="s">
        <v>130</v>
      </c>
      <c r="D138" s="33" t="s">
        <v>131</v>
      </c>
      <c r="E138" s="33" t="s">
        <v>132</v>
      </c>
      <c r="F138" s="33"/>
      <c r="G138" s="33" t="s">
        <v>133</v>
      </c>
      <c r="H138" s="20" t="s">
        <v>221</v>
      </c>
      <c r="I138" s="33" t="s">
        <v>65</v>
      </c>
      <c r="J138" s="37">
        <v>20</v>
      </c>
      <c r="K138" s="22">
        <f>IF(I138="","",IF(I138="ENTRADA",ABS(J138),-ABS(J138)))</f>
        <v>-20</v>
      </c>
      <c r="L138" s="33" t="s">
        <v>37</v>
      </c>
      <c r="M138" s="33"/>
      <c r="N138" s="33">
        <v>59338</v>
      </c>
      <c r="O138" s="33" t="s">
        <v>218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 hidden="1">
      <c r="A139" s="20" t="s">
        <v>342</v>
      </c>
      <c r="B139" s="42">
        <v>46154</v>
      </c>
      <c r="C139" s="33" t="s">
        <v>172</v>
      </c>
      <c r="D139" s="33" t="s">
        <v>173</v>
      </c>
      <c r="E139" s="33" t="s">
        <v>25</v>
      </c>
      <c r="F139" s="33" t="s">
        <v>174</v>
      </c>
      <c r="G139" s="33" t="s">
        <v>166</v>
      </c>
      <c r="H139" s="20" t="s">
        <v>315</v>
      </c>
      <c r="I139" s="33" t="s">
        <v>65</v>
      </c>
      <c r="J139" s="37">
        <v>425</v>
      </c>
      <c r="K139" s="22">
        <f>IF(I139="","",IF(I139="ENTRADA",ABS(J139),-ABS(J139)))</f>
        <v>-425</v>
      </c>
      <c r="L139" s="33" t="s">
        <v>29</v>
      </c>
      <c r="M139" s="33"/>
      <c r="N139" s="33">
        <v>59342</v>
      </c>
      <c r="O139" s="33" t="s">
        <v>311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 hidden="1">
      <c r="A140" s="20" t="s">
        <v>343</v>
      </c>
      <c r="B140" s="42">
        <v>46154</v>
      </c>
      <c r="C140" s="33" t="s">
        <v>186</v>
      </c>
      <c r="D140" s="33" t="s">
        <v>187</v>
      </c>
      <c r="E140" s="33" t="s">
        <v>25</v>
      </c>
      <c r="F140" s="33" t="s">
        <v>188</v>
      </c>
      <c r="G140" s="33" t="s">
        <v>180</v>
      </c>
      <c r="H140" s="20" t="s">
        <v>319</v>
      </c>
      <c r="I140" s="33" t="s">
        <v>65</v>
      </c>
      <c r="J140" s="37">
        <v>575</v>
      </c>
      <c r="K140" s="22">
        <f>IF(I140="","",IF(I140="ENTRADA",ABS(J140),-ABS(J140)))</f>
        <v>-575</v>
      </c>
      <c r="L140" s="33" t="s">
        <v>29</v>
      </c>
      <c r="M140" s="33"/>
      <c r="N140" s="33">
        <v>59342</v>
      </c>
      <c r="O140" s="33" t="s">
        <v>311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 hidden="1">
      <c r="A141" s="20" t="s">
        <v>344</v>
      </c>
      <c r="B141" s="42">
        <v>46154</v>
      </c>
      <c r="C141" s="33" t="s">
        <v>156</v>
      </c>
      <c r="D141" s="33" t="s">
        <v>157</v>
      </c>
      <c r="E141" s="33" t="s">
        <v>25</v>
      </c>
      <c r="F141" s="33" t="s">
        <v>26</v>
      </c>
      <c r="G141" s="33" t="s">
        <v>158</v>
      </c>
      <c r="H141" s="20" t="s">
        <v>295</v>
      </c>
      <c r="I141" s="33" t="s">
        <v>65</v>
      </c>
      <c r="J141" s="37">
        <v>640</v>
      </c>
      <c r="K141" s="22">
        <f>IF(I141="","",IF(I141="ENTRADA",ABS(J141),-ABS(J141)))</f>
        <v>-640</v>
      </c>
      <c r="L141" s="33" t="s">
        <v>29</v>
      </c>
      <c r="M141" s="33"/>
      <c r="N141" s="33">
        <v>59342</v>
      </c>
      <c r="O141" s="33" t="s">
        <v>331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 hidden="1">
      <c r="A142" s="20" t="s">
        <v>345</v>
      </c>
      <c r="B142" s="42">
        <v>46154</v>
      </c>
      <c r="C142" s="33" t="s">
        <v>160</v>
      </c>
      <c r="D142" s="33" t="s">
        <v>161</v>
      </c>
      <c r="E142" s="33" t="s">
        <v>25</v>
      </c>
      <c r="F142" s="33" t="s">
        <v>26</v>
      </c>
      <c r="G142" s="33" t="s">
        <v>158</v>
      </c>
      <c r="H142" s="20" t="s">
        <v>239</v>
      </c>
      <c r="I142" s="33" t="s">
        <v>65</v>
      </c>
      <c r="J142" s="37">
        <v>240</v>
      </c>
      <c r="K142" s="22">
        <f>IF(I142="","",IF(I142="ENTRADA",ABS(J142),-ABS(J142)))</f>
        <v>-240</v>
      </c>
      <c r="L142" s="33" t="s">
        <v>29</v>
      </c>
      <c r="M142" s="33"/>
      <c r="N142" s="33">
        <v>59342</v>
      </c>
      <c r="O142" s="33" t="s">
        <v>331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 hidden="1">
      <c r="A143" s="20" t="s">
        <v>346</v>
      </c>
      <c r="B143" s="42">
        <v>46154</v>
      </c>
      <c r="C143" s="33" t="s">
        <v>168</v>
      </c>
      <c r="D143" s="33" t="s">
        <v>169</v>
      </c>
      <c r="E143" s="33" t="s">
        <v>25</v>
      </c>
      <c r="F143" s="33" t="s">
        <v>170</v>
      </c>
      <c r="G143" s="33" t="s">
        <v>166</v>
      </c>
      <c r="H143" s="20" t="s">
        <v>347</v>
      </c>
      <c r="I143" s="33" t="s">
        <v>65</v>
      </c>
      <c r="J143" s="37">
        <v>375</v>
      </c>
      <c r="K143" s="22">
        <f>IF(I143="","",IF(I143="ENTRADA",ABS(J143),-ABS(J143)))</f>
        <v>-375</v>
      </c>
      <c r="L143" s="33" t="s">
        <v>29</v>
      </c>
      <c r="M143" s="33"/>
      <c r="N143" s="33">
        <v>59343</v>
      </c>
      <c r="O143" s="33" t="s">
        <v>213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 hidden="1">
      <c r="A144" s="20" t="s">
        <v>348</v>
      </c>
      <c r="B144" s="42">
        <v>46154</v>
      </c>
      <c r="C144" s="33" t="s">
        <v>264</v>
      </c>
      <c r="D144" s="33" t="s">
        <v>265</v>
      </c>
      <c r="E144" s="33" t="s">
        <v>25</v>
      </c>
      <c r="F144" s="33" t="s">
        <v>170</v>
      </c>
      <c r="G144" s="33" t="s">
        <v>259</v>
      </c>
      <c r="H144" s="20" t="s">
        <v>349</v>
      </c>
      <c r="I144" s="33" t="s">
        <v>65</v>
      </c>
      <c r="J144" s="37">
        <v>375</v>
      </c>
      <c r="K144" s="22">
        <f>IF(I144="","",IF(I144="ENTRADA",ABS(J144),-ABS(J144)))</f>
        <v>-375</v>
      </c>
      <c r="L144" s="33" t="s">
        <v>29</v>
      </c>
      <c r="M144" s="33"/>
      <c r="N144" s="33">
        <v>59343</v>
      </c>
      <c r="O144" s="33" t="s">
        <v>213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 hidden="1">
      <c r="A145" s="20" t="s">
        <v>350</v>
      </c>
      <c r="B145" s="42">
        <v>46154</v>
      </c>
      <c r="C145" s="33" t="s">
        <v>182</v>
      </c>
      <c r="D145" s="33" t="s">
        <v>183</v>
      </c>
      <c r="E145" s="33" t="s">
        <v>25</v>
      </c>
      <c r="F145" s="33" t="s">
        <v>184</v>
      </c>
      <c r="G145" s="33" t="s">
        <v>180</v>
      </c>
      <c r="H145" s="20" t="s">
        <v>351</v>
      </c>
      <c r="I145" s="33" t="s">
        <v>65</v>
      </c>
      <c r="J145" s="37">
        <v>800</v>
      </c>
      <c r="K145" s="22">
        <f>IF(I145="","",IF(I145="ENTRADA",ABS(J145),-ABS(J145)))</f>
        <v>-800</v>
      </c>
      <c r="L145" s="33" t="s">
        <v>29</v>
      </c>
      <c r="M145" s="33"/>
      <c r="N145" s="33">
        <v>59343</v>
      </c>
      <c r="O145" s="33" t="s">
        <v>213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 hidden="1">
      <c r="A146" s="20" t="s">
        <v>352</v>
      </c>
      <c r="B146" s="42">
        <v>46154</v>
      </c>
      <c r="C146" s="33" t="s">
        <v>231</v>
      </c>
      <c r="D146" s="33" t="s">
        <v>231</v>
      </c>
      <c r="E146" s="33" t="s">
        <v>25</v>
      </c>
      <c r="F146" s="33" t="s">
        <v>26</v>
      </c>
      <c r="G146" s="33" t="s">
        <v>27</v>
      </c>
      <c r="H146" s="20" t="s">
        <v>329</v>
      </c>
      <c r="I146" s="33" t="s">
        <v>65</v>
      </c>
      <c r="J146" s="37">
        <v>1120</v>
      </c>
      <c r="K146" s="22">
        <f>IF(I146="","",IF(I146="ENTRADA",ABS(J146),-ABS(J146)))</f>
        <v>-1120</v>
      </c>
      <c r="L146" s="33" t="s">
        <v>29</v>
      </c>
      <c r="M146" s="33"/>
      <c r="N146" s="33">
        <v>59343</v>
      </c>
      <c r="O146" s="33" t="s">
        <v>213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 hidden="1">
      <c r="A147" s="20" t="s">
        <v>353</v>
      </c>
      <c r="B147" s="42">
        <v>46154</v>
      </c>
      <c r="C147" s="33" t="s">
        <v>80</v>
      </c>
      <c r="D147" s="33" t="s">
        <v>81</v>
      </c>
      <c r="E147" s="33" t="s">
        <v>25</v>
      </c>
      <c r="F147" s="33" t="s">
        <v>82</v>
      </c>
      <c r="G147" s="33" t="s">
        <v>83</v>
      </c>
      <c r="H147" s="20" t="s">
        <v>151</v>
      </c>
      <c r="I147" s="33" t="s">
        <v>65</v>
      </c>
      <c r="J147" s="37">
        <v>2425</v>
      </c>
      <c r="K147" s="22">
        <f>IF(I147="","",IF(I147="ENTRADA",ABS(J147),-ABS(J147)))</f>
        <v>-2425</v>
      </c>
      <c r="L147" s="33" t="s">
        <v>29</v>
      </c>
      <c r="M147" s="33"/>
      <c r="N147" s="33">
        <v>59344</v>
      </c>
      <c r="O147" s="33" t="s">
        <v>152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 hidden="1">
      <c r="A148" s="20" t="s">
        <v>354</v>
      </c>
      <c r="B148" s="42">
        <v>46154</v>
      </c>
      <c r="C148" s="33" t="s">
        <v>156</v>
      </c>
      <c r="D148" s="33" t="s">
        <v>157</v>
      </c>
      <c r="E148" s="33" t="s">
        <v>25</v>
      </c>
      <c r="F148" s="33" t="s">
        <v>26</v>
      </c>
      <c r="G148" s="33" t="s">
        <v>158</v>
      </c>
      <c r="H148" s="20" t="s">
        <v>295</v>
      </c>
      <c r="I148" s="33" t="s">
        <v>65</v>
      </c>
      <c r="J148" s="37">
        <v>720</v>
      </c>
      <c r="K148" s="22">
        <f>IF(I148="","",IF(I148="ENTRADA",ABS(J148),-ABS(J148)))</f>
        <v>-720</v>
      </c>
      <c r="L148" s="33" t="s">
        <v>29</v>
      </c>
      <c r="M148" s="33"/>
      <c r="N148" s="33">
        <v>59345</v>
      </c>
      <c r="O148" s="33" t="s">
        <v>152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 hidden="1">
      <c r="A149" s="20" t="s">
        <v>355</v>
      </c>
      <c r="B149" s="42">
        <v>46155</v>
      </c>
      <c r="C149" s="33" t="s">
        <v>115</v>
      </c>
      <c r="D149" s="33" t="s">
        <v>116</v>
      </c>
      <c r="E149" s="33" t="s">
        <v>34</v>
      </c>
      <c r="F149" s="33" t="s">
        <v>35</v>
      </c>
      <c r="G149" s="33" t="s">
        <v>117</v>
      </c>
      <c r="H149" s="20" t="s">
        <v>120</v>
      </c>
      <c r="I149" s="33" t="s">
        <v>65</v>
      </c>
      <c r="J149" s="37">
        <v>960</v>
      </c>
      <c r="K149" s="22">
        <f>IF(I149="","",IF(I149="ENTRADA",ABS(J149),-ABS(J149)))</f>
        <v>-960</v>
      </c>
      <c r="L149" s="33" t="s">
        <v>37</v>
      </c>
      <c r="M149" s="33"/>
      <c r="N149" s="33">
        <v>59346</v>
      </c>
      <c r="O149" s="33" t="s">
        <v>213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 hidden="1">
      <c r="A150" s="20" t="s">
        <v>356</v>
      </c>
      <c r="B150" s="42">
        <v>46155</v>
      </c>
      <c r="C150" s="33" t="s">
        <v>115</v>
      </c>
      <c r="D150" s="33" t="s">
        <v>116</v>
      </c>
      <c r="E150" s="33" t="s">
        <v>34</v>
      </c>
      <c r="F150" s="33" t="s">
        <v>35</v>
      </c>
      <c r="G150" s="33" t="s">
        <v>117</v>
      </c>
      <c r="H150" s="20" t="s">
        <v>120</v>
      </c>
      <c r="I150" s="33" t="s">
        <v>65</v>
      </c>
      <c r="J150" s="37">
        <v>400</v>
      </c>
      <c r="K150" s="22">
        <f>IF(I150="","",IF(I150="ENTRADA",ABS(J150),-ABS(J150)))</f>
        <v>-400</v>
      </c>
      <c r="L150" s="33" t="s">
        <v>37</v>
      </c>
      <c r="M150" s="33"/>
      <c r="N150" s="33">
        <v>59347</v>
      </c>
      <c r="O150" s="33" t="s">
        <v>218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 hidden="1">
      <c r="A151" s="20" t="s">
        <v>357</v>
      </c>
      <c r="B151" s="42">
        <v>46155</v>
      </c>
      <c r="C151" s="33" t="s">
        <v>130</v>
      </c>
      <c r="D151" s="33" t="s">
        <v>131</v>
      </c>
      <c r="E151" s="33" t="s">
        <v>132</v>
      </c>
      <c r="F151" s="33"/>
      <c r="G151" s="33" t="s">
        <v>133</v>
      </c>
      <c r="H151" s="20" t="s">
        <v>221</v>
      </c>
      <c r="I151" s="33" t="s">
        <v>65</v>
      </c>
      <c r="J151" s="37">
        <v>60</v>
      </c>
      <c r="K151" s="22">
        <f>IF(I151="","",IF(I151="ENTRADA",ABS(J151),-ABS(J151)))</f>
        <v>-60</v>
      </c>
      <c r="L151" s="33" t="s">
        <v>37</v>
      </c>
      <c r="M151" s="33"/>
      <c r="N151" s="33">
        <v>59347</v>
      </c>
      <c r="O151" s="33" t="s">
        <v>218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 hidden="1">
      <c r="A152" s="20" t="s">
        <v>358</v>
      </c>
      <c r="B152" s="42">
        <v>46155</v>
      </c>
      <c r="C152" s="33" t="s">
        <v>122</v>
      </c>
      <c r="D152" s="33" t="s">
        <v>123</v>
      </c>
      <c r="E152" s="33" t="s">
        <v>34</v>
      </c>
      <c r="F152" s="33" t="s">
        <v>35</v>
      </c>
      <c r="G152" s="33" t="s">
        <v>117</v>
      </c>
      <c r="H152" s="20" t="s">
        <v>203</v>
      </c>
      <c r="I152" s="33" t="s">
        <v>65</v>
      </c>
      <c r="J152" s="37">
        <v>100</v>
      </c>
      <c r="K152" s="22">
        <f>IF(I152="","",IF(I152="ENTRADA",ABS(J152),-ABS(J152)))</f>
        <v>-100</v>
      </c>
      <c r="L152" s="33" t="s">
        <v>37</v>
      </c>
      <c r="M152" s="33"/>
      <c r="N152" s="33">
        <v>59347</v>
      </c>
      <c r="O152" s="33" t="s">
        <v>218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 hidden="1">
      <c r="A153" s="20" t="s">
        <v>359</v>
      </c>
      <c r="B153" s="42">
        <v>46155</v>
      </c>
      <c r="C153" s="33" t="s">
        <v>137</v>
      </c>
      <c r="D153" s="33" t="s">
        <v>138</v>
      </c>
      <c r="E153" s="33" t="s">
        <v>132</v>
      </c>
      <c r="F153" s="33"/>
      <c r="G153" s="33" t="s">
        <v>133</v>
      </c>
      <c r="H153" s="20" t="s">
        <v>211</v>
      </c>
      <c r="I153" s="33" t="s">
        <v>65</v>
      </c>
      <c r="J153" s="50">
        <v>15</v>
      </c>
      <c r="K153" s="22">
        <f>IF(I153="","",IF(I153="ENTRADA",ABS(J153),-ABS(J153)))</f>
        <v>-15</v>
      </c>
      <c r="L153" s="33" t="s">
        <v>37</v>
      </c>
      <c r="M153" s="33"/>
      <c r="N153" s="33">
        <v>59347</v>
      </c>
      <c r="O153" s="33" t="s">
        <v>218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 hidden="1">
      <c r="A154" s="20" t="s">
        <v>360</v>
      </c>
      <c r="B154" s="42">
        <v>46155</v>
      </c>
      <c r="C154" s="33" t="s">
        <v>44</v>
      </c>
      <c r="D154" s="33" t="s">
        <v>63</v>
      </c>
      <c r="E154" s="33" t="s">
        <v>34</v>
      </c>
      <c r="F154" s="33" t="s">
        <v>46</v>
      </c>
      <c r="G154" s="33" t="s">
        <v>36</v>
      </c>
      <c r="H154" s="20" t="s">
        <v>64</v>
      </c>
      <c r="I154" s="33" t="s">
        <v>65</v>
      </c>
      <c r="J154" s="37">
        <v>25</v>
      </c>
      <c r="K154" s="22">
        <f>IF(I154="","",IF(I154="ENTRADA",ABS(J154),-ABS(J154)))</f>
        <v>-25</v>
      </c>
      <c r="L154" s="33" t="s">
        <v>37</v>
      </c>
      <c r="M154" s="33"/>
      <c r="N154" s="33">
        <v>59347</v>
      </c>
      <c r="O154" s="33" t="s">
        <v>218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 hidden="1">
      <c r="A155" s="20" t="s">
        <v>361</v>
      </c>
      <c r="B155" s="42">
        <v>46155</v>
      </c>
      <c r="C155" s="33" t="s">
        <v>256</v>
      </c>
      <c r="D155" s="33" t="s">
        <v>257</v>
      </c>
      <c r="E155" s="33" t="s">
        <v>25</v>
      </c>
      <c r="F155" s="33" t="s">
        <v>258</v>
      </c>
      <c r="G155" s="33" t="s">
        <v>259</v>
      </c>
      <c r="H155" s="20" t="s">
        <v>313</v>
      </c>
      <c r="I155" s="33" t="s">
        <v>65</v>
      </c>
      <c r="J155" s="37">
        <v>775</v>
      </c>
      <c r="K155" s="22">
        <f>IF(I155="","",IF(I155="ENTRADA",ABS(J155),-ABS(J155)))</f>
        <v>-775</v>
      </c>
      <c r="L155" s="33" t="s">
        <v>29</v>
      </c>
      <c r="M155" s="33"/>
      <c r="N155" s="33">
        <v>59348</v>
      </c>
      <c r="O155" s="33" t="s">
        <v>218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 hidden="1">
      <c r="A156" s="20" t="s">
        <v>362</v>
      </c>
      <c r="B156" s="42">
        <v>46155</v>
      </c>
      <c r="C156" s="33" t="s">
        <v>186</v>
      </c>
      <c r="D156" s="33" t="s">
        <v>187</v>
      </c>
      <c r="E156" s="33" t="s">
        <v>25</v>
      </c>
      <c r="F156" s="33" t="s">
        <v>188</v>
      </c>
      <c r="G156" s="33" t="s">
        <v>180</v>
      </c>
      <c r="H156" s="20" t="s">
        <v>319</v>
      </c>
      <c r="I156" s="33" t="s">
        <v>65</v>
      </c>
      <c r="J156" s="37">
        <v>200</v>
      </c>
      <c r="K156" s="22">
        <f>IF(I156="","",IF(I156="ENTRADA",ABS(J156),-ABS(J156)))</f>
        <v>-200</v>
      </c>
      <c r="L156" s="33" t="s">
        <v>29</v>
      </c>
      <c r="M156" s="33"/>
      <c r="N156" s="33">
        <v>59348</v>
      </c>
      <c r="O156" s="33" t="s">
        <v>218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 hidden="1">
      <c r="A157" s="20" t="s">
        <v>363</v>
      </c>
      <c r="B157" s="44">
        <v>46155</v>
      </c>
      <c r="C157" s="33" t="s">
        <v>178</v>
      </c>
      <c r="D157" s="33" t="s">
        <v>179</v>
      </c>
      <c r="E157" s="33" t="s">
        <v>25</v>
      </c>
      <c r="F157" s="33" t="s">
        <v>165</v>
      </c>
      <c r="G157" s="33" t="s">
        <v>180</v>
      </c>
      <c r="H157" s="20" t="s">
        <v>308</v>
      </c>
      <c r="I157" s="33" t="s">
        <v>65</v>
      </c>
      <c r="J157" s="37">
        <v>650</v>
      </c>
      <c r="K157" s="22">
        <f>IF(I157="","",IF(I157="ENTRADA",ABS(J157),-ABS(J157)))</f>
        <v>-650</v>
      </c>
      <c r="L157" s="33" t="s">
        <v>29</v>
      </c>
      <c r="M157" s="33"/>
      <c r="N157" s="33">
        <v>59348</v>
      </c>
      <c r="O157" s="33" t="s">
        <v>218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 hidden="1">
      <c r="A158" s="20" t="s">
        <v>364</v>
      </c>
      <c r="B158" s="44">
        <v>46155</v>
      </c>
      <c r="C158" s="33" t="s">
        <v>299</v>
      </c>
      <c r="D158" s="33" t="s">
        <v>300</v>
      </c>
      <c r="E158" s="33" t="s">
        <v>25</v>
      </c>
      <c r="F158" s="33" t="s">
        <v>165</v>
      </c>
      <c r="G158" s="33" t="s">
        <v>301</v>
      </c>
      <c r="H158" s="20" t="s">
        <v>365</v>
      </c>
      <c r="I158" s="33" t="s">
        <v>65</v>
      </c>
      <c r="J158" s="37">
        <v>1100</v>
      </c>
      <c r="K158" s="22">
        <f>IF(I158="","",IF(I158="ENTRADA",ABS(J158),-ABS(J158)))</f>
        <v>-1100</v>
      </c>
      <c r="L158" s="33" t="s">
        <v>29</v>
      </c>
      <c r="M158" s="33"/>
      <c r="N158" s="33">
        <v>59348</v>
      </c>
      <c r="O158" s="33" t="s">
        <v>218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 hidden="1">
      <c r="A159" s="20" t="s">
        <v>366</v>
      </c>
      <c r="B159" s="42">
        <v>46155</v>
      </c>
      <c r="C159" s="33" t="s">
        <v>156</v>
      </c>
      <c r="D159" s="33" t="s">
        <v>157</v>
      </c>
      <c r="E159" s="33" t="s">
        <v>25</v>
      </c>
      <c r="F159" s="33" t="s">
        <v>26</v>
      </c>
      <c r="G159" s="33" t="s">
        <v>158</v>
      </c>
      <c r="H159" s="20" t="s">
        <v>367</v>
      </c>
      <c r="I159" s="33" t="s">
        <v>65</v>
      </c>
      <c r="J159" s="37">
        <v>540</v>
      </c>
      <c r="K159" s="22">
        <f>IF(I159="","",IF(I159="ENTRADA",ABS(J159),-ABS(J159)))</f>
        <v>-540</v>
      </c>
      <c r="L159" s="33" t="s">
        <v>29</v>
      </c>
      <c r="M159" s="33"/>
      <c r="N159" s="33">
        <v>59349</v>
      </c>
      <c r="O159" s="33" t="s">
        <v>213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 hidden="1">
      <c r="A160" s="20" t="s">
        <v>368</v>
      </c>
      <c r="B160" s="42">
        <v>46155</v>
      </c>
      <c r="C160" s="33" t="s">
        <v>156</v>
      </c>
      <c r="D160" s="33" t="s">
        <v>157</v>
      </c>
      <c r="E160" s="33" t="s">
        <v>25</v>
      </c>
      <c r="F160" s="33" t="s">
        <v>26</v>
      </c>
      <c r="G160" s="33" t="s">
        <v>176</v>
      </c>
      <c r="H160" s="20" t="s">
        <v>367</v>
      </c>
      <c r="I160" s="33" t="s">
        <v>65</v>
      </c>
      <c r="J160" s="37">
        <v>540</v>
      </c>
      <c r="K160" s="22">
        <f>IF(I160="","",IF(I160="ENTRADA",ABS(J160),-ABS(J160)))</f>
        <v>-540</v>
      </c>
      <c r="L160" s="33" t="s">
        <v>29</v>
      </c>
      <c r="M160" s="33"/>
      <c r="N160" s="33">
        <v>59350</v>
      </c>
      <c r="O160" s="33" t="s">
        <v>213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 hidden="1">
      <c r="A161" s="20" t="s">
        <v>369</v>
      </c>
      <c r="B161" s="42">
        <v>46155</v>
      </c>
      <c r="C161" s="33" t="s">
        <v>228</v>
      </c>
      <c r="D161" s="33" t="s">
        <v>229</v>
      </c>
      <c r="E161" s="33" t="s">
        <v>25</v>
      </c>
      <c r="F161" s="33" t="s">
        <v>26</v>
      </c>
      <c r="G161" s="33" t="s">
        <v>27</v>
      </c>
      <c r="H161" s="20" t="s">
        <v>327</v>
      </c>
      <c r="I161" s="33" t="s">
        <v>65</v>
      </c>
      <c r="J161" s="37">
        <v>1020</v>
      </c>
      <c r="K161" s="22">
        <f>IF(I161="","",IF(I161="ENTRADA",ABS(J161),-ABS(J161)))</f>
        <v>-1020</v>
      </c>
      <c r="L161" s="33" t="s">
        <v>29</v>
      </c>
      <c r="M161" s="33"/>
      <c r="N161" s="33">
        <v>58199</v>
      </c>
      <c r="O161" s="33" t="s">
        <v>213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 hidden="1">
      <c r="A162" s="20" t="s">
        <v>370</v>
      </c>
      <c r="B162" s="42">
        <v>46155</v>
      </c>
      <c r="C162" s="33" t="s">
        <v>156</v>
      </c>
      <c r="D162" s="33" t="s">
        <v>157</v>
      </c>
      <c r="E162" s="33" t="s">
        <v>25</v>
      </c>
      <c r="F162" s="33" t="s">
        <v>26</v>
      </c>
      <c r="G162" s="33" t="s">
        <v>176</v>
      </c>
      <c r="H162" s="20" t="s">
        <v>367</v>
      </c>
      <c r="I162" s="33" t="s">
        <v>65</v>
      </c>
      <c r="J162" s="37">
        <v>520</v>
      </c>
      <c r="K162" s="22">
        <f>IF(I162="","",IF(I162="ENTRADA",ABS(J162),-ABS(J162)))</f>
        <v>-520</v>
      </c>
      <c r="L162" s="33" t="s">
        <v>29</v>
      </c>
      <c r="M162" s="33"/>
      <c r="N162" s="33">
        <v>58199</v>
      </c>
      <c r="O162" s="33" t="s">
        <v>213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 hidden="1">
      <c r="A163" s="20" t="s">
        <v>371</v>
      </c>
      <c r="B163" s="42">
        <v>46155</v>
      </c>
      <c r="C163" s="33" t="s">
        <v>231</v>
      </c>
      <c r="D163" s="33" t="s">
        <v>231</v>
      </c>
      <c r="E163" s="33" t="s">
        <v>25</v>
      </c>
      <c r="F163" s="33" t="s">
        <v>26</v>
      </c>
      <c r="G163" s="33" t="s">
        <v>27</v>
      </c>
      <c r="H163" s="20" t="s">
        <v>329</v>
      </c>
      <c r="I163" s="33" t="s">
        <v>65</v>
      </c>
      <c r="J163" s="37">
        <v>900</v>
      </c>
      <c r="K163" s="22">
        <f>IF(I163="","",IF(I163="ENTRADA",ABS(J163),-ABS(J163)))</f>
        <v>-900</v>
      </c>
      <c r="L163" s="33" t="s">
        <v>29</v>
      </c>
      <c r="M163" s="33"/>
      <c r="N163" s="33">
        <v>58199</v>
      </c>
      <c r="O163" s="33" t="s">
        <v>213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 hidden="1">
      <c r="A164" s="20" t="s">
        <v>372</v>
      </c>
      <c r="B164" s="42">
        <v>46155</v>
      </c>
      <c r="C164" s="33" t="s">
        <v>115</v>
      </c>
      <c r="D164" s="33" t="s">
        <v>116</v>
      </c>
      <c r="E164" s="33" t="s">
        <v>34</v>
      </c>
      <c r="F164" s="33" t="s">
        <v>35</v>
      </c>
      <c r="G164" s="33" t="s">
        <v>117</v>
      </c>
      <c r="H164" s="20" t="s">
        <v>120</v>
      </c>
      <c r="I164" s="33" t="s">
        <v>65</v>
      </c>
      <c r="J164" s="37">
        <v>1800</v>
      </c>
      <c r="K164" s="22">
        <f>IF(I164="","",IF(I164="ENTRADA",ABS(J164),-ABS(J164)))</f>
        <v>-1800</v>
      </c>
      <c r="L164" s="33" t="s">
        <v>37</v>
      </c>
      <c r="M164" s="33"/>
      <c r="N164" s="33">
        <v>58200</v>
      </c>
      <c r="O164" s="33" t="s">
        <v>218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 hidden="1">
      <c r="A165" s="20" t="s">
        <v>373</v>
      </c>
      <c r="B165" s="42">
        <v>46155</v>
      </c>
      <c r="C165" s="33" t="s">
        <v>122</v>
      </c>
      <c r="D165" s="33" t="s">
        <v>123</v>
      </c>
      <c r="E165" s="33" t="s">
        <v>34</v>
      </c>
      <c r="F165" s="33" t="s">
        <v>35</v>
      </c>
      <c r="G165" s="33" t="s">
        <v>117</v>
      </c>
      <c r="H165" s="20" t="s">
        <v>203</v>
      </c>
      <c r="I165" s="33" t="s">
        <v>65</v>
      </c>
      <c r="J165" s="37">
        <v>600</v>
      </c>
      <c r="K165" s="22">
        <f>IF(I165="","",IF(I165="ENTRADA",ABS(J165),-ABS(J165)))</f>
        <v>-600</v>
      </c>
      <c r="L165" s="33" t="s">
        <v>37</v>
      </c>
      <c r="M165" s="33"/>
      <c r="N165" s="33">
        <v>58200</v>
      </c>
      <c r="O165" s="33" t="s">
        <v>218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 hidden="1">
      <c r="A166" s="20" t="s">
        <v>374</v>
      </c>
      <c r="B166" s="42">
        <v>46155</v>
      </c>
      <c r="C166" s="33" t="s">
        <v>90</v>
      </c>
      <c r="D166" s="33" t="s">
        <v>91</v>
      </c>
      <c r="E166" s="33" t="s">
        <v>34</v>
      </c>
      <c r="F166" s="33" t="s">
        <v>35</v>
      </c>
      <c r="G166" s="33" t="s">
        <v>36</v>
      </c>
      <c r="H166" s="20" t="s">
        <v>375</v>
      </c>
      <c r="I166" s="33" t="s">
        <v>65</v>
      </c>
      <c r="J166" s="37">
        <v>80</v>
      </c>
      <c r="K166" s="22">
        <f>IF(I166="","",IF(I166="ENTRADA",ABS(J166),-ABS(J166)))</f>
        <v>-80</v>
      </c>
      <c r="L166" s="33" t="s">
        <v>37</v>
      </c>
      <c r="M166" s="33"/>
      <c r="N166" s="33">
        <v>58200</v>
      </c>
      <c r="O166" s="33" t="s">
        <v>218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 hidden="1">
      <c r="A167" s="20" t="s">
        <v>376</v>
      </c>
      <c r="B167" s="42">
        <v>46156</v>
      </c>
      <c r="C167" s="33" t="s">
        <v>115</v>
      </c>
      <c r="D167" s="33" t="s">
        <v>116</v>
      </c>
      <c r="E167" s="33" t="s">
        <v>34</v>
      </c>
      <c r="F167" s="33" t="s">
        <v>35</v>
      </c>
      <c r="G167" s="33" t="s">
        <v>117</v>
      </c>
      <c r="H167" s="20" t="s">
        <v>120</v>
      </c>
      <c r="I167" s="33" t="s">
        <v>65</v>
      </c>
      <c r="J167" s="37">
        <v>800</v>
      </c>
      <c r="K167" s="22">
        <f>IF(I167="","",IF(I167="ENTRADA",ABS(J167),-ABS(J167)))</f>
        <v>-800</v>
      </c>
      <c r="L167" s="33" t="s">
        <v>37</v>
      </c>
      <c r="M167" s="33"/>
      <c r="N167" s="33">
        <v>65051</v>
      </c>
      <c r="O167" s="33" t="s">
        <v>218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 hidden="1">
      <c r="A168" s="20" t="s">
        <v>377</v>
      </c>
      <c r="B168" s="42">
        <v>46156</v>
      </c>
      <c r="C168" s="33" t="s">
        <v>122</v>
      </c>
      <c r="D168" s="33" t="s">
        <v>123</v>
      </c>
      <c r="E168" s="33" t="s">
        <v>34</v>
      </c>
      <c r="F168" s="33" t="s">
        <v>35</v>
      </c>
      <c r="G168" s="33" t="s">
        <v>117</v>
      </c>
      <c r="H168" s="20" t="s">
        <v>203</v>
      </c>
      <c r="I168" s="33" t="s">
        <v>65</v>
      </c>
      <c r="J168" s="37">
        <v>240</v>
      </c>
      <c r="K168" s="22">
        <f>IF(I168="","",IF(I168="ENTRADA",ABS(J168),-ABS(J168)))</f>
        <v>-240</v>
      </c>
      <c r="L168" s="33" t="s">
        <v>37</v>
      </c>
      <c r="M168" s="33"/>
      <c r="N168" s="33">
        <v>65051</v>
      </c>
      <c r="O168" s="33" t="s">
        <v>218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 hidden="1">
      <c r="A169" s="20" t="s">
        <v>378</v>
      </c>
      <c r="B169" s="42">
        <v>46156</v>
      </c>
      <c r="C169" s="33" t="s">
        <v>86</v>
      </c>
      <c r="D169" s="33" t="s">
        <v>87</v>
      </c>
      <c r="E169" s="33" t="s">
        <v>34</v>
      </c>
      <c r="F169" s="33" t="s">
        <v>35</v>
      </c>
      <c r="G169" s="33" t="s">
        <v>36</v>
      </c>
      <c r="H169" s="20" t="s">
        <v>100</v>
      </c>
      <c r="I169" s="33" t="s">
        <v>65</v>
      </c>
      <c r="J169" s="37">
        <v>80</v>
      </c>
      <c r="K169" s="22">
        <f>IF(I169="","",IF(I169="ENTRADA",ABS(J169),-ABS(J169)))</f>
        <v>-80</v>
      </c>
      <c r="L169" s="33" t="s">
        <v>37</v>
      </c>
      <c r="M169" s="33"/>
      <c r="N169" s="33">
        <v>65051</v>
      </c>
      <c r="O169" s="33" t="s">
        <v>218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 hidden="1">
      <c r="A170" s="20" t="s">
        <v>379</v>
      </c>
      <c r="B170" s="42">
        <v>46156</v>
      </c>
      <c r="C170" s="33" t="s">
        <v>130</v>
      </c>
      <c r="D170" s="33" t="s">
        <v>131</v>
      </c>
      <c r="E170" s="33" t="s">
        <v>132</v>
      </c>
      <c r="F170" s="33"/>
      <c r="G170" s="33" t="s">
        <v>133</v>
      </c>
      <c r="H170" s="20" t="s">
        <v>209</v>
      </c>
      <c r="I170" s="33" t="s">
        <v>65</v>
      </c>
      <c r="J170" s="37">
        <v>40</v>
      </c>
      <c r="K170" s="22">
        <f>IF(I170="","",IF(I170="ENTRADA",ABS(J170),-ABS(J170)))</f>
        <v>-40</v>
      </c>
      <c r="L170" s="33" t="s">
        <v>37</v>
      </c>
      <c r="M170" s="33"/>
      <c r="N170" s="33">
        <v>65051</v>
      </c>
      <c r="O170" s="33" t="s">
        <v>218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 hidden="1">
      <c r="A171" s="20" t="s">
        <v>380</v>
      </c>
      <c r="B171" s="42">
        <v>46156</v>
      </c>
      <c r="C171" s="33" t="s">
        <v>137</v>
      </c>
      <c r="D171" s="33" t="s">
        <v>138</v>
      </c>
      <c r="E171" s="33" t="s">
        <v>132</v>
      </c>
      <c r="F171" s="33"/>
      <c r="G171" s="33" t="s">
        <v>133</v>
      </c>
      <c r="H171" s="20" t="s">
        <v>211</v>
      </c>
      <c r="I171" s="33" t="s">
        <v>65</v>
      </c>
      <c r="J171" s="50">
        <v>15</v>
      </c>
      <c r="K171" s="22">
        <f>IF(I171="","",IF(I171="ENTRADA",ABS(J171),-ABS(J171)))</f>
        <v>-15</v>
      </c>
      <c r="L171" s="33" t="s">
        <v>37</v>
      </c>
      <c r="M171" s="33"/>
      <c r="N171" s="33">
        <v>65051</v>
      </c>
      <c r="O171" s="33" t="s">
        <v>218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 hidden="1">
      <c r="A172" s="20" t="s">
        <v>381</v>
      </c>
      <c r="B172" s="42">
        <v>46156</v>
      </c>
      <c r="C172" s="33" t="s">
        <v>115</v>
      </c>
      <c r="D172" s="33" t="s">
        <v>116</v>
      </c>
      <c r="E172" s="33" t="s">
        <v>34</v>
      </c>
      <c r="F172" s="33" t="s">
        <v>35</v>
      </c>
      <c r="G172" s="33" t="s">
        <v>117</v>
      </c>
      <c r="H172" s="20" t="s">
        <v>120</v>
      </c>
      <c r="I172" s="33" t="s">
        <v>65</v>
      </c>
      <c r="J172" s="37">
        <v>600</v>
      </c>
      <c r="K172" s="22">
        <f>IF(I172="","",IF(I172="ENTRADA",ABS(J172),-ABS(J172)))</f>
        <v>-600</v>
      </c>
      <c r="L172" s="33" t="s">
        <v>37</v>
      </c>
      <c r="M172" s="33"/>
      <c r="N172" s="33">
        <v>65052</v>
      </c>
      <c r="O172" s="33" t="s">
        <v>382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 hidden="1">
      <c r="A173" s="20" t="s">
        <v>383</v>
      </c>
      <c r="B173" s="42">
        <v>46156</v>
      </c>
      <c r="C173" s="33" t="s">
        <v>122</v>
      </c>
      <c r="D173" s="33" t="s">
        <v>123</v>
      </c>
      <c r="E173" s="33" t="s">
        <v>34</v>
      </c>
      <c r="F173" s="33" t="s">
        <v>35</v>
      </c>
      <c r="G173" s="33" t="s">
        <v>117</v>
      </c>
      <c r="H173" s="20" t="s">
        <v>203</v>
      </c>
      <c r="I173" s="33" t="s">
        <v>65</v>
      </c>
      <c r="J173" s="37">
        <v>200</v>
      </c>
      <c r="K173" s="22">
        <f>IF(I173="","",IF(I173="ENTRADA",ABS(J173),-ABS(J173)))</f>
        <v>-200</v>
      </c>
      <c r="L173" s="33" t="s">
        <v>37</v>
      </c>
      <c r="M173" s="33"/>
      <c r="N173" s="33">
        <v>65052</v>
      </c>
      <c r="O173" s="33" t="s">
        <v>382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 hidden="1">
      <c r="A174" s="20" t="s">
        <v>384</v>
      </c>
      <c r="B174" s="42">
        <v>46156</v>
      </c>
      <c r="C174" s="33" t="s">
        <v>90</v>
      </c>
      <c r="D174" s="33" t="s">
        <v>91</v>
      </c>
      <c r="E174" s="33" t="s">
        <v>34</v>
      </c>
      <c r="F174" s="33" t="s">
        <v>35</v>
      </c>
      <c r="G174" s="33" t="s">
        <v>36</v>
      </c>
      <c r="H174" s="20" t="s">
        <v>375</v>
      </c>
      <c r="I174" s="33" t="s">
        <v>65</v>
      </c>
      <c r="J174" s="37">
        <v>120</v>
      </c>
      <c r="K174" s="22">
        <f>IF(I174="","",IF(I174="ENTRADA",ABS(J174),-ABS(J174)))</f>
        <v>-120</v>
      </c>
      <c r="L174" s="33" t="s">
        <v>385</v>
      </c>
      <c r="M174" s="33"/>
      <c r="N174" s="33">
        <v>65054</v>
      </c>
      <c r="O174" s="33" t="s">
        <v>237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 hidden="1">
      <c r="A175" s="20" t="s">
        <v>386</v>
      </c>
      <c r="B175" s="42">
        <v>46157</v>
      </c>
      <c r="C175" s="33" t="s">
        <v>115</v>
      </c>
      <c r="D175" s="33" t="s">
        <v>116</v>
      </c>
      <c r="E175" s="33" t="s">
        <v>34</v>
      </c>
      <c r="F175" s="33" t="s">
        <v>35</v>
      </c>
      <c r="G175" s="33" t="s">
        <v>117</v>
      </c>
      <c r="H175" s="20" t="s">
        <v>120</v>
      </c>
      <c r="I175" s="33" t="s">
        <v>65</v>
      </c>
      <c r="J175" s="37">
        <v>2200</v>
      </c>
      <c r="K175" s="22">
        <f>IF(I175="","",IF(I175="ENTRADA",ABS(J175),-ABS(J175)))</f>
        <v>-2200</v>
      </c>
      <c r="L175" s="33" t="s">
        <v>37</v>
      </c>
      <c r="M175" s="33"/>
      <c r="N175" s="33">
        <v>65055</v>
      </c>
      <c r="O175" s="33" t="s">
        <v>387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 hidden="1">
      <c r="A176" s="20" t="s">
        <v>388</v>
      </c>
      <c r="B176" s="42">
        <v>46157</v>
      </c>
      <c r="C176" s="33" t="s">
        <v>122</v>
      </c>
      <c r="D176" s="33" t="s">
        <v>123</v>
      </c>
      <c r="E176" s="33" t="s">
        <v>34</v>
      </c>
      <c r="F176" s="33" t="s">
        <v>35</v>
      </c>
      <c r="G176" s="33" t="s">
        <v>117</v>
      </c>
      <c r="H176" s="20" t="s">
        <v>203</v>
      </c>
      <c r="I176" s="33" t="s">
        <v>65</v>
      </c>
      <c r="J176" s="37">
        <v>40</v>
      </c>
      <c r="K176" s="22">
        <f>IF(I176="","",IF(I176="ENTRADA",ABS(J176),-ABS(J176)))</f>
        <v>-40</v>
      </c>
      <c r="L176" s="33" t="s">
        <v>37</v>
      </c>
      <c r="M176" s="33"/>
      <c r="N176" s="33">
        <v>65055</v>
      </c>
      <c r="O176" s="33" t="s">
        <v>387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 hidden="1">
      <c r="A177" s="20" t="s">
        <v>389</v>
      </c>
      <c r="B177" s="42">
        <v>46157</v>
      </c>
      <c r="C177" s="33" t="s">
        <v>115</v>
      </c>
      <c r="D177" s="33" t="s">
        <v>116</v>
      </c>
      <c r="E177" s="33" t="s">
        <v>34</v>
      </c>
      <c r="F177" s="33" t="s">
        <v>35</v>
      </c>
      <c r="G177" s="33" t="s">
        <v>117</v>
      </c>
      <c r="H177" s="20" t="s">
        <v>120</v>
      </c>
      <c r="I177" s="33" t="s">
        <v>65</v>
      </c>
      <c r="J177" s="37">
        <v>400</v>
      </c>
      <c r="K177" s="22">
        <f>IF(I177="","",IF(I177="ENTRADA",ABS(J177),-ABS(J177)))</f>
        <v>-400</v>
      </c>
      <c r="L177" s="33" t="s">
        <v>37</v>
      </c>
      <c r="M177" s="33"/>
      <c r="N177" s="33">
        <v>65056</v>
      </c>
      <c r="O177" s="33" t="s">
        <v>218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 hidden="1">
      <c r="A178" s="20" t="s">
        <v>390</v>
      </c>
      <c r="B178" s="42">
        <v>46157</v>
      </c>
      <c r="C178" s="33" t="s">
        <v>122</v>
      </c>
      <c r="D178" s="33" t="s">
        <v>123</v>
      </c>
      <c r="E178" s="33" t="s">
        <v>34</v>
      </c>
      <c r="F178" s="33" t="s">
        <v>35</v>
      </c>
      <c r="G178" s="33" t="s">
        <v>117</v>
      </c>
      <c r="H178" s="20" t="s">
        <v>203</v>
      </c>
      <c r="I178" s="33" t="s">
        <v>65</v>
      </c>
      <c r="J178" s="37">
        <v>120</v>
      </c>
      <c r="K178" s="22">
        <f>IF(I178="","",IF(I178="ENTRADA",ABS(J178),-ABS(J178)))</f>
        <v>-120</v>
      </c>
      <c r="L178" s="33" t="s">
        <v>37</v>
      </c>
      <c r="M178" s="33"/>
      <c r="N178" s="33">
        <v>65056</v>
      </c>
      <c r="O178" s="33" t="s">
        <v>218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 hidden="1">
      <c r="A179" s="20" t="s">
        <v>391</v>
      </c>
      <c r="B179" s="42">
        <v>46156</v>
      </c>
      <c r="C179" s="4" t="s">
        <v>108</v>
      </c>
      <c r="D179" s="4" t="s">
        <v>109</v>
      </c>
      <c r="E179" s="4" t="s">
        <v>25</v>
      </c>
      <c r="F179" s="4" t="s">
        <v>26</v>
      </c>
      <c r="G179" s="4" t="s">
        <v>27</v>
      </c>
      <c r="H179" s="20" t="s">
        <v>278</v>
      </c>
      <c r="I179" s="4" t="s">
        <v>65</v>
      </c>
      <c r="J179" s="31">
        <v>560</v>
      </c>
      <c r="K179" s="22">
        <f>IF(I179="","",IF(I179="ENTRADA",ABS(J179),-ABS(J179)))</f>
        <v>-560</v>
      </c>
      <c r="L179" s="4" t="s">
        <v>29</v>
      </c>
      <c r="M179" s="4"/>
      <c r="N179" s="4">
        <v>65053</v>
      </c>
      <c r="O179" s="4" t="s">
        <v>387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 hidden="1">
      <c r="A180" s="20" t="s">
        <v>392</v>
      </c>
      <c r="B180" s="42">
        <v>46158</v>
      </c>
      <c r="C180" s="33" t="s">
        <v>115</v>
      </c>
      <c r="D180" s="33" t="s">
        <v>116</v>
      </c>
      <c r="E180" s="33" t="s">
        <v>34</v>
      </c>
      <c r="F180" s="33" t="s">
        <v>35</v>
      </c>
      <c r="G180" s="33" t="s">
        <v>117</v>
      </c>
      <c r="H180" s="20" t="s">
        <v>120</v>
      </c>
      <c r="I180" s="33" t="s">
        <v>65</v>
      </c>
      <c r="J180" s="37">
        <v>500</v>
      </c>
      <c r="K180" s="22">
        <f>IF(I180="","",IF(I180="ENTRADA",ABS(J180),-ABS(J180)))</f>
        <v>-500</v>
      </c>
      <c r="L180" s="33" t="s">
        <v>37</v>
      </c>
      <c r="M180" s="33"/>
      <c r="N180" s="33">
        <v>65057</v>
      </c>
      <c r="O180" s="33" t="s">
        <v>213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 hidden="1">
      <c r="A181" s="20" t="s">
        <v>393</v>
      </c>
      <c r="B181" s="42">
        <v>46158</v>
      </c>
      <c r="C181" s="33" t="s">
        <v>130</v>
      </c>
      <c r="D181" s="33" t="s">
        <v>131</v>
      </c>
      <c r="E181" s="33" t="s">
        <v>132</v>
      </c>
      <c r="F181" s="33"/>
      <c r="G181" s="33" t="s">
        <v>133</v>
      </c>
      <c r="H181" s="20" t="s">
        <v>209</v>
      </c>
      <c r="I181" s="33" t="s">
        <v>65</v>
      </c>
      <c r="J181" s="37">
        <v>40</v>
      </c>
      <c r="K181" s="22">
        <f>IF(I181="","",IF(I181="ENTRADA",ABS(J181),-ABS(J181)))</f>
        <v>-40</v>
      </c>
      <c r="L181" s="33" t="s">
        <v>37</v>
      </c>
      <c r="M181" s="33"/>
      <c r="N181" s="33">
        <v>65058</v>
      </c>
      <c r="O181" s="33" t="s">
        <v>218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 hidden="1">
      <c r="A182" s="20" t="s">
        <v>394</v>
      </c>
      <c r="B182" s="42">
        <v>46158</v>
      </c>
      <c r="C182" s="33" t="s">
        <v>44</v>
      </c>
      <c r="D182" s="33" t="s">
        <v>63</v>
      </c>
      <c r="E182" s="33" t="s">
        <v>34</v>
      </c>
      <c r="F182" s="33" t="s">
        <v>46</v>
      </c>
      <c r="G182" s="33" t="s">
        <v>36</v>
      </c>
      <c r="H182" s="20" t="s">
        <v>64</v>
      </c>
      <c r="I182" s="33" t="s">
        <v>65</v>
      </c>
      <c r="J182" s="37">
        <v>80</v>
      </c>
      <c r="K182" s="22">
        <f>IF(I182="","",IF(I182="ENTRADA",ABS(J182),-ABS(J182)))</f>
        <v>-80</v>
      </c>
      <c r="L182" s="33" t="s">
        <v>37</v>
      </c>
      <c r="M182" s="33"/>
      <c r="N182" s="33">
        <v>65058</v>
      </c>
      <c r="O182" s="33" t="s">
        <v>218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 hidden="1">
      <c r="A183" s="20" t="s">
        <v>395</v>
      </c>
      <c r="B183" s="42">
        <v>46158</v>
      </c>
      <c r="C183" s="33" t="s">
        <v>115</v>
      </c>
      <c r="D183" s="33" t="s">
        <v>116</v>
      </c>
      <c r="E183" s="33" t="s">
        <v>34</v>
      </c>
      <c r="F183" s="33" t="s">
        <v>35</v>
      </c>
      <c r="G183" s="33" t="s">
        <v>117</v>
      </c>
      <c r="H183" s="20" t="s">
        <v>120</v>
      </c>
      <c r="I183" s="33" t="s">
        <v>65</v>
      </c>
      <c r="J183" s="37">
        <v>560</v>
      </c>
      <c r="K183" s="22">
        <f>IF(I183="","",IF(I183="ENTRADA",ABS(J183),-ABS(J183)))</f>
        <v>-560</v>
      </c>
      <c r="L183" s="33" t="s">
        <v>37</v>
      </c>
      <c r="M183" s="33"/>
      <c r="N183" s="33">
        <v>65058</v>
      </c>
      <c r="O183" s="33" t="s">
        <v>218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 hidden="1">
      <c r="A184" s="20" t="s">
        <v>396</v>
      </c>
      <c r="B184" s="42">
        <v>46158</v>
      </c>
      <c r="C184" s="33" t="s">
        <v>80</v>
      </c>
      <c r="D184" s="33" t="s">
        <v>81</v>
      </c>
      <c r="E184" s="33" t="s">
        <v>25</v>
      </c>
      <c r="F184" s="33" t="s">
        <v>82</v>
      </c>
      <c r="G184" s="33" t="s">
        <v>83</v>
      </c>
      <c r="H184" s="20" t="s">
        <v>151</v>
      </c>
      <c r="I184" s="33" t="s">
        <v>65</v>
      </c>
      <c r="J184" s="37">
        <v>250</v>
      </c>
      <c r="K184" s="22">
        <f>IF(I184="","",IF(I184="ENTRADA",ABS(J184),-ABS(J184)))</f>
        <v>-250</v>
      </c>
      <c r="L184" s="33" t="s">
        <v>29</v>
      </c>
      <c r="M184" s="33"/>
      <c r="N184" s="33">
        <v>65059</v>
      </c>
      <c r="O184" s="33" t="s">
        <v>387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 hidden="1">
      <c r="A185" s="20" t="s">
        <v>397</v>
      </c>
      <c r="B185" s="42">
        <v>46158</v>
      </c>
      <c r="C185" s="33" t="s">
        <v>156</v>
      </c>
      <c r="D185" s="33" t="s">
        <v>157</v>
      </c>
      <c r="E185" s="33" t="s">
        <v>25</v>
      </c>
      <c r="F185" s="33" t="s">
        <v>26</v>
      </c>
      <c r="G185" s="33" t="s">
        <v>158</v>
      </c>
      <c r="H185" s="20" t="s">
        <v>295</v>
      </c>
      <c r="I185" s="33" t="s">
        <v>65</v>
      </c>
      <c r="J185" s="37">
        <v>660</v>
      </c>
      <c r="K185" s="22">
        <f>IF(I185="","",IF(I185="ENTRADA",ABS(J185),-ABS(J185)))</f>
        <v>-660</v>
      </c>
      <c r="L185" s="33" t="s">
        <v>29</v>
      </c>
      <c r="M185" s="33"/>
      <c r="N185" s="33">
        <v>65059</v>
      </c>
      <c r="O185" s="33" t="s">
        <v>387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 hidden="1">
      <c r="A186" s="20" t="s">
        <v>398</v>
      </c>
      <c r="B186" s="42">
        <v>46160</v>
      </c>
      <c r="C186" s="33" t="s">
        <v>115</v>
      </c>
      <c r="D186" s="33" t="s">
        <v>116</v>
      </c>
      <c r="E186" s="33" t="s">
        <v>34</v>
      </c>
      <c r="F186" s="33" t="s">
        <v>35</v>
      </c>
      <c r="G186" s="33" t="s">
        <v>117</v>
      </c>
      <c r="H186" s="20" t="s">
        <v>120</v>
      </c>
      <c r="I186" s="33" t="s">
        <v>65</v>
      </c>
      <c r="J186" s="37">
        <v>2000</v>
      </c>
      <c r="K186" s="22">
        <f>IF(I186="","",IF(I186="ENTRADA",ABS(J186),-ABS(J186)))</f>
        <v>-2000</v>
      </c>
      <c r="L186" s="33" t="s">
        <v>37</v>
      </c>
      <c r="M186" s="33"/>
      <c r="N186" s="33">
        <v>65061</v>
      </c>
      <c r="O186" s="33" t="s">
        <v>213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 hidden="1">
      <c r="A187" s="20" t="s">
        <v>399</v>
      </c>
      <c r="B187" s="42">
        <v>46160</v>
      </c>
      <c r="C187" s="33" t="s">
        <v>90</v>
      </c>
      <c r="D187" s="33" t="s">
        <v>91</v>
      </c>
      <c r="E187" s="33" t="s">
        <v>34</v>
      </c>
      <c r="F187" s="33" t="s">
        <v>35</v>
      </c>
      <c r="G187" s="33" t="s">
        <v>36</v>
      </c>
      <c r="H187" s="20" t="s">
        <v>375</v>
      </c>
      <c r="I187" s="33" t="s">
        <v>65</v>
      </c>
      <c r="J187" s="37">
        <v>100</v>
      </c>
      <c r="K187" s="22">
        <f>IF(I187="","",IF(I187="ENTRADA",ABS(J187),-ABS(J187)))</f>
        <v>-100</v>
      </c>
      <c r="L187" s="33" t="s">
        <v>37</v>
      </c>
      <c r="M187" s="33"/>
      <c r="N187" s="33">
        <v>65061</v>
      </c>
      <c r="O187" s="33" t="s">
        <v>213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 hidden="1">
      <c r="A188" s="20" t="s">
        <v>400</v>
      </c>
      <c r="B188" s="42">
        <v>46160</v>
      </c>
      <c r="C188" s="33" t="s">
        <v>115</v>
      </c>
      <c r="D188" s="33" t="s">
        <v>116</v>
      </c>
      <c r="E188" s="33" t="s">
        <v>34</v>
      </c>
      <c r="F188" s="33" t="s">
        <v>35</v>
      </c>
      <c r="G188" s="33" t="s">
        <v>117</v>
      </c>
      <c r="H188" s="20" t="s">
        <v>120</v>
      </c>
      <c r="I188" s="33" t="s">
        <v>65</v>
      </c>
      <c r="J188" s="37">
        <v>960</v>
      </c>
      <c r="K188" s="22">
        <f>IF(I188="","",IF(I188="ENTRADA",ABS(J188),-ABS(J188)))</f>
        <v>-960</v>
      </c>
      <c r="L188" s="33" t="s">
        <v>37</v>
      </c>
      <c r="M188" s="33"/>
      <c r="N188" s="33">
        <v>65063</v>
      </c>
      <c r="O188" s="33" t="s">
        <v>237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 hidden="1">
      <c r="A189" s="20" t="s">
        <v>401</v>
      </c>
      <c r="B189" s="42">
        <v>46160</v>
      </c>
      <c r="C189" s="33" t="s">
        <v>90</v>
      </c>
      <c r="D189" s="33" t="s">
        <v>91</v>
      </c>
      <c r="E189" s="33" t="s">
        <v>34</v>
      </c>
      <c r="F189" s="33" t="s">
        <v>35</v>
      </c>
      <c r="G189" s="33" t="s">
        <v>36</v>
      </c>
      <c r="H189" s="20" t="s">
        <v>375</v>
      </c>
      <c r="I189" s="33" t="s">
        <v>65</v>
      </c>
      <c r="J189" s="37">
        <v>40</v>
      </c>
      <c r="K189" s="22">
        <f>IF(I189="","",IF(I189="ENTRADA",ABS(J189),-ABS(J189)))</f>
        <v>-40</v>
      </c>
      <c r="L189" s="33" t="s">
        <v>37</v>
      </c>
      <c r="M189" s="33"/>
      <c r="N189" s="33">
        <v>65063</v>
      </c>
      <c r="O189" s="33" t="s">
        <v>237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 hidden="1">
      <c r="A190" s="20" t="s">
        <v>402</v>
      </c>
      <c r="B190" s="42">
        <v>46160</v>
      </c>
      <c r="C190" s="4" t="s">
        <v>156</v>
      </c>
      <c r="D190" s="4" t="s">
        <v>157</v>
      </c>
      <c r="E190" s="4" t="s">
        <v>25</v>
      </c>
      <c r="F190" s="4" t="s">
        <v>26</v>
      </c>
      <c r="G190" s="4" t="s">
        <v>158</v>
      </c>
      <c r="H190" s="20" t="s">
        <v>295</v>
      </c>
      <c r="I190" s="4" t="s">
        <v>65</v>
      </c>
      <c r="J190" s="31">
        <v>40</v>
      </c>
      <c r="K190" s="22">
        <f>IF(I190="","",IF(I190="ENTRADA",ABS(J190),-ABS(J190)))</f>
        <v>-40</v>
      </c>
      <c r="L190" s="4" t="s">
        <v>29</v>
      </c>
      <c r="M190" s="4"/>
      <c r="N190" s="4">
        <v>65064</v>
      </c>
      <c r="O190" s="4" t="s">
        <v>387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 hidden="1">
      <c r="A191" s="20" t="s">
        <v>403</v>
      </c>
      <c r="B191" s="42">
        <v>46160</v>
      </c>
      <c r="C191" s="33" t="s">
        <v>115</v>
      </c>
      <c r="D191" s="33" t="s">
        <v>116</v>
      </c>
      <c r="E191" s="33" t="s">
        <v>34</v>
      </c>
      <c r="F191" s="33" t="s">
        <v>35</v>
      </c>
      <c r="G191" s="33" t="s">
        <v>117</v>
      </c>
      <c r="H191" s="20" t="s">
        <v>120</v>
      </c>
      <c r="I191" s="33" t="s">
        <v>65</v>
      </c>
      <c r="J191" s="37">
        <v>3340</v>
      </c>
      <c r="K191" s="22">
        <f>IF(I191="","",IF(I191="ENTRADA",ABS(J191),-ABS(J191)))</f>
        <v>-3340</v>
      </c>
      <c r="L191" s="33" t="s">
        <v>37</v>
      </c>
      <c r="M191" s="33"/>
      <c r="N191" s="33">
        <v>65065</v>
      </c>
      <c r="O191" s="33" t="s">
        <v>382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 hidden="1">
      <c r="A192" s="20" t="s">
        <v>404</v>
      </c>
      <c r="B192" s="42">
        <v>46160</v>
      </c>
      <c r="C192" s="33" t="s">
        <v>90</v>
      </c>
      <c r="D192" s="33" t="s">
        <v>91</v>
      </c>
      <c r="E192" s="33" t="s">
        <v>34</v>
      </c>
      <c r="F192" s="33" t="s">
        <v>35</v>
      </c>
      <c r="G192" s="33" t="s">
        <v>36</v>
      </c>
      <c r="H192" s="20" t="s">
        <v>375</v>
      </c>
      <c r="I192" s="33" t="s">
        <v>65</v>
      </c>
      <c r="J192" s="37">
        <v>380</v>
      </c>
      <c r="K192" s="22">
        <f>IF(I192="","",IF(I192="ENTRADA",ABS(J192),-ABS(J192)))</f>
        <v>-380</v>
      </c>
      <c r="L192" s="33" t="s">
        <v>37</v>
      </c>
      <c r="M192" s="33"/>
      <c r="N192" s="33">
        <v>65065</v>
      </c>
      <c r="O192" s="33" t="s">
        <v>382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 hidden="1">
      <c r="A193" s="20" t="s">
        <v>405</v>
      </c>
      <c r="B193" s="42">
        <v>46160</v>
      </c>
      <c r="C193" s="33" t="s">
        <v>130</v>
      </c>
      <c r="D193" s="33" t="s">
        <v>131</v>
      </c>
      <c r="E193" s="33" t="s">
        <v>132</v>
      </c>
      <c r="F193" s="33"/>
      <c r="G193" s="33" t="s">
        <v>133</v>
      </c>
      <c r="H193" s="20" t="s">
        <v>209</v>
      </c>
      <c r="I193" s="33" t="s">
        <v>65</v>
      </c>
      <c r="J193" s="37">
        <v>120</v>
      </c>
      <c r="K193" s="22">
        <f>IF(I193="","",IF(I193="ENTRADA",ABS(J193),-ABS(J193)))</f>
        <v>-120</v>
      </c>
      <c r="L193" s="33" t="s">
        <v>37</v>
      </c>
      <c r="M193" s="33"/>
      <c r="N193" s="33">
        <v>65065</v>
      </c>
      <c r="O193" s="33" t="s">
        <v>382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 hidden="1">
      <c r="A194" s="20" t="s">
        <v>406</v>
      </c>
      <c r="B194" s="42">
        <v>46160</v>
      </c>
      <c r="C194" s="33" t="s">
        <v>137</v>
      </c>
      <c r="D194" s="33" t="s">
        <v>138</v>
      </c>
      <c r="E194" s="33" t="s">
        <v>132</v>
      </c>
      <c r="F194" s="33"/>
      <c r="G194" s="33" t="s">
        <v>133</v>
      </c>
      <c r="H194" s="20" t="s">
        <v>211</v>
      </c>
      <c r="I194" s="33" t="s">
        <v>65</v>
      </c>
      <c r="J194" s="50">
        <v>15</v>
      </c>
      <c r="K194" s="22">
        <f>IF(I194="","",IF(I194="ENTRADA",ABS(J194),-ABS(J194)))</f>
        <v>-15</v>
      </c>
      <c r="L194" s="33" t="s">
        <v>37</v>
      </c>
      <c r="M194" s="33"/>
      <c r="N194" s="33">
        <v>65065</v>
      </c>
      <c r="O194" s="33" t="s">
        <v>382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 hidden="1">
      <c r="A195" s="20" t="s">
        <v>407</v>
      </c>
      <c r="B195" s="42">
        <v>46160</v>
      </c>
      <c r="C195" s="33" t="s">
        <v>186</v>
      </c>
      <c r="D195" s="33" t="s">
        <v>187</v>
      </c>
      <c r="E195" s="33" t="s">
        <v>25</v>
      </c>
      <c r="F195" s="33" t="s">
        <v>188</v>
      </c>
      <c r="G195" s="33" t="s">
        <v>180</v>
      </c>
      <c r="H195" s="20" t="s">
        <v>319</v>
      </c>
      <c r="I195" s="33" t="s">
        <v>65</v>
      </c>
      <c r="J195" s="37">
        <v>300</v>
      </c>
      <c r="K195" s="22">
        <f>IF(I195="","",IF(I195="ENTRADA",ABS(J195),-ABS(J195)))</f>
        <v>-300</v>
      </c>
      <c r="L195" s="33" t="s">
        <v>29</v>
      </c>
      <c r="M195" s="33"/>
      <c r="N195" s="33">
        <v>65066</v>
      </c>
      <c r="O195" s="33" t="s">
        <v>218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 hidden="1">
      <c r="A196" s="20" t="s">
        <v>408</v>
      </c>
      <c r="B196" s="42">
        <v>46160</v>
      </c>
      <c r="C196" s="33" t="s">
        <v>304</v>
      </c>
      <c r="D196" s="33" t="s">
        <v>305</v>
      </c>
      <c r="E196" s="33" t="s">
        <v>25</v>
      </c>
      <c r="F196" s="33" t="s">
        <v>188</v>
      </c>
      <c r="G196" s="33" t="s">
        <v>301</v>
      </c>
      <c r="H196" s="20" t="s">
        <v>409</v>
      </c>
      <c r="I196" s="33" t="s">
        <v>65</v>
      </c>
      <c r="J196" s="37">
        <v>25</v>
      </c>
      <c r="K196" s="22">
        <f>IF(I196="","",IF(I196="ENTRADA",ABS(J196),-ABS(J196)))</f>
        <v>-25</v>
      </c>
      <c r="L196" s="33" t="s">
        <v>29</v>
      </c>
      <c r="M196" s="33"/>
      <c r="N196" s="33">
        <v>65066</v>
      </c>
      <c r="O196" s="33" t="s">
        <v>218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 hidden="1">
      <c r="A197" s="20" t="s">
        <v>410</v>
      </c>
      <c r="B197" s="42">
        <v>46160</v>
      </c>
      <c r="C197" s="33" t="s">
        <v>160</v>
      </c>
      <c r="D197" s="33" t="s">
        <v>161</v>
      </c>
      <c r="E197" s="33" t="s">
        <v>25</v>
      </c>
      <c r="F197" s="33" t="s">
        <v>26</v>
      </c>
      <c r="G197" s="33" t="s">
        <v>158</v>
      </c>
      <c r="H197" s="20" t="s">
        <v>239</v>
      </c>
      <c r="I197" s="33" t="s">
        <v>65</v>
      </c>
      <c r="J197" s="37">
        <v>448</v>
      </c>
      <c r="K197" s="22">
        <f>IF(I197="","",IF(I197="ENTRADA",ABS(J197),-ABS(J197)))</f>
        <v>-448</v>
      </c>
      <c r="L197" s="33" t="s">
        <v>29</v>
      </c>
      <c r="M197" s="33"/>
      <c r="N197" s="33">
        <v>65068</v>
      </c>
      <c r="O197" s="33" t="s">
        <v>213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 hidden="1">
      <c r="A198" s="20" t="s">
        <v>411</v>
      </c>
      <c r="B198" s="42">
        <v>46160</v>
      </c>
      <c r="C198" s="33" t="s">
        <v>156</v>
      </c>
      <c r="D198" s="33" t="s">
        <v>157</v>
      </c>
      <c r="E198" s="33" t="s">
        <v>25</v>
      </c>
      <c r="F198" s="33" t="s">
        <v>26</v>
      </c>
      <c r="G198" s="33" t="s">
        <v>158</v>
      </c>
      <c r="H198" s="20" t="s">
        <v>295</v>
      </c>
      <c r="I198" s="33" t="s">
        <v>65</v>
      </c>
      <c r="J198" s="37">
        <v>200</v>
      </c>
      <c r="K198" s="22">
        <f>IF(I198="","",IF(I198="ENTRADA",ABS(J198),-ABS(J198)))</f>
        <v>-200</v>
      </c>
      <c r="L198" s="33" t="s">
        <v>29</v>
      </c>
      <c r="M198" s="33"/>
      <c r="N198" s="33">
        <v>65068</v>
      </c>
      <c r="O198" s="33" t="s">
        <v>213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 hidden="1">
      <c r="A199" s="20" t="s">
        <v>412</v>
      </c>
      <c r="B199" s="42">
        <v>46160</v>
      </c>
      <c r="C199" s="33" t="s">
        <v>137</v>
      </c>
      <c r="D199" s="33" t="s">
        <v>138</v>
      </c>
      <c r="E199" s="33" t="s">
        <v>132</v>
      </c>
      <c r="F199" s="33"/>
      <c r="G199" s="33" t="s">
        <v>133</v>
      </c>
      <c r="H199" s="20" t="s">
        <v>211</v>
      </c>
      <c r="I199" s="33" t="s">
        <v>65</v>
      </c>
      <c r="J199" s="50">
        <v>15</v>
      </c>
      <c r="K199" s="22">
        <f>IF(I199="","",IF(I199="ENTRADA",ABS(J199),-ABS(J199)))</f>
        <v>-15</v>
      </c>
      <c r="L199" s="33" t="s">
        <v>37</v>
      </c>
      <c r="M199" s="33"/>
      <c r="N199" s="33">
        <v>65067</v>
      </c>
      <c r="O199" s="33" t="s">
        <v>382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 hidden="1">
      <c r="A200" s="20" t="s">
        <v>413</v>
      </c>
      <c r="B200" s="42">
        <v>46160</v>
      </c>
      <c r="C200" s="33" t="s">
        <v>115</v>
      </c>
      <c r="D200" s="33" t="s">
        <v>116</v>
      </c>
      <c r="E200" s="33" t="s">
        <v>34</v>
      </c>
      <c r="F200" s="33" t="s">
        <v>35</v>
      </c>
      <c r="G200" s="33" t="s">
        <v>117</v>
      </c>
      <c r="H200" s="20" t="s">
        <v>120</v>
      </c>
      <c r="I200" s="33" t="s">
        <v>65</v>
      </c>
      <c r="J200" s="37">
        <v>600</v>
      </c>
      <c r="K200" s="22">
        <f>IF(I200="","",IF(I200="ENTRADA",ABS(J200),-ABS(J200)))</f>
        <v>-600</v>
      </c>
      <c r="L200" s="33" t="s">
        <v>37</v>
      </c>
      <c r="M200" s="33"/>
      <c r="N200" s="33">
        <v>65067</v>
      </c>
      <c r="O200" s="33" t="s">
        <v>382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 hidden="1">
      <c r="A201" s="20" t="s">
        <v>414</v>
      </c>
      <c r="B201" s="42">
        <v>46160</v>
      </c>
      <c r="C201" s="34" t="s">
        <v>90</v>
      </c>
      <c r="D201" s="34" t="s">
        <v>91</v>
      </c>
      <c r="E201" s="34" t="s">
        <v>34</v>
      </c>
      <c r="F201" s="34" t="s">
        <v>35</v>
      </c>
      <c r="G201" s="34" t="s">
        <v>36</v>
      </c>
      <c r="H201" s="20" t="s">
        <v>375</v>
      </c>
      <c r="I201" s="34" t="s">
        <v>65</v>
      </c>
      <c r="J201" s="36">
        <v>80</v>
      </c>
      <c r="K201" s="22">
        <f>IF(I201="","",IF(I201="ENTRADA",ABS(J201),-ABS(J201)))</f>
        <v>-80</v>
      </c>
      <c r="L201" s="34" t="s">
        <v>37</v>
      </c>
      <c r="M201" s="34"/>
      <c r="N201" s="34">
        <v>65067</v>
      </c>
      <c r="O201" s="34" t="s">
        <v>382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 hidden="1">
      <c r="A202" s="20" t="s">
        <v>415</v>
      </c>
      <c r="B202" s="42">
        <v>46160</v>
      </c>
      <c r="C202" t="s">
        <v>130</v>
      </c>
      <c r="D202" t="s">
        <v>131</v>
      </c>
      <c r="E202" t="s">
        <v>132</v>
      </c>
      <c r="G202" t="s">
        <v>133</v>
      </c>
      <c r="H202" s="20" t="s">
        <v>221</v>
      </c>
      <c r="I202" t="s">
        <v>65</v>
      </c>
      <c r="J202" s="30">
        <v>40</v>
      </c>
      <c r="K202" s="22">
        <f>IF(I202="","",IF(I202="ENTRADA",ABS(J202),-ABS(J202)))</f>
        <v>-40</v>
      </c>
      <c r="L202" t="s">
        <v>37</v>
      </c>
      <c r="N202">
        <v>65067</v>
      </c>
      <c r="O202" t="s">
        <v>382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 hidden="1">
      <c r="A203" s="20" t="s">
        <v>416</v>
      </c>
      <c r="B203" s="42">
        <v>46160</v>
      </c>
      <c r="C203" t="s">
        <v>299</v>
      </c>
      <c r="D203" t="s">
        <v>300</v>
      </c>
      <c r="E203" t="s">
        <v>25</v>
      </c>
      <c r="F203" t="s">
        <v>165</v>
      </c>
      <c r="G203" t="s">
        <v>301</v>
      </c>
      <c r="H203" s="20" t="s">
        <v>365</v>
      </c>
      <c r="I203" t="s">
        <v>65</v>
      </c>
      <c r="J203" s="30">
        <v>1740</v>
      </c>
      <c r="K203" s="22">
        <f>IF(I203="","",IF(I203="ENTRADA",ABS(J203),-ABS(J203)))</f>
        <v>-1740</v>
      </c>
      <c r="L203" t="s">
        <v>29</v>
      </c>
      <c r="N203">
        <v>65062</v>
      </c>
      <c r="O203" t="s">
        <v>218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 hidden="1">
      <c r="A204" s="20" t="s">
        <v>417</v>
      </c>
      <c r="B204" s="42">
        <v>46160</v>
      </c>
      <c r="C204" t="s">
        <v>256</v>
      </c>
      <c r="D204" t="s">
        <v>257</v>
      </c>
      <c r="E204" t="s">
        <v>25</v>
      </c>
      <c r="F204" t="s">
        <v>258</v>
      </c>
      <c r="G204" t="s">
        <v>259</v>
      </c>
      <c r="H204" s="20" t="s">
        <v>313</v>
      </c>
      <c r="I204" t="s">
        <v>65</v>
      </c>
      <c r="J204" s="30">
        <v>1225</v>
      </c>
      <c r="K204" s="22">
        <f>IF(I204="","",IF(I204="ENTRADA",ABS(J204),-ABS(J204)))</f>
        <v>-1225</v>
      </c>
      <c r="L204" t="s">
        <v>29</v>
      </c>
      <c r="N204">
        <v>65062</v>
      </c>
      <c r="O204" t="s">
        <v>218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 hidden="1">
      <c r="A205" s="20" t="s">
        <v>418</v>
      </c>
      <c r="B205" s="42">
        <v>46160</v>
      </c>
      <c r="C205" t="s">
        <v>228</v>
      </c>
      <c r="D205" t="s">
        <v>229</v>
      </c>
      <c r="E205" t="s">
        <v>25</v>
      </c>
      <c r="F205" t="s">
        <v>26</v>
      </c>
      <c r="G205" t="s">
        <v>27</v>
      </c>
      <c r="H205" s="20" t="s">
        <v>327</v>
      </c>
      <c r="I205" t="s">
        <v>65</v>
      </c>
      <c r="J205" s="30">
        <v>480</v>
      </c>
      <c r="K205" s="22">
        <f>IF(I205="","",IF(I205="ENTRADA",ABS(J205),-ABS(J205)))</f>
        <v>-480</v>
      </c>
      <c r="L205" t="s">
        <v>29</v>
      </c>
      <c r="N205">
        <v>65069</v>
      </c>
      <c r="O205" t="s">
        <v>218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 hidden="1">
      <c r="A206" s="20" t="s">
        <v>419</v>
      </c>
      <c r="B206" s="42">
        <v>46160</v>
      </c>
      <c r="C206" t="s">
        <v>156</v>
      </c>
      <c r="D206" t="s">
        <v>157</v>
      </c>
      <c r="E206" t="s">
        <v>25</v>
      </c>
      <c r="F206" t="s">
        <v>26</v>
      </c>
      <c r="G206" t="s">
        <v>158</v>
      </c>
      <c r="H206" s="20" t="s">
        <v>295</v>
      </c>
      <c r="I206" t="s">
        <v>65</v>
      </c>
      <c r="J206" s="30">
        <v>180</v>
      </c>
      <c r="K206" s="22">
        <f>IF(I206="","",IF(I206="ENTRADA",ABS(J206),-ABS(J206)))</f>
        <v>-180</v>
      </c>
      <c r="L206" t="s">
        <v>29</v>
      </c>
      <c r="N206">
        <v>65069</v>
      </c>
      <c r="O206" t="s">
        <v>218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 hidden="1">
      <c r="A207" s="20" t="s">
        <v>420</v>
      </c>
      <c r="B207" s="42">
        <v>46160</v>
      </c>
      <c r="C207" t="s">
        <v>156</v>
      </c>
      <c r="D207" t="s">
        <v>157</v>
      </c>
      <c r="E207" t="s">
        <v>25</v>
      </c>
      <c r="F207" t="s">
        <v>26</v>
      </c>
      <c r="G207" t="s">
        <v>158</v>
      </c>
      <c r="H207" s="20" t="s">
        <v>295</v>
      </c>
      <c r="I207" t="s">
        <v>65</v>
      </c>
      <c r="J207" s="30">
        <v>100</v>
      </c>
      <c r="K207" s="22">
        <f>IF(I207="","",IF(I207="ENTRADA",ABS(J207),-ABS(J207)))</f>
        <v>-100</v>
      </c>
      <c r="L207" t="s">
        <v>29</v>
      </c>
      <c r="N207">
        <v>65070</v>
      </c>
      <c r="O207" t="s">
        <v>66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 hidden="1">
      <c r="A208" s="20" t="s">
        <v>421</v>
      </c>
      <c r="B208" s="47">
        <v>46164</v>
      </c>
      <c r="C208" t="s">
        <v>115</v>
      </c>
      <c r="D208" t="s">
        <v>116</v>
      </c>
      <c r="E208" t="s">
        <v>34</v>
      </c>
      <c r="F208" t="s">
        <v>35</v>
      </c>
      <c r="G208" t="s">
        <v>117</v>
      </c>
      <c r="H208" s="20" t="s">
        <v>120</v>
      </c>
      <c r="I208" t="s">
        <v>65</v>
      </c>
      <c r="J208" s="30">
        <v>500</v>
      </c>
      <c r="K208" s="22">
        <f>IF(I208="","",IF(I208="ENTRADA",ABS(J208),-ABS(J208)))</f>
        <v>-500</v>
      </c>
      <c r="L208" t="s">
        <v>37</v>
      </c>
      <c r="N208">
        <v>65071</v>
      </c>
      <c r="O208" t="s">
        <v>382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 hidden="1">
      <c r="A209" s="20" t="s">
        <v>422</v>
      </c>
      <c r="B209" s="47">
        <v>46164</v>
      </c>
      <c r="C209" t="s">
        <v>137</v>
      </c>
      <c r="D209" t="s">
        <v>138</v>
      </c>
      <c r="E209" t="s">
        <v>132</v>
      </c>
      <c r="G209" t="s">
        <v>133</v>
      </c>
      <c r="H209" s="20" t="s">
        <v>211</v>
      </c>
      <c r="I209" t="s">
        <v>65</v>
      </c>
      <c r="J209" s="51">
        <v>15</v>
      </c>
      <c r="K209" s="22">
        <f>IF(I209="","",IF(I209="ENTRADA",ABS(J209),-ABS(J209)))</f>
        <v>-15</v>
      </c>
      <c r="L209" t="s">
        <v>37</v>
      </c>
      <c r="N209">
        <v>65071</v>
      </c>
      <c r="O209" t="s">
        <v>382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 hidden="1">
      <c r="A210" s="20" t="s">
        <v>423</v>
      </c>
      <c r="B210" s="47">
        <v>46164</v>
      </c>
      <c r="C210" t="s">
        <v>130</v>
      </c>
      <c r="D210" t="s">
        <v>131</v>
      </c>
      <c r="E210" t="s">
        <v>132</v>
      </c>
      <c r="G210" t="s">
        <v>133</v>
      </c>
      <c r="H210" s="20" t="s">
        <v>221</v>
      </c>
      <c r="I210" t="s">
        <v>65</v>
      </c>
      <c r="J210" s="30">
        <v>20</v>
      </c>
      <c r="K210" s="22">
        <f>IF(I210="","",IF(I210="ENTRADA",ABS(J210),-ABS(J210)))</f>
        <v>-20</v>
      </c>
      <c r="L210" t="s">
        <v>37</v>
      </c>
      <c r="N210">
        <v>65071</v>
      </c>
      <c r="O210" t="s">
        <v>382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 hidden="1">
      <c r="A211" s="20" t="s">
        <v>424</v>
      </c>
      <c r="B211" s="47">
        <v>46164</v>
      </c>
      <c r="C211" s="34" t="s">
        <v>425</v>
      </c>
      <c r="D211" s="34" t="s">
        <v>426</v>
      </c>
      <c r="E211" s="34" t="s">
        <v>25</v>
      </c>
      <c r="F211" s="34" t="s">
        <v>427</v>
      </c>
      <c r="G211" s="34" t="s">
        <v>27</v>
      </c>
      <c r="H211" s="20" t="str">
        <f>+T211</f>
        <v>260522-210</v>
      </c>
      <c r="I211" s="34" t="s">
        <v>28</v>
      </c>
      <c r="J211" s="36">
        <v>12000</v>
      </c>
      <c r="K211" s="22">
        <f>IF(I211="","",IF(I211="ENTRADA",ABS(J211),-ABS(J211)))</f>
        <v>12000</v>
      </c>
      <c r="L211" s="34" t="s">
        <v>29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 hidden="1">
      <c r="A212" s="20" t="s">
        <v>428</v>
      </c>
      <c r="B212" s="47">
        <v>46164</v>
      </c>
      <c r="C212" t="s">
        <v>429</v>
      </c>
      <c r="D212" t="s">
        <v>430</v>
      </c>
      <c r="E212" t="s">
        <v>25</v>
      </c>
      <c r="F212" t="s">
        <v>427</v>
      </c>
      <c r="G212" t="s">
        <v>27</v>
      </c>
      <c r="H212" s="20" t="str">
        <f>+T212</f>
        <v>260522-211</v>
      </c>
      <c r="I212" t="s">
        <v>28</v>
      </c>
      <c r="J212" s="30">
        <v>600</v>
      </c>
      <c r="K212" s="22">
        <f>IF(I212="","",IF(I212="ENTRADA",ABS(J212),-ABS(J212)))</f>
        <v>600</v>
      </c>
      <c r="L212" t="s">
        <v>29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 hidden="1">
      <c r="A213" s="20" t="s">
        <v>431</v>
      </c>
      <c r="B213" s="47">
        <v>46164</v>
      </c>
      <c r="C213" t="s">
        <v>122</v>
      </c>
      <c r="D213" t="s">
        <v>123</v>
      </c>
      <c r="E213" t="s">
        <v>34</v>
      </c>
      <c r="F213" t="s">
        <v>35</v>
      </c>
      <c r="G213" t="s">
        <v>117</v>
      </c>
      <c r="H213" s="20" t="s">
        <v>203</v>
      </c>
      <c r="I213" t="s">
        <v>65</v>
      </c>
      <c r="J213" s="30">
        <v>110</v>
      </c>
      <c r="K213" s="22">
        <f>IF(I213="","",IF(I213="ENTRADA",ABS(J213),-ABS(J213)))</f>
        <v>-110</v>
      </c>
      <c r="L213" t="s">
        <v>37</v>
      </c>
      <c r="N213">
        <v>65073</v>
      </c>
      <c r="O213" t="s">
        <v>218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 hidden="1">
      <c r="A214" s="20" t="s">
        <v>432</v>
      </c>
      <c r="B214" s="47">
        <v>46164</v>
      </c>
      <c r="C214" t="s">
        <v>115</v>
      </c>
      <c r="D214" t="s">
        <v>116</v>
      </c>
      <c r="E214" t="s">
        <v>34</v>
      </c>
      <c r="F214" t="s">
        <v>35</v>
      </c>
      <c r="G214" t="s">
        <v>117</v>
      </c>
      <c r="H214" s="20" t="s">
        <v>120</v>
      </c>
      <c r="I214" t="s">
        <v>65</v>
      </c>
      <c r="J214" s="30">
        <v>500</v>
      </c>
      <c r="K214" s="22">
        <f>IF(I214="","",IF(I214="ENTRADA",ABS(J214),-ABS(J214)))</f>
        <v>-500</v>
      </c>
      <c r="L214" t="s">
        <v>37</v>
      </c>
      <c r="N214">
        <v>65073</v>
      </c>
      <c r="O214" t="s">
        <v>218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 hidden="1">
      <c r="A215" s="20" t="s">
        <v>433</v>
      </c>
      <c r="B215" s="47">
        <v>46164</v>
      </c>
      <c r="C215" t="s">
        <v>137</v>
      </c>
      <c r="D215" t="s">
        <v>138</v>
      </c>
      <c r="E215" t="s">
        <v>132</v>
      </c>
      <c r="G215" t="s">
        <v>133</v>
      </c>
      <c r="H215" s="20" t="s">
        <v>211</v>
      </c>
      <c r="I215" t="s">
        <v>65</v>
      </c>
      <c r="J215" s="51">
        <v>15</v>
      </c>
      <c r="K215" s="22">
        <f>IF(I215="","",IF(I215="ENTRADA",ABS(J215),-ABS(J215)))</f>
        <v>-15</v>
      </c>
      <c r="L215" t="s">
        <v>37</v>
      </c>
      <c r="N215">
        <v>65073</v>
      </c>
      <c r="O215" t="s">
        <v>218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 hidden="1">
      <c r="A216" s="20" t="s">
        <v>434</v>
      </c>
      <c r="B216" s="47">
        <v>46164</v>
      </c>
      <c r="C216" t="s">
        <v>130</v>
      </c>
      <c r="D216" t="s">
        <v>131</v>
      </c>
      <c r="E216" t="s">
        <v>132</v>
      </c>
      <c r="G216" t="s">
        <v>133</v>
      </c>
      <c r="H216" s="20" t="s">
        <v>221</v>
      </c>
      <c r="I216" t="s">
        <v>65</v>
      </c>
      <c r="J216" s="30">
        <v>60</v>
      </c>
      <c r="K216" s="22">
        <f>IF(I216="","",IF(I216="ENTRADA",ABS(J216),-ABS(J216)))</f>
        <v>-60</v>
      </c>
      <c r="L216" t="s">
        <v>37</v>
      </c>
      <c r="N216">
        <v>65073</v>
      </c>
      <c r="O216" t="s">
        <v>218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 hidden="1">
      <c r="A217" s="20" t="s">
        <v>435</v>
      </c>
      <c r="B217" s="47">
        <v>46165</v>
      </c>
      <c r="C217" t="s">
        <v>90</v>
      </c>
      <c r="D217" t="s">
        <v>91</v>
      </c>
      <c r="E217" t="s">
        <v>34</v>
      </c>
      <c r="F217" t="s">
        <v>35</v>
      </c>
      <c r="G217" t="s">
        <v>36</v>
      </c>
      <c r="H217" s="20" t="s">
        <v>375</v>
      </c>
      <c r="I217" t="s">
        <v>65</v>
      </c>
      <c r="J217" s="30">
        <v>300</v>
      </c>
      <c r="K217" s="22">
        <f>IF(I217="","",IF(I217="ENTRADA",ABS(J217),-ABS(J217)))</f>
        <v>-300</v>
      </c>
      <c r="L217" t="s">
        <v>37</v>
      </c>
      <c r="N217">
        <v>65076</v>
      </c>
      <c r="O217" t="s">
        <v>331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 hidden="1">
      <c r="A218" s="20" t="s">
        <v>436</v>
      </c>
      <c r="B218" s="47">
        <v>46103</v>
      </c>
      <c r="C218" t="s">
        <v>80</v>
      </c>
      <c r="D218" t="s">
        <v>81</v>
      </c>
      <c r="E218" t="s">
        <v>25</v>
      </c>
      <c r="F218" t="s">
        <v>82</v>
      </c>
      <c r="G218" t="s">
        <v>83</v>
      </c>
      <c r="H218" s="20" t="s">
        <v>151</v>
      </c>
      <c r="I218" t="s">
        <v>65</v>
      </c>
      <c r="J218" s="30">
        <v>2500</v>
      </c>
      <c r="K218" s="22">
        <f>IF(I218="","",IF(I218="ENTRADA",ABS(J218),-ABS(J218)))</f>
        <v>-2500</v>
      </c>
      <c r="L218" t="s">
        <v>29</v>
      </c>
      <c r="N218">
        <v>65075</v>
      </c>
      <c r="O218" t="s">
        <v>387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 hidden="1">
      <c r="A219" s="20" t="s">
        <v>437</v>
      </c>
      <c r="B219" s="47">
        <v>46167</v>
      </c>
      <c r="C219" t="s">
        <v>90</v>
      </c>
      <c r="D219" t="s">
        <v>91</v>
      </c>
      <c r="E219" t="s">
        <v>34</v>
      </c>
      <c r="F219" t="s">
        <v>35</v>
      </c>
      <c r="G219" t="s">
        <v>36</v>
      </c>
      <c r="H219" s="20" t="s">
        <v>375</v>
      </c>
      <c r="I219" t="s">
        <v>65</v>
      </c>
      <c r="J219" s="30">
        <v>10</v>
      </c>
      <c r="K219" s="22">
        <f>IF(I219="","",IF(I219="ENTRADA",ABS(J219),-ABS(J219)))</f>
        <v>-10</v>
      </c>
      <c r="L219" t="s">
        <v>37</v>
      </c>
      <c r="N219">
        <v>65077</v>
      </c>
      <c r="O219" t="s">
        <v>382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 hidden="1">
      <c r="A220" s="20" t="s">
        <v>438</v>
      </c>
      <c r="B220" s="47">
        <v>46167</v>
      </c>
      <c r="C220" t="s">
        <v>90</v>
      </c>
      <c r="D220" t="s">
        <v>91</v>
      </c>
      <c r="E220" t="s">
        <v>34</v>
      </c>
      <c r="F220" t="s">
        <v>35</v>
      </c>
      <c r="G220" t="s">
        <v>36</v>
      </c>
      <c r="H220" s="20" t="s">
        <v>375</v>
      </c>
      <c r="I220" t="s">
        <v>65</v>
      </c>
      <c r="J220" s="30">
        <v>50</v>
      </c>
      <c r="K220" s="22">
        <f>IF(I220="","",IF(I220="ENTRADA",ABS(J220),-ABS(J220)))</f>
        <v>-50</v>
      </c>
      <c r="L220" t="s">
        <v>37</v>
      </c>
      <c r="N220">
        <v>65078</v>
      </c>
      <c r="O220" t="s">
        <v>237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 hidden="1">
      <c r="A221" s="20" t="s">
        <v>439</v>
      </c>
      <c r="B221" s="47">
        <v>46167</v>
      </c>
      <c r="C221" s="34" t="s">
        <v>90</v>
      </c>
      <c r="D221" s="34" t="s">
        <v>91</v>
      </c>
      <c r="E221" s="34" t="s">
        <v>34</v>
      </c>
      <c r="F221" s="34" t="s">
        <v>35</v>
      </c>
      <c r="G221" s="34" t="s">
        <v>36</v>
      </c>
      <c r="H221" s="20" t="s">
        <v>375</v>
      </c>
      <c r="I221" s="34" t="s">
        <v>65</v>
      </c>
      <c r="J221" s="36">
        <v>80</v>
      </c>
      <c r="K221" s="22">
        <f>IF(I221="","",IF(I221="ENTRADA",ABS(J221),-ABS(J221)))</f>
        <v>-80</v>
      </c>
      <c r="L221" s="34" t="s">
        <v>37</v>
      </c>
      <c r="M221" s="34"/>
      <c r="N221" s="34">
        <v>65079</v>
      </c>
      <c r="O221" s="34" t="s">
        <v>218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 hidden="1">
      <c r="A222" s="20" t="s">
        <v>440</v>
      </c>
      <c r="B222" s="47">
        <v>46167</v>
      </c>
      <c r="C222" t="s">
        <v>115</v>
      </c>
      <c r="D222" t="s">
        <v>116</v>
      </c>
      <c r="E222" t="s">
        <v>34</v>
      </c>
      <c r="F222" t="s">
        <v>35</v>
      </c>
      <c r="G222" t="s">
        <v>117</v>
      </c>
      <c r="H222" s="20" t="s">
        <v>120</v>
      </c>
      <c r="I222" t="s">
        <v>65</v>
      </c>
      <c r="J222" s="30">
        <v>500</v>
      </c>
      <c r="K222" s="22">
        <f>IF(I222="","",IF(I222="ENTRADA",ABS(J222),-ABS(J222)))</f>
        <v>-500</v>
      </c>
      <c r="L222" t="s">
        <v>37</v>
      </c>
      <c r="N222">
        <v>65079</v>
      </c>
      <c r="O222" t="s">
        <v>218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 hidden="1">
      <c r="A223" s="20" t="s">
        <v>441</v>
      </c>
      <c r="B223" s="47">
        <v>46167</v>
      </c>
      <c r="C223" t="s">
        <v>137</v>
      </c>
      <c r="D223" t="s">
        <v>138</v>
      </c>
      <c r="E223" t="s">
        <v>132</v>
      </c>
      <c r="G223" t="s">
        <v>133</v>
      </c>
      <c r="H223" s="20" t="s">
        <v>211</v>
      </c>
      <c r="I223" t="s">
        <v>65</v>
      </c>
      <c r="J223" s="51">
        <v>15</v>
      </c>
      <c r="K223" s="22">
        <f>IF(I223="","",IF(I223="ENTRADA",ABS(J223),-ABS(J223)))</f>
        <v>-15</v>
      </c>
      <c r="L223" t="s">
        <v>37</v>
      </c>
      <c r="N223">
        <v>65079</v>
      </c>
      <c r="O223" t="s">
        <v>218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 hidden="1">
      <c r="A224" s="20" t="s">
        <v>442</v>
      </c>
      <c r="B224" s="47">
        <v>46167</v>
      </c>
      <c r="C224" t="s">
        <v>130</v>
      </c>
      <c r="D224" t="s">
        <v>131</v>
      </c>
      <c r="E224" t="s">
        <v>132</v>
      </c>
      <c r="G224" t="s">
        <v>133</v>
      </c>
      <c r="H224" s="20" t="s">
        <v>221</v>
      </c>
      <c r="I224" t="s">
        <v>65</v>
      </c>
      <c r="J224" s="30">
        <v>60</v>
      </c>
      <c r="K224" s="22">
        <f>IF(I224="","",IF(I224="ENTRADA",ABS(J224),-ABS(J224)))</f>
        <v>-60</v>
      </c>
      <c r="L224" t="s">
        <v>37</v>
      </c>
      <c r="N224">
        <v>65079</v>
      </c>
      <c r="O224" t="s">
        <v>218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 hidden="1">
      <c r="A225" s="20" t="s">
        <v>443</v>
      </c>
      <c r="B225" s="47">
        <v>46167</v>
      </c>
      <c r="C225" t="s">
        <v>115</v>
      </c>
      <c r="D225" t="s">
        <v>116</v>
      </c>
      <c r="E225" t="s">
        <v>34</v>
      </c>
      <c r="F225" t="s">
        <v>35</v>
      </c>
      <c r="G225" t="s">
        <v>117</v>
      </c>
      <c r="H225" s="20" t="s">
        <v>120</v>
      </c>
      <c r="I225" t="s">
        <v>65</v>
      </c>
      <c r="J225" s="30">
        <v>2880</v>
      </c>
      <c r="K225" s="22">
        <f>IF(I225="","",IF(I225="ENTRADA",ABS(J225),-ABS(J225)))</f>
        <v>-2880</v>
      </c>
      <c r="L225" t="s">
        <v>37</v>
      </c>
      <c r="N225">
        <v>65080</v>
      </c>
      <c r="O225" t="s">
        <v>213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 hidden="1">
      <c r="A226" s="20" t="s">
        <v>444</v>
      </c>
      <c r="B226" s="47">
        <v>46168</v>
      </c>
      <c r="C226" t="s">
        <v>156</v>
      </c>
      <c r="D226" t="s">
        <v>157</v>
      </c>
      <c r="E226" t="s">
        <v>25</v>
      </c>
      <c r="F226" t="s">
        <v>26</v>
      </c>
      <c r="G226" t="s">
        <v>301</v>
      </c>
      <c r="H226" s="20" t="str">
        <f>+T226</f>
        <v>260526-226</v>
      </c>
      <c r="I226" t="s">
        <v>28</v>
      </c>
      <c r="J226" s="30">
        <v>1000</v>
      </c>
      <c r="K226" s="22">
        <f>IF(I226="","",IF(I226="ENTRADA",ABS(J226),-ABS(J226)))</f>
        <v>1000</v>
      </c>
      <c r="L226" t="s">
        <v>29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 hidden="1">
      <c r="A227" s="20" t="s">
        <v>445</v>
      </c>
      <c r="B227" s="47">
        <v>46170</v>
      </c>
      <c r="C227" t="s">
        <v>156</v>
      </c>
      <c r="D227" t="s">
        <v>157</v>
      </c>
      <c r="E227" t="s">
        <v>25</v>
      </c>
      <c r="F227" t="s">
        <v>26</v>
      </c>
      <c r="G227" t="s">
        <v>301</v>
      </c>
      <c r="H227" s="20" t="s">
        <v>446</v>
      </c>
      <c r="I227" t="s">
        <v>65</v>
      </c>
      <c r="J227" s="30">
        <v>180</v>
      </c>
      <c r="K227" s="22">
        <f>IF(I227="","",IF(I227="ENTRADA",ABS(J227),-ABS(J227)))</f>
        <v>-180</v>
      </c>
      <c r="L227" t="s">
        <v>29</v>
      </c>
      <c r="N227">
        <v>65081</v>
      </c>
      <c r="O227" t="s">
        <v>309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 hidden="1">
      <c r="A228" s="20" t="s">
        <v>447</v>
      </c>
      <c r="B228" s="47">
        <v>46171</v>
      </c>
      <c r="C228" t="s">
        <v>267</v>
      </c>
      <c r="D228" t="s">
        <v>267</v>
      </c>
      <c r="E228" t="s">
        <v>25</v>
      </c>
      <c r="F228" t="s">
        <v>26</v>
      </c>
      <c r="G228" t="s">
        <v>36</v>
      </c>
      <c r="H228" s="20" t="s">
        <v>448</v>
      </c>
      <c r="I228" t="s">
        <v>65</v>
      </c>
      <c r="J228" s="30">
        <v>200</v>
      </c>
      <c r="K228" s="22">
        <f>IF(I228="","",IF(I228="ENTRADA",ABS(J228),-ABS(J228)))</f>
        <v>-200</v>
      </c>
      <c r="L228" t="s">
        <v>29</v>
      </c>
      <c r="N228">
        <v>65083</v>
      </c>
      <c r="O228" t="s">
        <v>387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 hidden="1">
      <c r="A229" s="20" t="s">
        <v>449</v>
      </c>
      <c r="B229" s="47">
        <v>46171</v>
      </c>
      <c r="C229" t="s">
        <v>156</v>
      </c>
      <c r="D229" t="s">
        <v>157</v>
      </c>
      <c r="E229" t="s">
        <v>25</v>
      </c>
      <c r="F229" t="s">
        <v>26</v>
      </c>
      <c r="G229" t="s">
        <v>301</v>
      </c>
      <c r="H229" s="20" t="s">
        <v>446</v>
      </c>
      <c r="I229" t="s">
        <v>65</v>
      </c>
      <c r="J229" s="30">
        <v>200</v>
      </c>
      <c r="K229" s="22">
        <f>IF(I229="","",IF(I229="ENTRADA",ABS(J229),-ABS(J229)))</f>
        <v>-200</v>
      </c>
      <c r="L229" t="s">
        <v>29</v>
      </c>
      <c r="N229">
        <v>65083</v>
      </c>
      <c r="O229" t="s">
        <v>387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 hidden="1">
      <c r="A230" s="20" t="s">
        <v>450</v>
      </c>
      <c r="B230" s="47">
        <v>46171</v>
      </c>
      <c r="C230" t="s">
        <v>115</v>
      </c>
      <c r="D230" t="s">
        <v>116</v>
      </c>
      <c r="E230" t="s">
        <v>34</v>
      </c>
      <c r="F230" t="s">
        <v>35</v>
      </c>
      <c r="G230" t="s">
        <v>117</v>
      </c>
      <c r="H230" s="20" t="s">
        <v>120</v>
      </c>
      <c r="I230" t="s">
        <v>65</v>
      </c>
      <c r="J230" s="30">
        <v>1500</v>
      </c>
      <c r="K230" s="22">
        <f>IF(I230="","",IF(I230="ENTRADA",ABS(J230),-ABS(J230)))</f>
        <v>-1500</v>
      </c>
      <c r="L230" t="s">
        <v>37</v>
      </c>
      <c r="N230">
        <v>65084</v>
      </c>
      <c r="O230" t="s">
        <v>382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 hidden="1">
      <c r="A231" s="20" t="s">
        <v>451</v>
      </c>
      <c r="B231" s="47">
        <v>46171</v>
      </c>
      <c r="C231" t="s">
        <v>137</v>
      </c>
      <c r="D231" t="s">
        <v>138</v>
      </c>
      <c r="E231" t="s">
        <v>132</v>
      </c>
      <c r="G231" t="s">
        <v>133</v>
      </c>
      <c r="H231" s="20" t="s">
        <v>211</v>
      </c>
      <c r="I231" t="s">
        <v>65</v>
      </c>
      <c r="J231" s="51">
        <v>15</v>
      </c>
      <c r="K231" s="22">
        <f>IF(I231="","",IF(I231="ENTRADA",ABS(J231),-ABS(J231)))</f>
        <v>-15</v>
      </c>
      <c r="L231" t="s">
        <v>37</v>
      </c>
      <c r="N231">
        <v>65084</v>
      </c>
      <c r="O231" t="s">
        <v>382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 hidden="1">
      <c r="A232" s="20" t="s">
        <v>452</v>
      </c>
      <c r="B232" s="47">
        <v>46171</v>
      </c>
      <c r="C232" s="34" t="s">
        <v>130</v>
      </c>
      <c r="D232" s="34" t="s">
        <v>131</v>
      </c>
      <c r="E232" s="34" t="s">
        <v>132</v>
      </c>
      <c r="F232" s="34"/>
      <c r="G232" s="34" t="s">
        <v>133</v>
      </c>
      <c r="H232" s="20" t="s">
        <v>221</v>
      </c>
      <c r="I232" s="34" t="s">
        <v>65</v>
      </c>
      <c r="J232" s="36">
        <v>60</v>
      </c>
      <c r="K232" s="22">
        <f>IF(I232="","",IF(I232="ENTRADA",ABS(J232),-ABS(J232)))</f>
        <v>-60</v>
      </c>
      <c r="L232" s="34" t="s">
        <v>37</v>
      </c>
      <c r="M232" s="34"/>
      <c r="N232" s="34">
        <v>65084</v>
      </c>
      <c r="O232" s="34" t="s">
        <v>382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 hidden="1">
      <c r="A233" s="20" t="s">
        <v>453</v>
      </c>
      <c r="B233" s="47">
        <v>46171</v>
      </c>
      <c r="C233" t="s">
        <v>156</v>
      </c>
      <c r="D233" t="s">
        <v>157</v>
      </c>
      <c r="E233" t="s">
        <v>25</v>
      </c>
      <c r="F233" t="s">
        <v>26</v>
      </c>
      <c r="G233" t="s">
        <v>301</v>
      </c>
      <c r="H233" s="20" t="s">
        <v>446</v>
      </c>
      <c r="I233" t="s">
        <v>65</v>
      </c>
      <c r="J233" s="30">
        <v>400</v>
      </c>
      <c r="K233" s="22">
        <f>IF(I233="","",IF(I233="ENTRADA",ABS(J233),-ABS(J233)))</f>
        <v>-400</v>
      </c>
      <c r="L233" t="s">
        <v>29</v>
      </c>
      <c r="N233">
        <v>65085</v>
      </c>
      <c r="O233" t="s">
        <v>382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 hidden="1">
      <c r="A234" s="20" t="s">
        <v>454</v>
      </c>
      <c r="B234" s="47">
        <v>46171</v>
      </c>
      <c r="C234" t="s">
        <v>115</v>
      </c>
      <c r="D234" t="s">
        <v>116</v>
      </c>
      <c r="E234" t="s">
        <v>34</v>
      </c>
      <c r="F234" t="s">
        <v>35</v>
      </c>
      <c r="G234" t="s">
        <v>117</v>
      </c>
      <c r="H234" s="20" t="s">
        <v>120</v>
      </c>
      <c r="I234" t="s">
        <v>65</v>
      </c>
      <c r="J234" s="30">
        <v>600</v>
      </c>
      <c r="K234" s="22">
        <f>IF(I234="","",IF(I234="ENTRADA",ABS(J234),-ABS(J234)))</f>
        <v>-600</v>
      </c>
      <c r="L234" t="s">
        <v>37</v>
      </c>
      <c r="N234">
        <v>65086</v>
      </c>
      <c r="O234" t="s">
        <v>387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 hidden="1">
      <c r="A235" s="20" t="s">
        <v>455</v>
      </c>
      <c r="B235" s="47">
        <v>46171</v>
      </c>
      <c r="C235" t="s">
        <v>90</v>
      </c>
      <c r="D235" t="s">
        <v>91</v>
      </c>
      <c r="E235" t="s">
        <v>34</v>
      </c>
      <c r="F235" t="s">
        <v>35</v>
      </c>
      <c r="G235" t="s">
        <v>36</v>
      </c>
      <c r="H235" s="20" t="s">
        <v>375</v>
      </c>
      <c r="I235" t="s">
        <v>65</v>
      </c>
      <c r="J235" s="30">
        <v>135</v>
      </c>
      <c r="K235" s="22">
        <f>IF(I235="","",IF(I235="ENTRADA",ABS(J235),-ABS(J235)))</f>
        <v>-135</v>
      </c>
      <c r="L235" t="s">
        <v>37</v>
      </c>
      <c r="N235">
        <v>65086</v>
      </c>
      <c r="O235" t="s">
        <v>387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 hidden="1">
      <c r="A236" s="20" t="s">
        <v>456</v>
      </c>
      <c r="B236" s="47">
        <v>46171</v>
      </c>
      <c r="C236" t="s">
        <v>156</v>
      </c>
      <c r="D236" t="s">
        <v>157</v>
      </c>
      <c r="E236" t="s">
        <v>25</v>
      </c>
      <c r="F236" t="s">
        <v>26</v>
      </c>
      <c r="G236" t="s">
        <v>301</v>
      </c>
      <c r="H236" s="20" t="s">
        <v>446</v>
      </c>
      <c r="I236" t="s">
        <v>65</v>
      </c>
      <c r="J236" s="30">
        <v>220</v>
      </c>
      <c r="K236" s="22">
        <f>IF(I236="","",IF(I236="ENTRADA",ABS(J236),-ABS(J236)))</f>
        <v>-220</v>
      </c>
      <c r="L236" t="s">
        <v>29</v>
      </c>
      <c r="N236">
        <v>65086</v>
      </c>
      <c r="O236" t="s">
        <v>387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 hidden="1">
      <c r="A237" s="20" t="s">
        <v>457</v>
      </c>
      <c r="B237" s="47">
        <v>46174</v>
      </c>
      <c r="C237" t="s">
        <v>115</v>
      </c>
      <c r="D237" t="s">
        <v>116</v>
      </c>
      <c r="E237" t="s">
        <v>34</v>
      </c>
      <c r="F237" t="s">
        <v>35</v>
      </c>
      <c r="G237" t="s">
        <v>117</v>
      </c>
      <c r="H237" s="20" t="s">
        <v>120</v>
      </c>
      <c r="I237" t="s">
        <v>65</v>
      </c>
      <c r="J237" s="30">
        <v>1060</v>
      </c>
      <c r="K237" s="22">
        <f>IF(I237="","",IF(I237="ENTRADA",ABS(J237),-ABS(J237)))</f>
        <v>-1060</v>
      </c>
      <c r="L237" t="s">
        <v>37</v>
      </c>
      <c r="N237">
        <v>65087</v>
      </c>
      <c r="O237" t="s">
        <v>218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 hidden="1">
      <c r="A238" s="20" t="s">
        <v>458</v>
      </c>
      <c r="B238" s="47">
        <v>46174</v>
      </c>
      <c r="C238" t="s">
        <v>90</v>
      </c>
      <c r="D238" t="s">
        <v>91</v>
      </c>
      <c r="E238" t="s">
        <v>34</v>
      </c>
      <c r="F238" t="s">
        <v>35</v>
      </c>
      <c r="G238" t="s">
        <v>36</v>
      </c>
      <c r="H238" s="20" t="s">
        <v>375</v>
      </c>
      <c r="I238" t="s">
        <v>65</v>
      </c>
      <c r="J238" s="30">
        <v>120</v>
      </c>
      <c r="K238" s="22">
        <f>IF(I238="","",IF(I238="ENTRADA",ABS(J238),-ABS(J238)))</f>
        <v>-120</v>
      </c>
      <c r="L238" t="s">
        <v>37</v>
      </c>
      <c r="N238">
        <v>65087</v>
      </c>
      <c r="O238" t="s">
        <v>218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 hidden="1">
      <c r="A239" s="20" t="s">
        <v>459</v>
      </c>
      <c r="B239" s="47">
        <v>46174</v>
      </c>
      <c r="C239" t="s">
        <v>80</v>
      </c>
      <c r="D239" t="s">
        <v>81</v>
      </c>
      <c r="E239" t="s">
        <v>25</v>
      </c>
      <c r="F239" t="s">
        <v>82</v>
      </c>
      <c r="G239" t="s">
        <v>83</v>
      </c>
      <c r="H239" s="20" t="s">
        <v>151</v>
      </c>
      <c r="I239" t="s">
        <v>65</v>
      </c>
      <c r="J239" s="30">
        <v>625</v>
      </c>
      <c r="K239" s="22">
        <f>IF(I239="","",IF(I239="ENTRADA",ABS(J239),-ABS(J239)))</f>
        <v>-625</v>
      </c>
      <c r="L239" t="s">
        <v>29</v>
      </c>
      <c r="N239">
        <v>65088</v>
      </c>
      <c r="O239" t="s">
        <v>387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 hidden="1">
      <c r="A240" s="20" t="s">
        <v>460</v>
      </c>
      <c r="B240" s="47">
        <v>46174</v>
      </c>
      <c r="C240" t="s">
        <v>122</v>
      </c>
      <c r="D240" t="s">
        <v>123</v>
      </c>
      <c r="E240" t="s">
        <v>34</v>
      </c>
      <c r="F240" t="s">
        <v>35</v>
      </c>
      <c r="G240" t="s">
        <v>117</v>
      </c>
      <c r="H240" s="20" t="s">
        <v>203</v>
      </c>
      <c r="I240" t="s">
        <v>65</v>
      </c>
      <c r="J240" s="30">
        <v>200</v>
      </c>
      <c r="K240" s="22">
        <f>IF(I240="","",IF(I240="ENTRADA",ABS(J240),-ABS(J240)))</f>
        <v>-200</v>
      </c>
      <c r="L240" t="s">
        <v>37</v>
      </c>
      <c r="N240">
        <v>65089</v>
      </c>
      <c r="O240" t="s">
        <v>213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 hidden="1">
      <c r="A241" s="20" t="s">
        <v>461</v>
      </c>
      <c r="B241" s="47">
        <v>46174</v>
      </c>
      <c r="C241" t="s">
        <v>130</v>
      </c>
      <c r="D241" t="s">
        <v>131</v>
      </c>
      <c r="E241" t="s">
        <v>132</v>
      </c>
      <c r="G241" t="s">
        <v>133</v>
      </c>
      <c r="H241" s="20" t="s">
        <v>221</v>
      </c>
      <c r="I241" t="s">
        <v>65</v>
      </c>
      <c r="J241" s="30">
        <v>200</v>
      </c>
      <c r="K241" s="22">
        <f>IF(I241="","",IF(I241="ENTRADA",ABS(J241),-ABS(J241)))</f>
        <v>-200</v>
      </c>
      <c r="L241" t="s">
        <v>37</v>
      </c>
      <c r="N241">
        <v>65089</v>
      </c>
      <c r="O241" t="s">
        <v>213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 hidden="1">
      <c r="A242" s="20" t="s">
        <v>462</v>
      </c>
      <c r="B242" s="47">
        <v>46174</v>
      </c>
      <c r="C242" t="s">
        <v>245</v>
      </c>
      <c r="D242" t="s">
        <v>246</v>
      </c>
      <c r="E242" t="s">
        <v>34</v>
      </c>
      <c r="F242" t="s">
        <v>35</v>
      </c>
      <c r="G242" t="s">
        <v>27</v>
      </c>
      <c r="H242" s="20" t="s">
        <v>463</v>
      </c>
      <c r="I242" t="s">
        <v>65</v>
      </c>
      <c r="J242" s="30">
        <v>60</v>
      </c>
      <c r="K242" s="22">
        <f>IF(I242="","",IF(I242="ENTRADA",ABS(J242),-ABS(J242)))</f>
        <v>-60</v>
      </c>
      <c r="L242" t="s">
        <v>37</v>
      </c>
      <c r="N242">
        <v>65089</v>
      </c>
      <c r="O242" t="s">
        <v>213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 hidden="1">
      <c r="A243" s="20" t="s">
        <v>464</v>
      </c>
      <c r="B243" s="47">
        <v>46174</v>
      </c>
      <c r="C243" s="34" t="s">
        <v>122</v>
      </c>
      <c r="D243" s="34" t="s">
        <v>123</v>
      </c>
      <c r="E243" s="34" t="s">
        <v>34</v>
      </c>
      <c r="F243" s="34" t="s">
        <v>35</v>
      </c>
      <c r="G243" s="34" t="s">
        <v>117</v>
      </c>
      <c r="H243" s="20" t="s">
        <v>203</v>
      </c>
      <c r="I243" s="34" t="s">
        <v>65</v>
      </c>
      <c r="J243" s="36">
        <v>20</v>
      </c>
      <c r="K243" s="22">
        <f>IF(I243="","",IF(I243="ENTRADA",ABS(J243),-ABS(J243)))</f>
        <v>-20</v>
      </c>
      <c r="L243" s="34" t="s">
        <v>37</v>
      </c>
      <c r="M243" s="34"/>
      <c r="N243" s="34">
        <v>65093</v>
      </c>
      <c r="O243" s="34" t="s">
        <v>382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 hidden="1">
      <c r="A244" s="20" t="s">
        <v>465</v>
      </c>
      <c r="B244" s="47">
        <v>46175</v>
      </c>
      <c r="C244" t="s">
        <v>115</v>
      </c>
      <c r="D244" t="s">
        <v>116</v>
      </c>
      <c r="E244" t="s">
        <v>34</v>
      </c>
      <c r="F244" t="s">
        <v>35</v>
      </c>
      <c r="G244" t="s">
        <v>117</v>
      </c>
      <c r="H244" s="20" t="s">
        <v>120</v>
      </c>
      <c r="I244" t="s">
        <v>65</v>
      </c>
      <c r="J244" s="30">
        <v>600</v>
      </c>
      <c r="K244" s="22">
        <f>IF(I244="","",IF(I244="ENTRADA",ABS(J244),-ABS(J244)))</f>
        <v>-600</v>
      </c>
      <c r="L244" t="s">
        <v>37</v>
      </c>
      <c r="N244">
        <v>65094</v>
      </c>
      <c r="O244" t="s">
        <v>218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 hidden="1">
      <c r="A245" s="20" t="s">
        <v>466</v>
      </c>
      <c r="B245" s="47">
        <v>46176</v>
      </c>
      <c r="C245" t="s">
        <v>90</v>
      </c>
      <c r="D245" t="s">
        <v>91</v>
      </c>
      <c r="E245" t="s">
        <v>34</v>
      </c>
      <c r="F245" t="s">
        <v>35</v>
      </c>
      <c r="G245" t="s">
        <v>36</v>
      </c>
      <c r="H245" s="20" t="s">
        <v>375</v>
      </c>
      <c r="I245" t="s">
        <v>65</v>
      </c>
      <c r="J245" s="30">
        <v>80</v>
      </c>
      <c r="K245" s="22">
        <f>IF(I245="","",IF(I245="ENTRADA",ABS(J245),-ABS(J245)))</f>
        <v>-80</v>
      </c>
      <c r="L245" t="s">
        <v>37</v>
      </c>
      <c r="N245">
        <v>65095</v>
      </c>
      <c r="O245" t="s">
        <v>218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 hidden="1">
      <c r="A246" s="20" t="s">
        <v>467</v>
      </c>
      <c r="B246" s="47">
        <v>46176</v>
      </c>
      <c r="C246" t="s">
        <v>115</v>
      </c>
      <c r="D246" t="s">
        <v>116</v>
      </c>
      <c r="E246" t="s">
        <v>34</v>
      </c>
      <c r="F246" t="s">
        <v>35</v>
      </c>
      <c r="G246" t="s">
        <v>117</v>
      </c>
      <c r="H246" s="20" t="s">
        <v>120</v>
      </c>
      <c r="I246" t="s">
        <v>65</v>
      </c>
      <c r="J246" s="30">
        <v>1600</v>
      </c>
      <c r="K246" s="22">
        <f>IF(I246="","",IF(I246="ENTRADA",ABS(J246),-ABS(J246)))</f>
        <v>-1600</v>
      </c>
      <c r="L246" t="s">
        <v>37</v>
      </c>
      <c r="N246">
        <v>65095</v>
      </c>
      <c r="O246" t="s">
        <v>218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 hidden="1">
      <c r="A247" s="20" t="s">
        <v>468</v>
      </c>
      <c r="B247" s="47">
        <v>46176</v>
      </c>
      <c r="C247" t="s">
        <v>141</v>
      </c>
      <c r="D247" t="s">
        <v>142</v>
      </c>
      <c r="E247" t="s">
        <v>132</v>
      </c>
      <c r="G247" t="s">
        <v>133</v>
      </c>
      <c r="H247" s="20" t="s">
        <v>469</v>
      </c>
      <c r="I247" t="s">
        <v>65</v>
      </c>
      <c r="J247" s="30">
        <v>15</v>
      </c>
      <c r="K247" s="22">
        <f>IF(I247="","",IF(I247="ENTRADA",ABS(J247),-ABS(J247)))</f>
        <v>-15</v>
      </c>
      <c r="L247" t="s">
        <v>37</v>
      </c>
      <c r="N247">
        <v>65095</v>
      </c>
      <c r="O247" t="s">
        <v>218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 hidden="1">
      <c r="A248" s="20" t="s">
        <v>470</v>
      </c>
      <c r="B248" s="47">
        <v>46176</v>
      </c>
      <c r="C248" t="s">
        <v>40</v>
      </c>
      <c r="D248" t="s">
        <v>41</v>
      </c>
      <c r="E248" t="s">
        <v>34</v>
      </c>
      <c r="F248" t="s">
        <v>35</v>
      </c>
      <c r="G248" t="s">
        <v>36</v>
      </c>
      <c r="H248" s="20" t="s">
        <v>471</v>
      </c>
      <c r="I248" t="s">
        <v>65</v>
      </c>
      <c r="J248" s="30">
        <v>10</v>
      </c>
      <c r="K248" s="22">
        <f>IF(I248="","",IF(I248="ENTRADA",ABS(J248),-ABS(J248)))</f>
        <v>-10</v>
      </c>
      <c r="L248" t="s">
        <v>37</v>
      </c>
      <c r="N248">
        <v>65095</v>
      </c>
      <c r="O248" t="s">
        <v>218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 hidden="1">
      <c r="A249" s="20" t="s">
        <v>472</v>
      </c>
      <c r="B249" s="47">
        <v>46176</v>
      </c>
      <c r="C249" t="s">
        <v>50</v>
      </c>
      <c r="D249" t="s">
        <v>280</v>
      </c>
      <c r="E249" t="s">
        <v>34</v>
      </c>
      <c r="F249" t="s">
        <v>35</v>
      </c>
      <c r="G249" t="s">
        <v>36</v>
      </c>
      <c r="H249" s="20" t="s">
        <v>281</v>
      </c>
      <c r="I249" t="s">
        <v>65</v>
      </c>
      <c r="J249" s="30">
        <v>10</v>
      </c>
      <c r="K249" s="22">
        <f>IF(I249="","",IF(I249="ENTRADA",ABS(J249),-ABS(J249)))</f>
        <v>-10</v>
      </c>
      <c r="L249" t="s">
        <v>37</v>
      </c>
      <c r="N249">
        <v>65095</v>
      </c>
      <c r="O249" t="s">
        <v>218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 hidden="1">
      <c r="A250" s="20" t="s">
        <v>473</v>
      </c>
      <c r="B250" s="47">
        <v>46176</v>
      </c>
      <c r="C250" t="s">
        <v>130</v>
      </c>
      <c r="D250" t="s">
        <v>131</v>
      </c>
      <c r="E250" t="s">
        <v>132</v>
      </c>
      <c r="G250" t="s">
        <v>133</v>
      </c>
      <c r="H250" s="20" t="s">
        <v>221</v>
      </c>
      <c r="I250" t="s">
        <v>65</v>
      </c>
      <c r="J250" s="30">
        <v>40</v>
      </c>
      <c r="K250" s="22">
        <f>IF(I250="","",IF(I250="ENTRADA",ABS(J250),-ABS(J250)))</f>
        <v>-40</v>
      </c>
      <c r="L250" t="s">
        <v>37</v>
      </c>
      <c r="N250">
        <v>65095</v>
      </c>
      <c r="O250" t="s">
        <v>218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 hidden="1">
      <c r="A251" s="20" t="s">
        <v>474</v>
      </c>
      <c r="B251" s="47">
        <v>46176</v>
      </c>
      <c r="C251" t="s">
        <v>304</v>
      </c>
      <c r="D251" t="s">
        <v>305</v>
      </c>
      <c r="E251" t="s">
        <v>25</v>
      </c>
      <c r="F251" t="s">
        <v>188</v>
      </c>
      <c r="G251" t="s">
        <v>301</v>
      </c>
      <c r="H251" s="20" t="s">
        <v>409</v>
      </c>
      <c r="I251" t="s">
        <v>65</v>
      </c>
      <c r="J251" s="30">
        <v>125</v>
      </c>
      <c r="K251" s="22">
        <f>IF(I251="","",IF(I251="ENTRADA",ABS(J251),-ABS(J251)))</f>
        <v>-125</v>
      </c>
      <c r="L251" t="s">
        <v>29</v>
      </c>
      <c r="N251">
        <v>65097</v>
      </c>
      <c r="O251" t="s">
        <v>309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 hidden="1">
      <c r="A252" s="20" t="s">
        <v>475</v>
      </c>
      <c r="B252" s="47">
        <v>46176</v>
      </c>
      <c r="C252" t="s">
        <v>137</v>
      </c>
      <c r="D252" t="s">
        <v>138</v>
      </c>
      <c r="E252" t="s">
        <v>132</v>
      </c>
      <c r="G252" t="s">
        <v>133</v>
      </c>
      <c r="H252" s="20" t="s">
        <v>211</v>
      </c>
      <c r="I252" s="52" t="s">
        <v>65</v>
      </c>
      <c r="J252" s="53">
        <v>30</v>
      </c>
      <c r="K252" s="22">
        <f>IF(I252="","",IF(I252="ENTRADA",ABS(J252),-ABS(J252)))</f>
        <v>-30</v>
      </c>
      <c r="L252" t="s">
        <v>37</v>
      </c>
      <c r="N252">
        <v>65097</v>
      </c>
      <c r="O252" t="s">
        <v>309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 hidden="1">
      <c r="A253" s="20" t="s">
        <v>476</v>
      </c>
      <c r="B253" s="47">
        <v>46176</v>
      </c>
      <c r="C253" t="s">
        <v>54</v>
      </c>
      <c r="D253" t="s">
        <v>55</v>
      </c>
      <c r="E253" t="s">
        <v>34</v>
      </c>
      <c r="F253" t="s">
        <v>35</v>
      </c>
      <c r="G253" t="s">
        <v>36</v>
      </c>
      <c r="H253" s="20" t="s">
        <v>97</v>
      </c>
      <c r="I253" t="s">
        <v>65</v>
      </c>
      <c r="J253" s="30">
        <v>96</v>
      </c>
      <c r="K253" s="22">
        <f>IF(I253="","",IF(I253="ENTRADA",ABS(J253),-ABS(J253)))</f>
        <v>-96</v>
      </c>
      <c r="L253" t="s">
        <v>56</v>
      </c>
      <c r="N253">
        <v>65098</v>
      </c>
      <c r="O253" t="s">
        <v>237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 hidden="1">
      <c r="A254" s="20" t="s">
        <v>477</v>
      </c>
      <c r="B254" s="47">
        <v>46177</v>
      </c>
      <c r="C254" s="34" t="s">
        <v>115</v>
      </c>
      <c r="D254" s="34" t="s">
        <v>116</v>
      </c>
      <c r="E254" s="34" t="s">
        <v>34</v>
      </c>
      <c r="F254" s="34" t="s">
        <v>35</v>
      </c>
      <c r="G254" s="34" t="s">
        <v>117</v>
      </c>
      <c r="H254" s="20" t="s">
        <v>120</v>
      </c>
      <c r="I254" s="34" t="s">
        <v>65</v>
      </c>
      <c r="J254" s="36">
        <v>520</v>
      </c>
      <c r="K254" s="22">
        <f>IF(I254="","",IF(I254="ENTRADA",ABS(J254),-ABS(J254)))</f>
        <v>-520</v>
      </c>
      <c r="L254" s="34" t="s">
        <v>37</v>
      </c>
      <c r="M254" s="34"/>
      <c r="N254" s="34">
        <v>65099</v>
      </c>
      <c r="O254" s="34" t="s">
        <v>218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 hidden="1">
      <c r="A255" s="20" t="s">
        <v>478</v>
      </c>
      <c r="B255" s="47">
        <v>46177</v>
      </c>
      <c r="C255" t="s">
        <v>137</v>
      </c>
      <c r="D255" t="s">
        <v>138</v>
      </c>
      <c r="E255" t="s">
        <v>132</v>
      </c>
      <c r="G255" t="s">
        <v>133</v>
      </c>
      <c r="H255" s="20" t="s">
        <v>211</v>
      </c>
      <c r="I255" t="s">
        <v>65</v>
      </c>
      <c r="J255" s="51">
        <v>4</v>
      </c>
      <c r="K255" s="22">
        <f>IF(I255="","",IF(I255="ENTRADA",ABS(J255),-ABS(J255)))</f>
        <v>-4</v>
      </c>
      <c r="L255" t="s">
        <v>37</v>
      </c>
      <c r="N255">
        <v>65099</v>
      </c>
      <c r="O255" t="s">
        <v>218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 hidden="1">
      <c r="A256" s="20" t="s">
        <v>479</v>
      </c>
      <c r="B256" s="47">
        <v>46177</v>
      </c>
      <c r="C256" t="s">
        <v>130</v>
      </c>
      <c r="D256" t="s">
        <v>131</v>
      </c>
      <c r="E256" t="s">
        <v>132</v>
      </c>
      <c r="G256" t="s">
        <v>133</v>
      </c>
      <c r="H256" s="20" t="s">
        <v>221</v>
      </c>
      <c r="I256" t="s">
        <v>65</v>
      </c>
      <c r="J256" s="30">
        <v>20</v>
      </c>
      <c r="K256" s="22">
        <f>IF(I256="","",IF(I256="ENTRADA",ABS(J256),-ABS(J256)))</f>
        <v>-20</v>
      </c>
      <c r="L256" t="s">
        <v>37</v>
      </c>
      <c r="N256">
        <v>65099</v>
      </c>
      <c r="O256" t="s">
        <v>218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 hidden="1">
      <c r="A257" s="20" t="s">
        <v>480</v>
      </c>
      <c r="B257" s="47">
        <v>46178</v>
      </c>
      <c r="C257" t="s">
        <v>425</v>
      </c>
      <c r="D257" t="s">
        <v>426</v>
      </c>
      <c r="E257" t="s">
        <v>25</v>
      </c>
      <c r="F257" t="s">
        <v>427</v>
      </c>
      <c r="G257" t="s">
        <v>27</v>
      </c>
      <c r="H257" s="20" t="s">
        <v>481</v>
      </c>
      <c r="I257" t="s">
        <v>65</v>
      </c>
      <c r="J257" s="30">
        <v>2400</v>
      </c>
      <c r="K257" s="22">
        <f>IF(I257="","",IF(I257="ENTRADA",ABS(J257),-ABS(J257)))</f>
        <v>-2400</v>
      </c>
      <c r="L257" t="s">
        <v>29</v>
      </c>
      <c r="N257">
        <v>65100</v>
      </c>
      <c r="O257" t="s">
        <v>218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 hidden="1">
      <c r="A258" s="20" t="s">
        <v>482</v>
      </c>
      <c r="B258" s="47">
        <v>46178</v>
      </c>
      <c r="C258" t="s">
        <v>425</v>
      </c>
      <c r="D258" t="s">
        <v>426</v>
      </c>
      <c r="E258" t="s">
        <v>25</v>
      </c>
      <c r="F258" t="s">
        <v>427</v>
      </c>
      <c r="G258" t="s">
        <v>27</v>
      </c>
      <c r="H258" s="20" t="s">
        <v>481</v>
      </c>
      <c r="I258" t="s">
        <v>65</v>
      </c>
      <c r="J258" s="30">
        <v>6000</v>
      </c>
      <c r="K258" s="22">
        <f>IF(I258="","",IF(I258="ENTRADA",ABS(J258),-ABS(J258)))</f>
        <v>-6000</v>
      </c>
      <c r="L258" t="s">
        <v>29</v>
      </c>
      <c r="N258">
        <v>65101</v>
      </c>
      <c r="O258" t="s">
        <v>218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 hidden="1">
      <c r="A259" s="20" t="s">
        <v>483</v>
      </c>
      <c r="B259" s="47">
        <v>46178</v>
      </c>
      <c r="C259" t="s">
        <v>115</v>
      </c>
      <c r="D259" t="s">
        <v>116</v>
      </c>
      <c r="E259" t="s">
        <v>34</v>
      </c>
      <c r="F259" t="s">
        <v>35</v>
      </c>
      <c r="G259" t="s">
        <v>117</v>
      </c>
      <c r="H259" s="20" t="s">
        <v>120</v>
      </c>
      <c r="I259" t="s">
        <v>65</v>
      </c>
      <c r="J259" s="30">
        <v>720</v>
      </c>
      <c r="K259" s="22">
        <f>IF(I259="","",IF(I259="ENTRADA",ABS(J259),-ABS(J259)))</f>
        <v>-720</v>
      </c>
      <c r="L259" t="s">
        <v>37</v>
      </c>
      <c r="N259">
        <v>65102</v>
      </c>
      <c r="O259" t="s">
        <v>218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 hidden="1">
      <c r="A260" s="20" t="s">
        <v>484</v>
      </c>
      <c r="B260" s="47">
        <v>46178</v>
      </c>
      <c r="C260" t="s">
        <v>130</v>
      </c>
      <c r="D260" t="s">
        <v>131</v>
      </c>
      <c r="E260" t="s">
        <v>132</v>
      </c>
      <c r="G260" t="s">
        <v>133</v>
      </c>
      <c r="H260" s="20" t="s">
        <v>221</v>
      </c>
      <c r="I260" t="s">
        <v>65</v>
      </c>
      <c r="J260" s="30">
        <v>20</v>
      </c>
      <c r="K260" s="22">
        <f>IF(I260="","",IF(I260="ENTRADA",ABS(J260),-ABS(J260)))</f>
        <v>-20</v>
      </c>
      <c r="L260" t="s">
        <v>37</v>
      </c>
      <c r="N260">
        <v>65102</v>
      </c>
      <c r="O260" t="s">
        <v>218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 hidden="1">
      <c r="A261" s="20" t="s">
        <v>485</v>
      </c>
      <c r="B261" s="47">
        <v>46178</v>
      </c>
      <c r="C261" t="s">
        <v>137</v>
      </c>
      <c r="D261" t="s">
        <v>138</v>
      </c>
      <c r="E261" t="s">
        <v>132</v>
      </c>
      <c r="G261" t="s">
        <v>133</v>
      </c>
      <c r="H261" s="20" t="s">
        <v>211</v>
      </c>
      <c r="I261" t="s">
        <v>65</v>
      </c>
      <c r="J261" s="51">
        <v>3</v>
      </c>
      <c r="K261" s="22">
        <f>IF(I261="","",IF(I261="ENTRADA",ABS(J261),-ABS(J261)))</f>
        <v>-3</v>
      </c>
      <c r="L261" t="s">
        <v>37</v>
      </c>
      <c r="N261">
        <v>65102</v>
      </c>
      <c r="O261" t="s">
        <v>218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 hidden="1">
      <c r="A262" s="20" t="s">
        <v>486</v>
      </c>
      <c r="B262" s="47">
        <v>46178</v>
      </c>
      <c r="C262" t="s">
        <v>90</v>
      </c>
      <c r="D262" t="s">
        <v>91</v>
      </c>
      <c r="E262" t="s">
        <v>34</v>
      </c>
      <c r="F262" t="s">
        <v>35</v>
      </c>
      <c r="G262" t="s">
        <v>36</v>
      </c>
      <c r="H262" s="20" t="s">
        <v>375</v>
      </c>
      <c r="I262" t="s">
        <v>65</v>
      </c>
      <c r="J262" s="30">
        <v>80</v>
      </c>
      <c r="K262" s="22">
        <f>IF(I262="","",IF(I262="ENTRADA",ABS(J262),-ABS(J262)))</f>
        <v>-80</v>
      </c>
      <c r="L262" t="s">
        <v>37</v>
      </c>
      <c r="N262">
        <v>65102</v>
      </c>
      <c r="O262" t="s">
        <v>218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 hidden="1">
      <c r="A263" s="20" t="s">
        <v>487</v>
      </c>
      <c r="B263" s="47">
        <v>46178</v>
      </c>
      <c r="C263" t="s">
        <v>425</v>
      </c>
      <c r="D263" t="s">
        <v>426</v>
      </c>
      <c r="E263" t="s">
        <v>25</v>
      </c>
      <c r="F263" t="s">
        <v>427</v>
      </c>
      <c r="G263" t="s">
        <v>27</v>
      </c>
      <c r="H263" s="20" t="s">
        <v>481</v>
      </c>
      <c r="I263" t="s">
        <v>65</v>
      </c>
      <c r="J263" s="30">
        <v>3600</v>
      </c>
      <c r="K263" s="22">
        <f>IF(I263="","",IF(I263="ENTRADA",ABS(J263),-ABS(J263)))</f>
        <v>-3600</v>
      </c>
      <c r="L263" t="s">
        <v>29</v>
      </c>
      <c r="N263">
        <v>65103</v>
      </c>
      <c r="O263" t="s">
        <v>218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 hidden="1">
      <c r="A264" s="20" t="s">
        <v>488</v>
      </c>
      <c r="B264" s="47">
        <v>46178</v>
      </c>
      <c r="C264" t="s">
        <v>429</v>
      </c>
      <c r="D264" t="s">
        <v>430</v>
      </c>
      <c r="E264" t="s">
        <v>25</v>
      </c>
      <c r="F264" t="s">
        <v>427</v>
      </c>
      <c r="G264" t="s">
        <v>27</v>
      </c>
      <c r="H264" s="20" t="s">
        <v>489</v>
      </c>
      <c r="I264" t="s">
        <v>65</v>
      </c>
      <c r="J264" s="30">
        <v>600</v>
      </c>
      <c r="K264" s="22">
        <f>IF(I264="","",IF(I264="ENTRADA",ABS(J264),-ABS(J264)))</f>
        <v>-600</v>
      </c>
      <c r="L264" t="s">
        <v>29</v>
      </c>
      <c r="N264">
        <v>65103</v>
      </c>
      <c r="O264" t="s">
        <v>218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 hidden="1">
      <c r="A265" s="20" t="s">
        <v>490</v>
      </c>
      <c r="B265" s="47">
        <v>46183</v>
      </c>
      <c r="C265" s="34" t="s">
        <v>491</v>
      </c>
      <c r="D265" s="34" t="s">
        <v>492</v>
      </c>
      <c r="E265" s="34" t="s">
        <v>493</v>
      </c>
      <c r="F265" s="34"/>
      <c r="G265" s="34" t="s">
        <v>36</v>
      </c>
      <c r="H265" s="20" t="str">
        <f>+T265</f>
        <v>260610-265</v>
      </c>
      <c r="I265" s="34" t="s">
        <v>28</v>
      </c>
      <c r="J265" s="36">
        <v>21120</v>
      </c>
      <c r="K265" s="22">
        <f>IF(I265="","",IF(I265="ENTRADA",ABS(J265),-ABS(J265)))</f>
        <v>21120</v>
      </c>
      <c r="L265" s="34" t="s">
        <v>37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 hidden="1">
      <c r="A266" s="20" t="s">
        <v>494</v>
      </c>
      <c r="B266" s="47">
        <v>46183</v>
      </c>
      <c r="C266" t="s">
        <v>491</v>
      </c>
      <c r="D266" t="s">
        <v>492</v>
      </c>
      <c r="E266" t="s">
        <v>493</v>
      </c>
      <c r="G266" t="s">
        <v>36</v>
      </c>
      <c r="H266" s="20" t="s">
        <v>495</v>
      </c>
      <c r="I266" t="s">
        <v>65</v>
      </c>
      <c r="J266" s="30">
        <v>3840</v>
      </c>
      <c r="K266" s="22">
        <f>IF(I266="","",IF(I266="ENTRADA",ABS(J266),-ABS(J266)))</f>
        <v>-3840</v>
      </c>
      <c r="L266" t="s">
        <v>37</v>
      </c>
      <c r="N266">
        <v>65105</v>
      </c>
      <c r="O266" t="s">
        <v>309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 hidden="1">
      <c r="A267" s="20" t="s">
        <v>496</v>
      </c>
      <c r="B267" s="47">
        <v>46183</v>
      </c>
      <c r="C267" t="s">
        <v>283</v>
      </c>
      <c r="D267" t="s">
        <v>284</v>
      </c>
      <c r="E267" t="s">
        <v>285</v>
      </c>
      <c r="F267" t="s">
        <v>286</v>
      </c>
      <c r="G267" t="s">
        <v>83</v>
      </c>
      <c r="H267" s="20" t="s">
        <v>497</v>
      </c>
      <c r="I267" t="s">
        <v>65</v>
      </c>
      <c r="J267" s="30">
        <v>7300</v>
      </c>
      <c r="K267" s="22">
        <f>IF(I267="","",IF(I267="ENTRADA",ABS(J267),-ABS(J267)))</f>
        <v>-7300</v>
      </c>
      <c r="L267" t="s">
        <v>37</v>
      </c>
      <c r="N267">
        <v>65105</v>
      </c>
      <c r="O267" t="s">
        <v>309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 hidden="1">
      <c r="A268" s="20" t="s">
        <v>498</v>
      </c>
      <c r="B268" s="47">
        <v>46184</v>
      </c>
      <c r="C268" t="s">
        <v>283</v>
      </c>
      <c r="D268" t="s">
        <v>284</v>
      </c>
      <c r="E268" t="s">
        <v>285</v>
      </c>
      <c r="F268" t="s">
        <v>286</v>
      </c>
      <c r="G268" t="s">
        <v>83</v>
      </c>
      <c r="H268" s="20" t="s">
        <v>497</v>
      </c>
      <c r="I268" t="s">
        <v>65</v>
      </c>
      <c r="J268" s="30">
        <v>1220</v>
      </c>
      <c r="K268" s="22">
        <f>IF(I268="","",IF(I268="ENTRADA",ABS(J268),-ABS(J268)))</f>
        <v>-1220</v>
      </c>
      <c r="L268" t="s">
        <v>37</v>
      </c>
      <c r="N268">
        <v>65106</v>
      </c>
      <c r="O268" t="s">
        <v>66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 hidden="1">
      <c r="A269" s="20" t="s">
        <v>499</v>
      </c>
      <c r="B269" s="47">
        <v>46184</v>
      </c>
      <c r="C269" t="s">
        <v>491</v>
      </c>
      <c r="D269" t="s">
        <v>492</v>
      </c>
      <c r="E269" t="s">
        <v>493</v>
      </c>
      <c r="G269" t="s">
        <v>36</v>
      </c>
      <c r="H269" s="20" t="s">
        <v>495</v>
      </c>
      <c r="I269" t="s">
        <v>65</v>
      </c>
      <c r="J269" s="30">
        <v>1080</v>
      </c>
      <c r="K269" s="22">
        <f>IF(I269="","",IF(I269="ENTRADA",ABS(J269),-ABS(J269)))</f>
        <v>-1080</v>
      </c>
      <c r="L269" t="s">
        <v>37</v>
      </c>
      <c r="N269">
        <v>65106</v>
      </c>
      <c r="O269" t="s">
        <v>66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 hidden="1">
      <c r="A270" s="20" t="s">
        <v>500</v>
      </c>
      <c r="B270" s="47">
        <v>46184</v>
      </c>
      <c r="C270" t="s">
        <v>50</v>
      </c>
      <c r="D270" t="s">
        <v>280</v>
      </c>
      <c r="E270" t="s">
        <v>34</v>
      </c>
      <c r="F270" t="s">
        <v>35</v>
      </c>
      <c r="G270" t="s">
        <v>36</v>
      </c>
      <c r="H270" s="20" t="s">
        <v>281</v>
      </c>
      <c r="I270" t="s">
        <v>65</v>
      </c>
      <c r="J270" s="30">
        <v>20</v>
      </c>
      <c r="K270" s="22">
        <f>IF(I270="","",IF(I270="ENTRADA",ABS(J270),-ABS(J270)))</f>
        <v>-20</v>
      </c>
      <c r="L270" t="s">
        <v>37</v>
      </c>
      <c r="N270">
        <v>65106</v>
      </c>
      <c r="O270" t="s">
        <v>66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 hidden="1">
      <c r="A271" s="20" t="s">
        <v>501</v>
      </c>
      <c r="B271" s="47">
        <v>46185</v>
      </c>
      <c r="C271" t="s">
        <v>90</v>
      </c>
      <c r="D271" t="s">
        <v>91</v>
      </c>
      <c r="E271" t="s">
        <v>34</v>
      </c>
      <c r="F271" t="s">
        <v>35</v>
      </c>
      <c r="G271" t="s">
        <v>36</v>
      </c>
      <c r="H271" s="20" t="s">
        <v>375</v>
      </c>
      <c r="I271" t="s">
        <v>65</v>
      </c>
      <c r="J271" s="30">
        <v>60</v>
      </c>
      <c r="K271" s="22">
        <f>IF(I271="","",IF(I271="ENTRADA",ABS(J271),-ABS(J271)))</f>
        <v>-60</v>
      </c>
      <c r="L271" t="s">
        <v>37</v>
      </c>
      <c r="N271">
        <v>65107</v>
      </c>
      <c r="O271" t="s">
        <v>237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 hidden="1">
      <c r="A272" s="20" t="s">
        <v>502</v>
      </c>
      <c r="B272" s="47">
        <v>46185</v>
      </c>
      <c r="C272" t="s">
        <v>115</v>
      </c>
      <c r="D272" t="s">
        <v>116</v>
      </c>
      <c r="E272" t="s">
        <v>34</v>
      </c>
      <c r="F272" t="s">
        <v>35</v>
      </c>
      <c r="G272" t="s">
        <v>117</v>
      </c>
      <c r="H272" s="20" t="s">
        <v>120</v>
      </c>
      <c r="I272" t="s">
        <v>65</v>
      </c>
      <c r="J272" s="30">
        <v>200</v>
      </c>
      <c r="K272" s="22">
        <f>IF(I272="","",IF(I272="ENTRADA",ABS(J272),-ABS(J272)))</f>
        <v>-200</v>
      </c>
      <c r="L272" t="s">
        <v>37</v>
      </c>
      <c r="N272">
        <v>65107</v>
      </c>
      <c r="O272" t="s">
        <v>237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 hidden="1">
      <c r="A273" s="20" t="s">
        <v>503</v>
      </c>
      <c r="B273" s="47">
        <v>46185</v>
      </c>
      <c r="C273" t="s">
        <v>130</v>
      </c>
      <c r="D273" t="s">
        <v>131</v>
      </c>
      <c r="E273" t="s">
        <v>132</v>
      </c>
      <c r="G273" t="s">
        <v>133</v>
      </c>
      <c r="H273" s="20" t="s">
        <v>221</v>
      </c>
      <c r="I273" t="s">
        <v>65</v>
      </c>
      <c r="J273" s="30">
        <v>180</v>
      </c>
      <c r="K273" s="22">
        <f>IF(I273="","",IF(I273="ENTRADA",ABS(J273),-ABS(J273)))</f>
        <v>-180</v>
      </c>
      <c r="L273" t="s">
        <v>37</v>
      </c>
      <c r="N273">
        <v>65107</v>
      </c>
      <c r="O273" t="s">
        <v>237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 hidden="1">
      <c r="A274" s="20" t="s">
        <v>504</v>
      </c>
      <c r="B274" s="47">
        <v>46188</v>
      </c>
      <c r="C274" t="s">
        <v>491</v>
      </c>
      <c r="D274" t="s">
        <v>492</v>
      </c>
      <c r="E274" t="s">
        <v>493</v>
      </c>
      <c r="G274" t="s">
        <v>36</v>
      </c>
      <c r="H274" s="20" t="s">
        <v>495</v>
      </c>
      <c r="I274" t="s">
        <v>28</v>
      </c>
      <c r="J274" s="30">
        <v>10560</v>
      </c>
      <c r="K274" s="22">
        <f>IF(I274="","",IF(I274="ENTRADA",ABS(J274),-ABS(J274)))</f>
        <v>10560</v>
      </c>
      <c r="L274" t="s">
        <v>37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 hidden="1">
      <c r="A275" s="20" t="s">
        <v>505</v>
      </c>
      <c r="B275" s="47">
        <v>46189</v>
      </c>
      <c r="C275" t="s">
        <v>283</v>
      </c>
      <c r="D275" t="s">
        <v>284</v>
      </c>
      <c r="E275" t="s">
        <v>285</v>
      </c>
      <c r="F275" t="s">
        <v>286</v>
      </c>
      <c r="G275" t="s">
        <v>83</v>
      </c>
      <c r="H275" s="20" t="s">
        <v>497</v>
      </c>
      <c r="I275" t="s">
        <v>65</v>
      </c>
      <c r="J275" s="30">
        <v>1000</v>
      </c>
      <c r="K275" s="22">
        <f>IF(I275="","",IF(I275="ENTRADA",ABS(J275),-ABS(J275)))</f>
        <v>-1000</v>
      </c>
      <c r="L275" t="s">
        <v>37</v>
      </c>
      <c r="N275">
        <v>65108</v>
      </c>
      <c r="O275" t="s">
        <v>382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 hidden="1">
      <c r="A276" s="20" t="s">
        <v>506</v>
      </c>
      <c r="B276" s="47">
        <v>46189</v>
      </c>
      <c r="C276" s="34" t="s">
        <v>130</v>
      </c>
      <c r="D276" s="34" t="s">
        <v>131</v>
      </c>
      <c r="E276" s="34" t="s">
        <v>132</v>
      </c>
      <c r="F276" s="34"/>
      <c r="G276" s="34" t="s">
        <v>133</v>
      </c>
      <c r="H276" s="20" t="s">
        <v>221</v>
      </c>
      <c r="I276" s="34" t="s">
        <v>65</v>
      </c>
      <c r="J276" s="36">
        <v>40</v>
      </c>
      <c r="K276" s="22">
        <f>IF(I276="","",IF(I276="ENTRADA",ABS(J276),-ABS(J276)))</f>
        <v>-40</v>
      </c>
      <c r="L276" s="34" t="s">
        <v>37</v>
      </c>
      <c r="M276" s="34"/>
      <c r="N276" s="34">
        <v>65108</v>
      </c>
      <c r="O276" s="34" t="s">
        <v>382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 hidden="1">
      <c r="A277" s="20" t="s">
        <v>507</v>
      </c>
      <c r="B277" s="47">
        <v>46189</v>
      </c>
      <c r="C277" t="s">
        <v>122</v>
      </c>
      <c r="D277" t="s">
        <v>123</v>
      </c>
      <c r="E277" t="s">
        <v>34</v>
      </c>
      <c r="F277" t="s">
        <v>35</v>
      </c>
      <c r="G277" t="s">
        <v>117</v>
      </c>
      <c r="H277" s="20" t="s">
        <v>203</v>
      </c>
      <c r="I277" t="s">
        <v>65</v>
      </c>
      <c r="J277" s="30">
        <v>100</v>
      </c>
      <c r="K277" s="22">
        <f>IF(I277="","",IF(I277="ENTRADA",ABS(J277),-ABS(J277)))</f>
        <v>-100</v>
      </c>
      <c r="L277" t="s">
        <v>37</v>
      </c>
      <c r="N277">
        <v>65108</v>
      </c>
      <c r="O277" t="s">
        <v>382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 hidden="1">
      <c r="A278" s="20" t="s">
        <v>508</v>
      </c>
      <c r="B278" s="47">
        <v>46189</v>
      </c>
      <c r="C278" t="s">
        <v>283</v>
      </c>
      <c r="D278" t="s">
        <v>284</v>
      </c>
      <c r="E278" t="s">
        <v>285</v>
      </c>
      <c r="F278" t="s">
        <v>286</v>
      </c>
      <c r="G278" t="s">
        <v>83</v>
      </c>
      <c r="H278" s="20" t="s">
        <v>497</v>
      </c>
      <c r="I278" t="s">
        <v>65</v>
      </c>
      <c r="J278" s="30">
        <v>3500</v>
      </c>
      <c r="K278" s="22">
        <f>IF(I278="","",IF(I278="ENTRADA",ABS(J278),-ABS(J278)))</f>
        <v>-3500</v>
      </c>
      <c r="L278" t="s">
        <v>37</v>
      </c>
      <c r="N278">
        <v>65109</v>
      </c>
      <c r="O278" t="s">
        <v>382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 hidden="1">
      <c r="A279" s="20" t="s">
        <v>509</v>
      </c>
      <c r="B279" s="47">
        <v>46189</v>
      </c>
      <c r="C279" t="s">
        <v>130</v>
      </c>
      <c r="D279" t="s">
        <v>131</v>
      </c>
      <c r="E279" t="s">
        <v>132</v>
      </c>
      <c r="G279" t="s">
        <v>133</v>
      </c>
      <c r="H279" s="20" t="s">
        <v>221</v>
      </c>
      <c r="I279" t="s">
        <v>65</v>
      </c>
      <c r="J279" s="30">
        <v>60</v>
      </c>
      <c r="K279" s="22">
        <f>IF(I279="","",IF(I279="ENTRADA",ABS(J279),-ABS(J279)))</f>
        <v>-60</v>
      </c>
      <c r="L279" t="s">
        <v>37</v>
      </c>
      <c r="N279">
        <v>65109</v>
      </c>
      <c r="O279" t="s">
        <v>382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 hidden="1">
      <c r="A280" s="20" t="s">
        <v>510</v>
      </c>
      <c r="B280" s="47">
        <v>46189</v>
      </c>
      <c r="C280" t="s">
        <v>122</v>
      </c>
      <c r="D280" t="s">
        <v>123</v>
      </c>
      <c r="E280" t="s">
        <v>34</v>
      </c>
      <c r="F280" t="s">
        <v>35</v>
      </c>
      <c r="G280" t="s">
        <v>117</v>
      </c>
      <c r="H280" s="20" t="s">
        <v>203</v>
      </c>
      <c r="I280" t="s">
        <v>65</v>
      </c>
      <c r="J280" s="30">
        <v>100</v>
      </c>
      <c r="K280" s="22">
        <f>IF(I280="","",IF(I280="ENTRADA",ABS(J280),-ABS(J280)))</f>
        <v>-100</v>
      </c>
      <c r="L280" t="s">
        <v>37</v>
      </c>
      <c r="N280">
        <v>65109</v>
      </c>
      <c r="O280" t="s">
        <v>382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 hidden="1">
      <c r="A281" s="20" t="s">
        <v>511</v>
      </c>
      <c r="B281" s="47">
        <v>46189</v>
      </c>
      <c r="C281" t="s">
        <v>283</v>
      </c>
      <c r="D281" t="s">
        <v>284</v>
      </c>
      <c r="E281" t="s">
        <v>285</v>
      </c>
      <c r="F281" t="s">
        <v>286</v>
      </c>
      <c r="G281" t="s">
        <v>83</v>
      </c>
      <c r="H281" s="20" t="s">
        <v>497</v>
      </c>
      <c r="I281" t="s">
        <v>65</v>
      </c>
      <c r="J281" s="30">
        <v>2260</v>
      </c>
      <c r="K281" s="22">
        <f>IF(I281="","",IF(I281="ENTRADA",ABS(J281),-ABS(J281)))</f>
        <v>-2260</v>
      </c>
      <c r="L281" t="s">
        <v>37</v>
      </c>
      <c r="N281">
        <v>65110</v>
      </c>
      <c r="O281" t="s">
        <v>218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 hidden="1">
      <c r="A282" s="20" t="s">
        <v>512</v>
      </c>
      <c r="B282" s="47">
        <v>46190</v>
      </c>
      <c r="C282" t="s">
        <v>54</v>
      </c>
      <c r="D282" t="s">
        <v>55</v>
      </c>
      <c r="E282" t="s">
        <v>34</v>
      </c>
      <c r="F282" t="s">
        <v>35</v>
      </c>
      <c r="G282" t="s">
        <v>36</v>
      </c>
      <c r="H282" s="20" t="s">
        <v>97</v>
      </c>
      <c r="I282" t="s">
        <v>65</v>
      </c>
      <c r="J282" s="30">
        <v>11</v>
      </c>
      <c r="K282" s="22">
        <f>IF(I282="","",IF(I282="ENTRADA",ABS(J282),-ABS(J282)))</f>
        <v>-11</v>
      </c>
      <c r="L282" t="s">
        <v>56</v>
      </c>
      <c r="N282">
        <v>65111</v>
      </c>
      <c r="O282" t="s">
        <v>66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 hidden="1">
      <c r="A283" s="20" t="s">
        <v>513</v>
      </c>
      <c r="B283" s="47">
        <v>46191</v>
      </c>
      <c r="C283" t="s">
        <v>514</v>
      </c>
      <c r="D283" t="s">
        <v>515</v>
      </c>
      <c r="E283" t="s">
        <v>516</v>
      </c>
      <c r="G283" t="s">
        <v>117</v>
      </c>
      <c r="H283" s="20" t="str">
        <f>+T283</f>
        <v>260618-283</v>
      </c>
      <c r="I283" t="s">
        <v>28</v>
      </c>
      <c r="J283" s="30">
        <v>3000</v>
      </c>
      <c r="K283" s="22">
        <f>IF(I283="","",IF(I283="ENTRADA",ABS(J283),-ABS(J283)))</f>
        <v>3000</v>
      </c>
      <c r="L283" t="s">
        <v>37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 hidden="1">
      <c r="A284" s="20" t="s">
        <v>517</v>
      </c>
      <c r="B284" s="47">
        <v>46189</v>
      </c>
      <c r="C284" t="s">
        <v>182</v>
      </c>
      <c r="D284" t="s">
        <v>183</v>
      </c>
      <c r="E284" t="s">
        <v>25</v>
      </c>
      <c r="F284" t="s">
        <v>184</v>
      </c>
      <c r="G284" t="s">
        <v>180</v>
      </c>
      <c r="H284" s="20" t="s">
        <v>351</v>
      </c>
      <c r="I284" t="s">
        <v>65</v>
      </c>
      <c r="J284" s="30">
        <v>125</v>
      </c>
      <c r="K284" s="22">
        <f>IF(I284="","",IF(I284="ENTRADA",ABS(J284),-ABS(J284)))</f>
        <v>-125</v>
      </c>
      <c r="L284" t="s">
        <v>29</v>
      </c>
      <c r="N284">
        <v>65113</v>
      </c>
      <c r="O284" t="s">
        <v>382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 hidden="1">
      <c r="A285" s="20" t="s">
        <v>518</v>
      </c>
      <c r="B285" s="47">
        <v>46189</v>
      </c>
      <c r="C285" t="s">
        <v>304</v>
      </c>
      <c r="D285" t="s">
        <v>305</v>
      </c>
      <c r="E285" t="s">
        <v>25</v>
      </c>
      <c r="F285" t="s">
        <v>188</v>
      </c>
      <c r="G285" t="s">
        <v>301</v>
      </c>
      <c r="H285" s="20" t="s">
        <v>409</v>
      </c>
      <c r="I285" t="s">
        <v>65</v>
      </c>
      <c r="J285" s="30">
        <v>50</v>
      </c>
      <c r="K285" s="22">
        <f>IF(I285="","",IF(I285="ENTRADA",ABS(J285),-ABS(J285)))</f>
        <v>-50</v>
      </c>
      <c r="L285" t="s">
        <v>519</v>
      </c>
      <c r="N285">
        <v>65113</v>
      </c>
      <c r="O285" t="s">
        <v>382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 hidden="1">
      <c r="A286" s="20" t="s">
        <v>520</v>
      </c>
      <c r="B286" s="47">
        <v>46195</v>
      </c>
      <c r="C286" t="s">
        <v>178</v>
      </c>
      <c r="D286" t="s">
        <v>179</v>
      </c>
      <c r="E286" t="s">
        <v>25</v>
      </c>
      <c r="F286" t="s">
        <v>165</v>
      </c>
      <c r="G286" t="s">
        <v>180</v>
      </c>
      <c r="H286" s="20" t="s">
        <v>308</v>
      </c>
      <c r="I286" t="s">
        <v>65</v>
      </c>
      <c r="J286" s="30">
        <v>450</v>
      </c>
      <c r="K286" s="22">
        <f>IF(I286="","",IF(I286="ENTRADA",ABS(J286),-ABS(J286)))</f>
        <v>-450</v>
      </c>
      <c r="L286" t="s">
        <v>29</v>
      </c>
      <c r="O286" t="s">
        <v>309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 hidden="1">
      <c r="A287" s="20" t="s">
        <v>521</v>
      </c>
      <c r="B287" s="47">
        <v>46195</v>
      </c>
      <c r="C287" s="34" t="s">
        <v>54</v>
      </c>
      <c r="D287" s="34" t="s">
        <v>55</v>
      </c>
      <c r="E287" s="34" t="s">
        <v>34</v>
      </c>
      <c r="F287" s="34" t="s">
        <v>35</v>
      </c>
      <c r="G287" s="34" t="s">
        <v>36</v>
      </c>
      <c r="H287" s="20" t="s">
        <v>97</v>
      </c>
      <c r="I287" s="34" t="s">
        <v>65</v>
      </c>
      <c r="J287" s="36">
        <v>4</v>
      </c>
      <c r="K287" s="22">
        <f>IF(I287="","",IF(I287="ENTRADA",ABS(J287),-ABS(J287)))</f>
        <v>-4</v>
      </c>
      <c r="L287" s="34" t="s">
        <v>56</v>
      </c>
      <c r="M287" s="34"/>
      <c r="N287" s="34">
        <v>65114</v>
      </c>
      <c r="O287" s="34" t="s">
        <v>66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 hidden="1">
      <c r="A288" s="20" t="s">
        <v>522</v>
      </c>
      <c r="B288" s="47">
        <v>46195</v>
      </c>
      <c r="C288" t="s">
        <v>54</v>
      </c>
      <c r="D288" t="s">
        <v>55</v>
      </c>
      <c r="E288" t="s">
        <v>34</v>
      </c>
      <c r="F288" t="s">
        <v>35</v>
      </c>
      <c r="G288" t="s">
        <v>36</v>
      </c>
      <c r="H288" s="20" t="s">
        <v>97</v>
      </c>
      <c r="I288" t="s">
        <v>65</v>
      </c>
      <c r="J288" s="30">
        <v>8</v>
      </c>
      <c r="K288" s="22">
        <f>IF(I288="","",IF(I288="ENTRADA",ABS(J288),-ABS(J288)))</f>
        <v>-8</v>
      </c>
      <c r="L288" t="s">
        <v>56</v>
      </c>
      <c r="N288">
        <v>65115</v>
      </c>
      <c r="O288" t="s">
        <v>66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 hidden="1">
      <c r="A289" s="20" t="s">
        <v>523</v>
      </c>
      <c r="B289" s="47">
        <v>46196</v>
      </c>
      <c r="C289" t="s">
        <v>524</v>
      </c>
      <c r="D289" t="s">
        <v>525</v>
      </c>
      <c r="E289" t="s">
        <v>516</v>
      </c>
      <c r="G289" t="s">
        <v>77</v>
      </c>
      <c r="H289" s="20" t="str">
        <f>+T289</f>
        <v>260623-289</v>
      </c>
      <c r="I289" t="s">
        <v>28</v>
      </c>
      <c r="J289" s="30">
        <v>1500</v>
      </c>
      <c r="K289" s="22">
        <f>IF(I289="","",IF(I289="ENTRADA",ABS(J289),-ABS(J289)))</f>
        <v>1500</v>
      </c>
      <c r="L289" t="s">
        <v>37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 hidden="1">
      <c r="A290" s="20" t="s">
        <v>526</v>
      </c>
      <c r="B290" s="47">
        <v>46196</v>
      </c>
      <c r="C290" t="s">
        <v>527</v>
      </c>
      <c r="D290" t="s">
        <v>528</v>
      </c>
      <c r="E290" t="s">
        <v>493</v>
      </c>
      <c r="G290" t="s">
        <v>77</v>
      </c>
      <c r="H290" s="20" t="str">
        <f>+T290</f>
        <v>260623-290</v>
      </c>
      <c r="I290" t="s">
        <v>28</v>
      </c>
      <c r="J290" s="30">
        <v>150</v>
      </c>
      <c r="K290" s="22">
        <f>IF(I290="","",IF(I290="ENTRADA",ABS(J290),-ABS(J290)))</f>
        <v>150</v>
      </c>
      <c r="L290" t="s">
        <v>29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 hidden="1">
      <c r="A291" s="20" t="s">
        <v>529</v>
      </c>
      <c r="B291" s="47">
        <v>46196</v>
      </c>
      <c r="C291" t="s">
        <v>491</v>
      </c>
      <c r="D291" t="s">
        <v>492</v>
      </c>
      <c r="E291" t="s">
        <v>493</v>
      </c>
      <c r="G291" t="s">
        <v>36</v>
      </c>
      <c r="H291" s="20" t="s">
        <v>495</v>
      </c>
      <c r="I291" t="s">
        <v>65</v>
      </c>
      <c r="J291" s="30">
        <v>2100</v>
      </c>
      <c r="K291" s="22">
        <f>IF(I291="","",IF(I291="ENTRADA",ABS(J291),-ABS(J291)))</f>
        <v>-2100</v>
      </c>
      <c r="L291" t="s">
        <v>37</v>
      </c>
      <c r="N291">
        <v>65116</v>
      </c>
      <c r="O291" t="s">
        <v>237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 hidden="1">
      <c r="A292" s="20" t="s">
        <v>530</v>
      </c>
      <c r="B292" s="47">
        <v>46196</v>
      </c>
      <c r="C292" t="s">
        <v>283</v>
      </c>
      <c r="D292" t="s">
        <v>284</v>
      </c>
      <c r="E292" t="s">
        <v>285</v>
      </c>
      <c r="F292" t="s">
        <v>286</v>
      </c>
      <c r="G292" t="s">
        <v>83</v>
      </c>
      <c r="H292" s="20" t="s">
        <v>497</v>
      </c>
      <c r="I292" t="s">
        <v>65</v>
      </c>
      <c r="J292" s="30">
        <v>1100</v>
      </c>
      <c r="K292" s="22">
        <f>IF(I292="","",IF(I292="ENTRADA",ABS(J292),-ABS(J292)))</f>
        <v>-1100</v>
      </c>
      <c r="L292" t="s">
        <v>37</v>
      </c>
      <c r="N292">
        <v>65116</v>
      </c>
      <c r="O292" t="s">
        <v>237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 hidden="1">
      <c r="A293" s="20" t="s">
        <v>531</v>
      </c>
      <c r="B293" s="47">
        <v>46196</v>
      </c>
      <c r="C293" t="s">
        <v>245</v>
      </c>
      <c r="D293" t="s">
        <v>246</v>
      </c>
      <c r="E293" t="s">
        <v>34</v>
      </c>
      <c r="F293" t="s">
        <v>35</v>
      </c>
      <c r="G293" t="s">
        <v>27</v>
      </c>
      <c r="H293" s="20" t="s">
        <v>463</v>
      </c>
      <c r="I293" t="s">
        <v>65</v>
      </c>
      <c r="J293" s="30">
        <v>140</v>
      </c>
      <c r="K293" s="22">
        <f>IF(I293="","",IF(I293="ENTRADA",ABS(J293),-ABS(J293)))</f>
        <v>-140</v>
      </c>
      <c r="L293" t="s">
        <v>37</v>
      </c>
      <c r="N293">
        <v>65116</v>
      </c>
      <c r="O293" t="s">
        <v>237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 hidden="1">
      <c r="A294" s="20" t="s">
        <v>532</v>
      </c>
      <c r="B294" s="47">
        <v>46196</v>
      </c>
      <c r="C294" t="s">
        <v>40</v>
      </c>
      <c r="D294" t="s">
        <v>41</v>
      </c>
      <c r="E294" t="s">
        <v>34</v>
      </c>
      <c r="F294" t="s">
        <v>35</v>
      </c>
      <c r="G294" t="s">
        <v>36</v>
      </c>
      <c r="H294" s="20" t="s">
        <v>471</v>
      </c>
      <c r="I294" t="s">
        <v>65</v>
      </c>
      <c r="J294" s="30">
        <v>80</v>
      </c>
      <c r="K294" s="22">
        <f>IF(I294="","",IF(I294="ENTRADA",ABS(J294),-ABS(J294)))</f>
        <v>-80</v>
      </c>
      <c r="L294" t="s">
        <v>37</v>
      </c>
      <c r="N294">
        <v>65116</v>
      </c>
      <c r="O294" t="s">
        <v>237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 hidden="1">
      <c r="A295" s="20" t="s">
        <v>533</v>
      </c>
      <c r="B295" s="47">
        <v>46196</v>
      </c>
      <c r="C295" t="s">
        <v>534</v>
      </c>
      <c r="D295" t="s">
        <v>535</v>
      </c>
      <c r="E295" t="s">
        <v>34</v>
      </c>
      <c r="F295" t="s">
        <v>35</v>
      </c>
      <c r="G295" t="s">
        <v>36</v>
      </c>
      <c r="H295" s="20" t="str">
        <f>+T295</f>
        <v>260623-295</v>
      </c>
      <c r="I295" t="s">
        <v>28</v>
      </c>
      <c r="J295" s="30">
        <v>11</v>
      </c>
      <c r="K295" s="22">
        <f>IF(I295="","",IF(I295="ENTRADA",ABS(J295),-ABS(J295)))</f>
        <v>11</v>
      </c>
      <c r="L295" t="s">
        <v>29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 hidden="1">
      <c r="A296" s="20" t="s">
        <v>536</v>
      </c>
      <c r="B296" s="47">
        <v>46197</v>
      </c>
      <c r="C296" s="47" t="s">
        <v>283</v>
      </c>
      <c r="D296" t="s">
        <v>284</v>
      </c>
      <c r="E296" t="s">
        <v>285</v>
      </c>
      <c r="F296" t="s">
        <v>286</v>
      </c>
      <c r="G296" t="s">
        <v>83</v>
      </c>
      <c r="H296" s="20" t="s">
        <v>497</v>
      </c>
      <c r="I296" t="s">
        <v>65</v>
      </c>
      <c r="J296" s="30">
        <v>260</v>
      </c>
      <c r="K296" s="22">
        <f>IF(I296="","",IF(I296="ENTRADA",ABS(J296),-ABS(J296)))</f>
        <v>-260</v>
      </c>
      <c r="L296" t="s">
        <v>37</v>
      </c>
      <c r="N296">
        <v>65117</v>
      </c>
      <c r="O296" t="s">
        <v>382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 hidden="1">
      <c r="A297" s="20" t="s">
        <v>537</v>
      </c>
      <c r="B297" s="47">
        <v>46197</v>
      </c>
      <c r="C297" t="s">
        <v>75</v>
      </c>
      <c r="D297" t="s">
        <v>76</v>
      </c>
      <c r="E297" t="s">
        <v>34</v>
      </c>
      <c r="F297" t="s">
        <v>35</v>
      </c>
      <c r="G297" t="s">
        <v>77</v>
      </c>
      <c r="H297" s="20" t="s">
        <v>94</v>
      </c>
      <c r="I297" t="s">
        <v>65</v>
      </c>
      <c r="J297" s="30">
        <v>580</v>
      </c>
      <c r="K297" s="22">
        <f>IF(I297="","",IF(I297="ENTRADA",ABS(J297),-ABS(J297)))</f>
        <v>-580</v>
      </c>
      <c r="L297" t="s">
        <v>37</v>
      </c>
      <c r="N297">
        <v>65117</v>
      </c>
      <c r="O297" t="s">
        <v>382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 hidden="1">
      <c r="A298" s="20" t="s">
        <v>538</v>
      </c>
      <c r="B298" s="47">
        <v>46197</v>
      </c>
      <c r="C298" s="34" t="s">
        <v>50</v>
      </c>
      <c r="D298" s="34" t="s">
        <v>280</v>
      </c>
      <c r="E298" s="34" t="s">
        <v>34</v>
      </c>
      <c r="F298" s="34" t="s">
        <v>35</v>
      </c>
      <c r="G298" s="34" t="s">
        <v>36</v>
      </c>
      <c r="H298" s="20" t="s">
        <v>281</v>
      </c>
      <c r="I298" s="34" t="s">
        <v>65</v>
      </c>
      <c r="J298" s="36">
        <v>80</v>
      </c>
      <c r="K298" s="22">
        <f>IF(I298="","",IF(I298="ENTRADA",ABS(J298),-ABS(J298)))</f>
        <v>-80</v>
      </c>
      <c r="L298" s="34" t="s">
        <v>37</v>
      </c>
      <c r="M298" s="34"/>
      <c r="N298">
        <v>65117</v>
      </c>
      <c r="O298" t="s">
        <v>382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 hidden="1">
      <c r="A299" s="20" t="s">
        <v>539</v>
      </c>
      <c r="B299" s="47">
        <v>46197</v>
      </c>
      <c r="C299" t="s">
        <v>130</v>
      </c>
      <c r="D299" t="s">
        <v>131</v>
      </c>
      <c r="E299" t="s">
        <v>132</v>
      </c>
      <c r="G299" t="s">
        <v>133</v>
      </c>
      <c r="H299" s="20" t="s">
        <v>221</v>
      </c>
      <c r="I299" t="s">
        <v>65</v>
      </c>
      <c r="J299" s="30">
        <v>120</v>
      </c>
      <c r="K299" s="22">
        <f>IF(I299="","",IF(I299="ENTRADA",ABS(J299),-ABS(J299)))</f>
        <v>-120</v>
      </c>
      <c r="L299" t="s">
        <v>37</v>
      </c>
      <c r="N299">
        <v>65117</v>
      </c>
      <c r="O299" t="s">
        <v>382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 hidden="1">
      <c r="A300" s="20" t="s">
        <v>540</v>
      </c>
      <c r="B300" s="47">
        <v>46197</v>
      </c>
      <c r="C300" t="s">
        <v>137</v>
      </c>
      <c r="D300" t="s">
        <v>138</v>
      </c>
      <c r="E300" t="s">
        <v>132</v>
      </c>
      <c r="G300" t="s">
        <v>133</v>
      </c>
      <c r="H300" s="20" t="s">
        <v>211</v>
      </c>
      <c r="I300" t="s">
        <v>65</v>
      </c>
      <c r="J300" s="51">
        <v>15</v>
      </c>
      <c r="K300" s="22">
        <f>IF(I300="","",IF(I300="ENTRADA",ABS(J300),-ABS(J300)))</f>
        <v>-15</v>
      </c>
      <c r="L300" t="s">
        <v>37</v>
      </c>
      <c r="N300">
        <v>65117</v>
      </c>
      <c r="O300" t="s">
        <v>382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 hidden="1">
      <c r="A301" s="20" t="s">
        <v>541</v>
      </c>
      <c r="B301" s="47">
        <v>46197</v>
      </c>
      <c r="C301" t="s">
        <v>54</v>
      </c>
      <c r="D301" t="s">
        <v>55</v>
      </c>
      <c r="E301" t="s">
        <v>34</v>
      </c>
      <c r="F301" t="s">
        <v>35</v>
      </c>
      <c r="G301" t="s">
        <v>36</v>
      </c>
      <c r="H301" s="20" t="s">
        <v>97</v>
      </c>
      <c r="I301" t="s">
        <v>65</v>
      </c>
      <c r="J301" s="30">
        <v>12</v>
      </c>
      <c r="K301" s="22">
        <f>IF(I301="","",IF(I301="ENTRADA",ABS(J301),-ABS(J301)))</f>
        <v>-12</v>
      </c>
      <c r="L301" t="s">
        <v>56</v>
      </c>
      <c r="N301">
        <v>65117</v>
      </c>
      <c r="O301" t="s">
        <v>382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 hidden="1">
      <c r="A302" s="20" t="s">
        <v>542</v>
      </c>
      <c r="B302" s="47">
        <v>46197</v>
      </c>
      <c r="C302" t="s">
        <v>491</v>
      </c>
      <c r="D302" t="s">
        <v>492</v>
      </c>
      <c r="E302" t="s">
        <v>493</v>
      </c>
      <c r="G302" t="s">
        <v>36</v>
      </c>
      <c r="H302" s="20" t="s">
        <v>495</v>
      </c>
      <c r="I302" t="s">
        <v>65</v>
      </c>
      <c r="J302" s="30">
        <v>460</v>
      </c>
      <c r="K302" s="22">
        <f>IF(I302="","",IF(I302="ENTRADA",ABS(J302),-ABS(J302)))</f>
        <v>-460</v>
      </c>
      <c r="L302" t="s">
        <v>37</v>
      </c>
      <c r="N302">
        <v>65118</v>
      </c>
      <c r="O302" t="s">
        <v>213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 hidden="1">
      <c r="A303" s="20" t="s">
        <v>543</v>
      </c>
      <c r="B303" s="47">
        <v>46198</v>
      </c>
      <c r="C303" t="s">
        <v>283</v>
      </c>
      <c r="D303" t="s">
        <v>284</v>
      </c>
      <c r="E303" t="s">
        <v>285</v>
      </c>
      <c r="F303" t="s">
        <v>286</v>
      </c>
      <c r="G303" t="s">
        <v>83</v>
      </c>
      <c r="H303" s="20" t="s">
        <v>497</v>
      </c>
      <c r="I303" t="s">
        <v>65</v>
      </c>
      <c r="J303" s="30">
        <v>540</v>
      </c>
      <c r="K303" s="22">
        <f>IF(I303="","",IF(I303="ENTRADA",ABS(J303),-ABS(J303)))</f>
        <v>-540</v>
      </c>
      <c r="L303" t="s">
        <v>37</v>
      </c>
      <c r="N303">
        <v>65119</v>
      </c>
      <c r="O303" t="s">
        <v>382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 hidden="1">
      <c r="A304" s="20" t="s">
        <v>544</v>
      </c>
      <c r="B304" s="47">
        <v>46198</v>
      </c>
      <c r="C304" t="s">
        <v>54</v>
      </c>
      <c r="D304" t="s">
        <v>55</v>
      </c>
      <c r="E304" t="s">
        <v>34</v>
      </c>
      <c r="F304" t="s">
        <v>35</v>
      </c>
      <c r="G304" t="s">
        <v>36</v>
      </c>
      <c r="H304" s="20" t="s">
        <v>97</v>
      </c>
      <c r="I304" t="s">
        <v>65</v>
      </c>
      <c r="J304" s="30">
        <v>7</v>
      </c>
      <c r="K304" s="22">
        <f>IF(I304="","",IF(I304="ENTRADA",ABS(J304),-ABS(J304)))</f>
        <v>-7</v>
      </c>
      <c r="L304" t="s">
        <v>56</v>
      </c>
      <c r="N304">
        <v>65119</v>
      </c>
      <c r="O304" t="s">
        <v>382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 hidden="1">
      <c r="A305" s="20" t="s">
        <v>545</v>
      </c>
      <c r="B305" s="47">
        <v>46198</v>
      </c>
      <c r="C305" t="s">
        <v>32</v>
      </c>
      <c r="D305" t="s">
        <v>105</v>
      </c>
      <c r="E305" t="s">
        <v>34</v>
      </c>
      <c r="F305" t="s">
        <v>35</v>
      </c>
      <c r="H305" s="20" t="s">
        <v>106</v>
      </c>
      <c r="I305" t="s">
        <v>65</v>
      </c>
      <c r="J305" s="30">
        <v>25</v>
      </c>
      <c r="K305" s="22">
        <f>IF(I305="","",IF(I305="ENTRADA",ABS(J305),-ABS(J305)))</f>
        <v>-25</v>
      </c>
      <c r="L305" t="s">
        <v>37</v>
      </c>
      <c r="N305">
        <v>65119</v>
      </c>
      <c r="O305" t="s">
        <v>382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 hidden="1">
      <c r="A306" s="20" t="s">
        <v>546</v>
      </c>
      <c r="B306" s="47">
        <v>46198</v>
      </c>
      <c r="C306" t="s">
        <v>130</v>
      </c>
      <c r="D306" t="s">
        <v>131</v>
      </c>
      <c r="E306" t="s">
        <v>132</v>
      </c>
      <c r="G306" t="s">
        <v>133</v>
      </c>
      <c r="H306" s="20" t="s">
        <v>221</v>
      </c>
      <c r="I306" t="s">
        <v>65</v>
      </c>
      <c r="J306" s="30">
        <v>40</v>
      </c>
      <c r="K306" s="22">
        <f>IF(I306="","",IF(I306="ENTRADA",ABS(J306),-ABS(J306)))</f>
        <v>-40</v>
      </c>
      <c r="L306" t="s">
        <v>37</v>
      </c>
      <c r="N306">
        <v>65119</v>
      </c>
      <c r="O306" t="s">
        <v>382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 hidden="1">
      <c r="A307" s="20" t="s">
        <v>547</v>
      </c>
      <c r="B307" s="47">
        <v>46198</v>
      </c>
      <c r="C307" t="s">
        <v>54</v>
      </c>
      <c r="D307" t="s">
        <v>55</v>
      </c>
      <c r="E307" t="s">
        <v>34</v>
      </c>
      <c r="F307" t="s">
        <v>35</v>
      </c>
      <c r="G307" t="s">
        <v>36</v>
      </c>
      <c r="H307" s="20" t="s">
        <v>97</v>
      </c>
      <c r="I307" t="s">
        <v>65</v>
      </c>
      <c r="J307" s="30">
        <v>31</v>
      </c>
      <c r="K307" s="22">
        <f>IF(I307="","",IF(I307="ENTRADA",ABS(J307),-ABS(J307)))</f>
        <v>-31</v>
      </c>
      <c r="L307" t="s">
        <v>56</v>
      </c>
      <c r="N307">
        <v>65122</v>
      </c>
      <c r="O307" t="s">
        <v>387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 hidden="1">
      <c r="A308" s="20" t="s">
        <v>548</v>
      </c>
      <c r="B308" s="47">
        <v>46198</v>
      </c>
      <c r="C308" t="s">
        <v>122</v>
      </c>
      <c r="D308" t="s">
        <v>123</v>
      </c>
      <c r="E308" t="s">
        <v>34</v>
      </c>
      <c r="F308" t="s">
        <v>35</v>
      </c>
      <c r="G308" t="s">
        <v>117</v>
      </c>
      <c r="H308" s="20" t="s">
        <v>203</v>
      </c>
      <c r="I308" t="s">
        <v>65</v>
      </c>
      <c r="J308" s="30">
        <v>160</v>
      </c>
      <c r="K308" s="22">
        <f>IF(I308="","",IF(I308="ENTRADA",ABS(J308),-ABS(J308)))</f>
        <v>-160</v>
      </c>
      <c r="L308" t="s">
        <v>37</v>
      </c>
      <c r="N308">
        <v>65122</v>
      </c>
      <c r="O308" t="s">
        <v>387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 hidden="1">
      <c r="A309" s="20" t="s">
        <v>549</v>
      </c>
      <c r="B309" s="47">
        <v>46198</v>
      </c>
      <c r="C309" s="34" t="s">
        <v>283</v>
      </c>
      <c r="D309" s="34" t="s">
        <v>284</v>
      </c>
      <c r="E309" s="34" t="s">
        <v>285</v>
      </c>
      <c r="F309" s="34" t="s">
        <v>286</v>
      </c>
      <c r="G309" s="34" t="s">
        <v>83</v>
      </c>
      <c r="H309" s="20" t="s">
        <v>497</v>
      </c>
      <c r="I309" s="34" t="s">
        <v>65</v>
      </c>
      <c r="J309" s="36">
        <v>160</v>
      </c>
      <c r="K309" s="22">
        <f>IF(I309="","",IF(I309="ENTRADA",ABS(J309),-ABS(J309)))</f>
        <v>-160</v>
      </c>
      <c r="L309" s="34" t="s">
        <v>37</v>
      </c>
      <c r="M309" s="34"/>
      <c r="N309">
        <v>65122</v>
      </c>
      <c r="O309" t="s">
        <v>387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 hidden="1">
      <c r="A310" s="20" t="s">
        <v>550</v>
      </c>
      <c r="B310" s="47">
        <v>46198</v>
      </c>
      <c r="C310" t="s">
        <v>527</v>
      </c>
      <c r="D310" t="s">
        <v>528</v>
      </c>
      <c r="E310" t="s">
        <v>493</v>
      </c>
      <c r="G310" t="s">
        <v>77</v>
      </c>
      <c r="H310" s="20" t="s">
        <v>551</v>
      </c>
      <c r="I310" t="s">
        <v>65</v>
      </c>
      <c r="J310" s="30">
        <v>30</v>
      </c>
      <c r="K310" s="22">
        <f>IF(I310="","",IF(I310="ENTRADA",ABS(J310),-ABS(J310)))</f>
        <v>-30</v>
      </c>
      <c r="L310" t="s">
        <v>29</v>
      </c>
      <c r="N310">
        <v>65122</v>
      </c>
      <c r="O310" t="s">
        <v>387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 hidden="1">
      <c r="A311" s="20" t="s">
        <v>552</v>
      </c>
      <c r="B311" s="47">
        <v>46199</v>
      </c>
      <c r="C311" t="s">
        <v>524</v>
      </c>
      <c r="D311" t="s">
        <v>525</v>
      </c>
      <c r="E311" t="s">
        <v>516</v>
      </c>
      <c r="G311" t="s">
        <v>77</v>
      </c>
      <c r="H311" s="20" t="s">
        <v>553</v>
      </c>
      <c r="I311" t="s">
        <v>65</v>
      </c>
      <c r="J311" s="30">
        <v>70</v>
      </c>
      <c r="K311" s="22">
        <f>IF(I311="","",IF(I311="ENTRADA",ABS(J311),-ABS(J311)))</f>
        <v>-70</v>
      </c>
      <c r="L311" t="s">
        <v>37</v>
      </c>
      <c r="N311">
        <v>65123</v>
      </c>
      <c r="O311" t="s">
        <v>218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 hidden="1">
      <c r="A312" s="20" t="s">
        <v>554</v>
      </c>
      <c r="B312" s="47">
        <v>46199</v>
      </c>
      <c r="C312" t="s">
        <v>137</v>
      </c>
      <c r="D312" t="s">
        <v>138</v>
      </c>
      <c r="E312" t="s">
        <v>132</v>
      </c>
      <c r="G312" t="s">
        <v>133</v>
      </c>
      <c r="H312" s="20" t="s">
        <v>211</v>
      </c>
      <c r="I312" t="s">
        <v>65</v>
      </c>
      <c r="J312" s="51">
        <v>1</v>
      </c>
      <c r="K312" s="22">
        <f>IF(I312="","",IF(I312="ENTRADA",ABS(J312),-ABS(J312)))</f>
        <v>-1</v>
      </c>
      <c r="L312" t="s">
        <v>37</v>
      </c>
      <c r="N312">
        <v>65123</v>
      </c>
      <c r="O312" t="s">
        <v>218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 hidden="1">
      <c r="A313" s="20" t="s">
        <v>555</v>
      </c>
      <c r="B313" s="47">
        <v>46199</v>
      </c>
      <c r="C313" t="s">
        <v>556</v>
      </c>
      <c r="D313" t="s">
        <v>557</v>
      </c>
      <c r="E313" t="s">
        <v>25</v>
      </c>
      <c r="F313" t="s">
        <v>558</v>
      </c>
      <c r="H313" s="20" t="str">
        <f>+T313</f>
        <v>260626-313</v>
      </c>
      <c r="I313" t="s">
        <v>28</v>
      </c>
      <c r="J313" s="30">
        <v>1700</v>
      </c>
      <c r="K313" s="22">
        <f>IF(I313="","",IF(I313="ENTRADA",ABS(J313),-ABS(J313)))</f>
        <v>1700</v>
      </c>
      <c r="L313" t="s">
        <v>29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 hidden="1">
      <c r="A314" s="20" t="s">
        <v>559</v>
      </c>
      <c r="B314" s="47">
        <v>46198</v>
      </c>
      <c r="C314" t="s">
        <v>534</v>
      </c>
      <c r="D314" t="s">
        <v>535</v>
      </c>
      <c r="E314" t="s">
        <v>34</v>
      </c>
      <c r="F314" t="s">
        <v>35</v>
      </c>
      <c r="G314" t="s">
        <v>36</v>
      </c>
      <c r="H314" s="20" t="s">
        <v>560</v>
      </c>
      <c r="I314" t="s">
        <v>65</v>
      </c>
      <c r="J314" s="30">
        <v>8</v>
      </c>
      <c r="K314" s="22">
        <f>IF(I314="","",IF(I314="ENTRADA",ABS(J314),-ABS(J314)))</f>
        <v>-8</v>
      </c>
      <c r="L314" t="s">
        <v>29</v>
      </c>
      <c r="N314">
        <v>65124</v>
      </c>
      <c r="O314" t="s">
        <v>309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 hidden="1">
      <c r="A315" s="20" t="s">
        <v>561</v>
      </c>
      <c r="B315" s="47">
        <v>46204</v>
      </c>
      <c r="C315" t="s">
        <v>54</v>
      </c>
      <c r="D315" t="s">
        <v>55</v>
      </c>
      <c r="E315" t="s">
        <v>34</v>
      </c>
      <c r="F315" t="s">
        <v>35</v>
      </c>
      <c r="G315" t="s">
        <v>36</v>
      </c>
      <c r="H315" s="20" t="s">
        <v>97</v>
      </c>
      <c r="I315" t="s">
        <v>65</v>
      </c>
      <c r="J315" s="30">
        <v>50</v>
      </c>
      <c r="K315" s="22">
        <f>IF(I315="","",IF(I315="ENTRADA",ABS(J315),-ABS(J315)))</f>
        <v>-50</v>
      </c>
      <c r="L315" t="s">
        <v>56</v>
      </c>
      <c r="N315">
        <v>65127</v>
      </c>
      <c r="O315" t="s">
        <v>382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 hidden="1">
      <c r="A316" s="20" t="s">
        <v>562</v>
      </c>
      <c r="B316" s="47">
        <v>46204</v>
      </c>
      <c r="C316" t="s">
        <v>147</v>
      </c>
      <c r="D316" t="s">
        <v>148</v>
      </c>
      <c r="E316" t="s">
        <v>34</v>
      </c>
      <c r="F316" t="s">
        <v>35</v>
      </c>
      <c r="G316" t="s">
        <v>36</v>
      </c>
      <c r="H316" s="20" t="s">
        <v>563</v>
      </c>
      <c r="I316" t="s">
        <v>65</v>
      </c>
      <c r="J316" s="30">
        <v>810</v>
      </c>
      <c r="K316" s="22">
        <f>IF(I316="","",IF(I316="ENTRADA",ABS(J316),-ABS(J316)))</f>
        <v>-810</v>
      </c>
      <c r="L316" t="s">
        <v>37</v>
      </c>
      <c r="N316">
        <v>65127</v>
      </c>
      <c r="O316" t="s">
        <v>382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 hidden="1">
      <c r="A317" s="20" t="s">
        <v>564</v>
      </c>
      <c r="B317" s="47">
        <v>46204</v>
      </c>
      <c r="C317" t="s">
        <v>130</v>
      </c>
      <c r="D317" t="s">
        <v>131</v>
      </c>
      <c r="E317" t="s">
        <v>132</v>
      </c>
      <c r="G317" t="s">
        <v>133</v>
      </c>
      <c r="H317" s="20" t="s">
        <v>221</v>
      </c>
      <c r="I317" t="s">
        <v>65</v>
      </c>
      <c r="J317" s="30">
        <v>110</v>
      </c>
      <c r="K317" s="22">
        <f>IF(I317="","",IF(I317="ENTRADA",ABS(J317),-ABS(J317)))</f>
        <v>-110</v>
      </c>
      <c r="L317" t="s">
        <v>37</v>
      </c>
      <c r="N317">
        <v>65127</v>
      </c>
      <c r="O317" t="s">
        <v>382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 hidden="1">
      <c r="A318" s="20" t="s">
        <v>565</v>
      </c>
      <c r="B318" s="47">
        <v>46204</v>
      </c>
      <c r="C318" t="s">
        <v>137</v>
      </c>
      <c r="D318" t="s">
        <v>138</v>
      </c>
      <c r="E318" t="s">
        <v>132</v>
      </c>
      <c r="G318" t="s">
        <v>133</v>
      </c>
      <c r="H318" s="20" t="s">
        <v>211</v>
      </c>
      <c r="I318" t="s">
        <v>65</v>
      </c>
      <c r="J318" s="30">
        <v>15</v>
      </c>
      <c r="K318" s="22">
        <f>IF(I318="","",IF(I318="ENTRADA",ABS(J318),-ABS(J318)))</f>
        <v>-15</v>
      </c>
      <c r="L318" t="s">
        <v>37</v>
      </c>
      <c r="N318">
        <v>65127</v>
      </c>
      <c r="O318" t="s">
        <v>382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 hidden="1">
      <c r="A319" s="20" t="s">
        <v>566</v>
      </c>
      <c r="B319" s="47">
        <v>46204</v>
      </c>
      <c r="C319" t="s">
        <v>32</v>
      </c>
      <c r="D319" t="s">
        <v>105</v>
      </c>
      <c r="E319" t="s">
        <v>34</v>
      </c>
      <c r="F319" t="s">
        <v>35</v>
      </c>
      <c r="H319" s="20" t="s">
        <v>106</v>
      </c>
      <c r="I319" t="s">
        <v>65</v>
      </c>
      <c r="J319" s="30">
        <v>150</v>
      </c>
      <c r="K319" s="22">
        <f>IF(I319="","",IF(I319="ENTRADA",ABS(J319),-ABS(J319)))</f>
        <v>-150</v>
      </c>
      <c r="L319" t="s">
        <v>37</v>
      </c>
      <c r="N319">
        <v>65128</v>
      </c>
      <c r="O319" t="s">
        <v>213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 hidden="1">
      <c r="A320" s="20" t="s">
        <v>567</v>
      </c>
      <c r="B320" s="47">
        <v>46204</v>
      </c>
      <c r="C320" s="34" t="s">
        <v>130</v>
      </c>
      <c r="D320" s="34" t="s">
        <v>131</v>
      </c>
      <c r="E320" s="34" t="s">
        <v>132</v>
      </c>
      <c r="F320" s="34"/>
      <c r="G320" s="34" t="s">
        <v>133</v>
      </c>
      <c r="H320" s="20" t="s">
        <v>221</v>
      </c>
      <c r="I320" s="34" t="s">
        <v>65</v>
      </c>
      <c r="J320" s="36">
        <v>400</v>
      </c>
      <c r="K320" s="22">
        <f>IF(I320="","",IF(I320="ENTRADA",ABS(J320),-ABS(J320)))</f>
        <v>-400</v>
      </c>
      <c r="L320" s="34" t="s">
        <v>37</v>
      </c>
      <c r="M320" s="34"/>
      <c r="N320">
        <v>65128</v>
      </c>
      <c r="O320" s="34" t="s">
        <v>213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 hidden="1">
      <c r="A321" s="20" t="s">
        <v>568</v>
      </c>
      <c r="B321" s="47">
        <v>46204</v>
      </c>
      <c r="C321" t="s">
        <v>90</v>
      </c>
      <c r="D321" t="s">
        <v>91</v>
      </c>
      <c r="E321" t="s">
        <v>34</v>
      </c>
      <c r="F321" t="s">
        <v>35</v>
      </c>
      <c r="G321" t="s">
        <v>36</v>
      </c>
      <c r="H321" s="20" t="s">
        <v>375</v>
      </c>
      <c r="I321" t="s">
        <v>65</v>
      </c>
      <c r="J321" s="30">
        <v>300</v>
      </c>
      <c r="K321" s="22">
        <f>IF(I321="","",IF(I321="ENTRADA",ABS(J321),-ABS(J321)))</f>
        <v>-300</v>
      </c>
      <c r="L321" t="s">
        <v>37</v>
      </c>
      <c r="N321">
        <v>65128</v>
      </c>
      <c r="O321" t="s">
        <v>213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 hidden="1">
      <c r="A322" s="20" t="s">
        <v>569</v>
      </c>
      <c r="B322" s="47">
        <v>46204</v>
      </c>
      <c r="C322" t="s">
        <v>147</v>
      </c>
      <c r="D322" t="s">
        <v>148</v>
      </c>
      <c r="E322" t="s">
        <v>34</v>
      </c>
      <c r="F322" t="s">
        <v>35</v>
      </c>
      <c r="G322" t="s">
        <v>36</v>
      </c>
      <c r="H322" s="20" t="s">
        <v>563</v>
      </c>
      <c r="I322" t="s">
        <v>65</v>
      </c>
      <c r="J322" s="30">
        <v>500</v>
      </c>
      <c r="K322" s="22">
        <f>IF(I322="","",IF(I322="ENTRADA",ABS(J322),-ABS(J322)))</f>
        <v>-500</v>
      </c>
      <c r="L322" t="s">
        <v>37</v>
      </c>
      <c r="N322">
        <v>65128</v>
      </c>
      <c r="O322" t="s">
        <v>213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 hidden="1">
      <c r="A323" s="20" t="s">
        <v>570</v>
      </c>
      <c r="B323" s="47">
        <v>46204</v>
      </c>
      <c r="C323" t="s">
        <v>54</v>
      </c>
      <c r="D323" t="s">
        <v>55</v>
      </c>
      <c r="E323" t="s">
        <v>34</v>
      </c>
      <c r="F323" t="s">
        <v>35</v>
      </c>
      <c r="G323" t="s">
        <v>36</v>
      </c>
      <c r="H323" s="20" t="s">
        <v>97</v>
      </c>
      <c r="I323" t="s">
        <v>65</v>
      </c>
      <c r="J323" s="30">
        <v>30</v>
      </c>
      <c r="K323" s="22">
        <f>IF(I323="","",IF(I323="ENTRADA",ABS(J323),-ABS(J323)))</f>
        <v>-30</v>
      </c>
      <c r="L323" t="s">
        <v>56</v>
      </c>
      <c r="N323">
        <v>65128</v>
      </c>
      <c r="O323" t="s">
        <v>213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 hidden="1">
      <c r="A324" s="20" t="s">
        <v>571</v>
      </c>
      <c r="B324" s="47">
        <v>46204</v>
      </c>
      <c r="C324" t="s">
        <v>527</v>
      </c>
      <c r="D324" t="s">
        <v>528</v>
      </c>
      <c r="E324" t="s">
        <v>493</v>
      </c>
      <c r="G324" t="s">
        <v>77</v>
      </c>
      <c r="H324" s="20" t="s">
        <v>551</v>
      </c>
      <c r="I324" t="s">
        <v>65</v>
      </c>
      <c r="J324" s="30">
        <v>60</v>
      </c>
      <c r="K324" s="22">
        <f>IF(I324="","",IF(I324="ENTRADA",ABS(J324),-ABS(J324)))</f>
        <v>-60</v>
      </c>
      <c r="L324" t="s">
        <v>29</v>
      </c>
      <c r="N324">
        <v>65128</v>
      </c>
      <c r="O324" t="s">
        <v>213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 hidden="1">
      <c r="A325" s="20" t="s">
        <v>572</v>
      </c>
      <c r="B325" s="47">
        <v>46204</v>
      </c>
      <c r="C325" t="s">
        <v>283</v>
      </c>
      <c r="D325" t="s">
        <v>284</v>
      </c>
      <c r="E325" t="s">
        <v>285</v>
      </c>
      <c r="F325" t="s">
        <v>286</v>
      </c>
      <c r="G325" t="s">
        <v>83</v>
      </c>
      <c r="H325" s="20" t="s">
        <v>497</v>
      </c>
      <c r="I325" t="s">
        <v>65</v>
      </c>
      <c r="J325" s="30">
        <v>660</v>
      </c>
      <c r="K325" s="22">
        <f>IF(I325="","",IF(I325="ENTRADA",ABS(J325),-ABS(J325)))</f>
        <v>-660</v>
      </c>
      <c r="L325" t="s">
        <v>37</v>
      </c>
      <c r="N325">
        <v>65129</v>
      </c>
      <c r="O325" t="s">
        <v>387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 hidden="1">
      <c r="A326" s="20" t="s">
        <v>573</v>
      </c>
      <c r="B326" s="47">
        <v>46205</v>
      </c>
      <c r="C326" t="s">
        <v>491</v>
      </c>
      <c r="D326" t="s">
        <v>492</v>
      </c>
      <c r="E326" t="s">
        <v>493</v>
      </c>
      <c r="G326" t="s">
        <v>36</v>
      </c>
      <c r="H326" s="20" t="s">
        <v>495</v>
      </c>
      <c r="I326" t="s">
        <v>65</v>
      </c>
      <c r="J326" s="30">
        <v>2620</v>
      </c>
      <c r="K326" s="22">
        <f>IF(I326="","",IF(I326="ENTRADA",ABS(J326),-ABS(J326)))</f>
        <v>-2620</v>
      </c>
      <c r="L326" t="s">
        <v>37</v>
      </c>
      <c r="N326">
        <v>65130</v>
      </c>
      <c r="O326" t="s">
        <v>213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 hidden="1">
      <c r="A327" s="20" t="s">
        <v>574</v>
      </c>
      <c r="B327" s="47">
        <v>46205</v>
      </c>
      <c r="C327" t="s">
        <v>524</v>
      </c>
      <c r="D327" t="s">
        <v>525</v>
      </c>
      <c r="E327" t="s">
        <v>516</v>
      </c>
      <c r="G327" t="s">
        <v>158</v>
      </c>
      <c r="H327" s="20" t="s">
        <v>553</v>
      </c>
      <c r="I327" t="s">
        <v>28</v>
      </c>
      <c r="J327" s="30">
        <v>500</v>
      </c>
      <c r="K327" s="22">
        <f>IF(I327="","",IF(I327="ENTRADA",ABS(J327),-ABS(J327)))</f>
        <v>500</v>
      </c>
      <c r="L327" t="s">
        <v>37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 hidden="1">
      <c r="A328" s="20" t="s">
        <v>575</v>
      </c>
      <c r="B328" s="47">
        <v>46205</v>
      </c>
      <c r="C328" t="s">
        <v>576</v>
      </c>
      <c r="D328" t="s">
        <v>577</v>
      </c>
      <c r="E328" t="s">
        <v>578</v>
      </c>
      <c r="G328" t="s">
        <v>158</v>
      </c>
      <c r="H328" s="20" t="str">
        <f>+T328</f>
        <v>260702-328</v>
      </c>
      <c r="I328" t="s">
        <v>28</v>
      </c>
      <c r="J328" s="30">
        <v>500</v>
      </c>
      <c r="K328" s="22">
        <f>IF(I328="","",IF(I328="ENTRADA",ABS(J328),-ABS(J328)))</f>
        <v>500</v>
      </c>
      <c r="L328" t="s">
        <v>37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 hidden="1">
      <c r="A329" s="20" t="s">
        <v>579</v>
      </c>
      <c r="B329" s="47">
        <v>46205</v>
      </c>
      <c r="C329" t="s">
        <v>580</v>
      </c>
      <c r="G329" t="s">
        <v>158</v>
      </c>
      <c r="H329" s="20" t="str">
        <f>+T329</f>
        <v>260702-329</v>
      </c>
      <c r="I329" t="s">
        <v>28</v>
      </c>
      <c r="J329" s="30">
        <v>12</v>
      </c>
      <c r="K329" s="22">
        <f>IF(I329="","",IF(I329="ENTRADA",ABS(J329),-ABS(J329)))</f>
        <v>12</v>
      </c>
      <c r="L329" t="s">
        <v>37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 hidden="1">
      <c r="A330" s="20" t="s">
        <v>581</v>
      </c>
      <c r="B330" s="47">
        <v>46206</v>
      </c>
      <c r="C330" t="s">
        <v>527</v>
      </c>
      <c r="D330" t="s">
        <v>528</v>
      </c>
      <c r="E330" t="s">
        <v>493</v>
      </c>
      <c r="G330" t="s">
        <v>77</v>
      </c>
      <c r="H330" s="20" t="s">
        <v>551</v>
      </c>
      <c r="I330" t="s">
        <v>65</v>
      </c>
      <c r="J330" s="30">
        <v>60</v>
      </c>
      <c r="K330" s="22">
        <f>IF(I330="","",IF(I330="ENTRADA",ABS(J330),-ABS(J330)))</f>
        <v>-60</v>
      </c>
      <c r="L330" t="s">
        <v>29</v>
      </c>
      <c r="N330">
        <v>65131</v>
      </c>
      <c r="O330" t="s">
        <v>218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 hidden="1">
      <c r="A331" s="20" t="s">
        <v>582</v>
      </c>
      <c r="B331" s="47">
        <v>46206</v>
      </c>
      <c r="C331" s="34" t="s">
        <v>130</v>
      </c>
      <c r="D331" s="34" t="s">
        <v>131</v>
      </c>
      <c r="E331" s="34" t="s">
        <v>132</v>
      </c>
      <c r="F331" s="34"/>
      <c r="G331" s="34" t="s">
        <v>133</v>
      </c>
      <c r="H331" s="20" t="s">
        <v>221</v>
      </c>
      <c r="I331" s="34" t="s">
        <v>65</v>
      </c>
      <c r="J331" s="36">
        <v>50</v>
      </c>
      <c r="K331" s="22">
        <f>IF(I331="","",IF(I331="ENTRADA",ABS(J331),-ABS(J331)))</f>
        <v>-50</v>
      </c>
      <c r="L331" s="34" t="s">
        <v>37</v>
      </c>
      <c r="M331" s="34"/>
      <c r="N331" s="34">
        <v>65131</v>
      </c>
      <c r="O331" s="34" t="s">
        <v>218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 hidden="1">
      <c r="A332" s="20" t="s">
        <v>583</v>
      </c>
      <c r="B332" s="47">
        <v>46206</v>
      </c>
      <c r="C332" t="s">
        <v>54</v>
      </c>
      <c r="D332" t="s">
        <v>55</v>
      </c>
      <c r="E332" t="s">
        <v>34</v>
      </c>
      <c r="F332" t="s">
        <v>35</v>
      </c>
      <c r="G332" t="s">
        <v>36</v>
      </c>
      <c r="H332" s="20" t="s">
        <v>97</v>
      </c>
      <c r="I332" t="s">
        <v>65</v>
      </c>
      <c r="J332" s="30">
        <v>15</v>
      </c>
      <c r="K332" s="22">
        <f>IF(I332="","",IF(I332="ENTRADA",ABS(J332),-ABS(J332)))</f>
        <v>-15</v>
      </c>
      <c r="L332" t="s">
        <v>56</v>
      </c>
      <c r="N332">
        <v>65131</v>
      </c>
      <c r="O332" t="s">
        <v>218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 hidden="1">
      <c r="A333" s="20" t="s">
        <v>584</v>
      </c>
      <c r="B333" s="47">
        <v>46206</v>
      </c>
      <c r="C333" t="s">
        <v>137</v>
      </c>
      <c r="D333" t="s">
        <v>138</v>
      </c>
      <c r="E333" t="s">
        <v>132</v>
      </c>
      <c r="G333" t="s">
        <v>133</v>
      </c>
      <c r="H333" s="20" t="s">
        <v>211</v>
      </c>
      <c r="I333" t="s">
        <v>65</v>
      </c>
      <c r="J333" s="30">
        <v>10</v>
      </c>
      <c r="K333" s="22">
        <f>IF(I333="","",IF(I333="ENTRADA",ABS(J333),-ABS(J333)))</f>
        <v>-10</v>
      </c>
      <c r="L333" t="s">
        <v>37</v>
      </c>
      <c r="N333">
        <v>65131</v>
      </c>
      <c r="O333" t="s">
        <v>218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 hidden="1">
      <c r="A334" s="20" t="s">
        <v>585</v>
      </c>
      <c r="B334" s="47">
        <v>46206</v>
      </c>
      <c r="C334" t="s">
        <v>147</v>
      </c>
      <c r="D334" t="s">
        <v>148</v>
      </c>
      <c r="E334" t="s">
        <v>34</v>
      </c>
      <c r="F334" t="s">
        <v>35</v>
      </c>
      <c r="G334" t="s">
        <v>36</v>
      </c>
      <c r="H334" s="20" t="s">
        <v>563</v>
      </c>
      <c r="I334" t="s">
        <v>65</v>
      </c>
      <c r="J334" s="30">
        <v>450</v>
      </c>
      <c r="K334" s="22">
        <f>IF(I334="","",IF(I334="ENTRADA",ABS(J334),-ABS(J334)))</f>
        <v>-450</v>
      </c>
      <c r="L334" t="s">
        <v>37</v>
      </c>
      <c r="N334">
        <v>65131</v>
      </c>
      <c r="O334" t="s">
        <v>218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 hidden="1">
      <c r="A335" s="20" t="s">
        <v>586</v>
      </c>
      <c r="B335" s="47">
        <v>46206</v>
      </c>
      <c r="C335" t="s">
        <v>514</v>
      </c>
      <c r="D335" t="s">
        <v>525</v>
      </c>
      <c r="E335" t="s">
        <v>516</v>
      </c>
      <c r="G335" t="s">
        <v>117</v>
      </c>
      <c r="H335" s="20" t="s">
        <v>587</v>
      </c>
      <c r="I335" t="s">
        <v>65</v>
      </c>
      <c r="J335" s="30">
        <v>95</v>
      </c>
      <c r="K335" s="22">
        <f>IF(I335="","",IF(I335="ENTRADA",ABS(J335),-ABS(J335)))</f>
        <v>-95</v>
      </c>
      <c r="L335" t="s">
        <v>37</v>
      </c>
      <c r="N335">
        <v>65131</v>
      </c>
      <c r="O335" t="s">
        <v>218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 hidden="1">
      <c r="A336" s="20" t="s">
        <v>588</v>
      </c>
      <c r="B336" s="47">
        <v>46209</v>
      </c>
      <c r="C336" t="s">
        <v>576</v>
      </c>
      <c r="D336" t="s">
        <v>577</v>
      </c>
      <c r="E336" t="s">
        <v>578</v>
      </c>
      <c r="G336" t="s">
        <v>158</v>
      </c>
      <c r="H336" s="20" t="s">
        <v>589</v>
      </c>
      <c r="I336" t="s">
        <v>65</v>
      </c>
      <c r="J336" s="30">
        <v>160</v>
      </c>
      <c r="K336" s="22">
        <f>IF(I336="","",IF(I336="ENTRADA",ABS(J336),-ABS(J336)))</f>
        <v>-160</v>
      </c>
      <c r="L336" t="s">
        <v>37</v>
      </c>
      <c r="N336">
        <v>65132</v>
      </c>
      <c r="O336" t="s">
        <v>590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 hidden="1">
      <c r="A337" s="20" t="s">
        <v>591</v>
      </c>
      <c r="B337" s="47">
        <v>46209</v>
      </c>
      <c r="C337" t="s">
        <v>122</v>
      </c>
      <c r="D337" t="s">
        <v>123</v>
      </c>
      <c r="E337" t="s">
        <v>34</v>
      </c>
      <c r="F337" t="s">
        <v>35</v>
      </c>
      <c r="G337" t="s">
        <v>117</v>
      </c>
      <c r="H337" s="20" t="s">
        <v>203</v>
      </c>
      <c r="I337" t="s">
        <v>65</v>
      </c>
      <c r="J337" s="30">
        <v>160</v>
      </c>
      <c r="K337" s="22">
        <f>IF(I337="","",IF(I337="ENTRADA",ABS(J337),-ABS(J337)))</f>
        <v>-160</v>
      </c>
      <c r="L337" t="s">
        <v>37</v>
      </c>
      <c r="N337">
        <v>65132</v>
      </c>
      <c r="O337" t="s">
        <v>590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 hidden="1">
      <c r="A338" s="20" t="s">
        <v>592</v>
      </c>
      <c r="B338" s="47">
        <v>46209</v>
      </c>
      <c r="C338" t="s">
        <v>32</v>
      </c>
      <c r="D338" t="s">
        <v>105</v>
      </c>
      <c r="E338" t="s">
        <v>34</v>
      </c>
      <c r="F338" t="s">
        <v>35</v>
      </c>
      <c r="H338" s="20" t="s">
        <v>106</v>
      </c>
      <c r="I338" t="s">
        <v>65</v>
      </c>
      <c r="J338" s="30">
        <v>80</v>
      </c>
      <c r="K338" s="22">
        <f>IF(I338="","",IF(I338="ENTRADA",ABS(J338),-ABS(J338)))</f>
        <v>-80</v>
      </c>
      <c r="L338" t="s">
        <v>37</v>
      </c>
      <c r="N338">
        <v>65132</v>
      </c>
      <c r="O338" t="s">
        <v>590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 hidden="1">
      <c r="A339" s="20" t="s">
        <v>593</v>
      </c>
      <c r="B339" s="47">
        <v>46209</v>
      </c>
      <c r="C339" t="s">
        <v>130</v>
      </c>
      <c r="D339" t="s">
        <v>131</v>
      </c>
      <c r="E339" t="s">
        <v>132</v>
      </c>
      <c r="G339" t="s">
        <v>133</v>
      </c>
      <c r="H339" s="20" t="s">
        <v>221</v>
      </c>
      <c r="I339" t="s">
        <v>65</v>
      </c>
      <c r="J339" s="30">
        <v>40</v>
      </c>
      <c r="K339" s="22">
        <f>IF(I339="","",IF(I339="ENTRADA",ABS(J339),-ABS(J339)))</f>
        <v>-40</v>
      </c>
      <c r="L339" t="s">
        <v>37</v>
      </c>
      <c r="N339">
        <v>65132</v>
      </c>
      <c r="O339" t="s">
        <v>590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 hidden="1">
      <c r="A340" s="20" t="s">
        <v>594</v>
      </c>
      <c r="B340" s="47">
        <v>46209</v>
      </c>
      <c r="C340" t="s">
        <v>137</v>
      </c>
      <c r="D340" t="s">
        <v>138</v>
      </c>
      <c r="E340" t="s">
        <v>132</v>
      </c>
      <c r="G340" t="s">
        <v>133</v>
      </c>
      <c r="H340" s="20" t="s">
        <v>211</v>
      </c>
      <c r="I340" t="s">
        <v>65</v>
      </c>
      <c r="J340" s="30">
        <v>8</v>
      </c>
      <c r="K340" s="22">
        <f>IF(I340="","",IF(I340="ENTRADA",ABS(J340),-ABS(J340)))</f>
        <v>-8</v>
      </c>
      <c r="L340" t="s">
        <v>37</v>
      </c>
      <c r="N340">
        <v>65132</v>
      </c>
      <c r="O340" t="s">
        <v>590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 hidden="1">
      <c r="A341" s="20" t="s">
        <v>595</v>
      </c>
      <c r="B341" s="47">
        <v>46209</v>
      </c>
      <c r="C341" t="s">
        <v>50</v>
      </c>
      <c r="D341" t="s">
        <v>280</v>
      </c>
      <c r="E341" t="s">
        <v>34</v>
      </c>
      <c r="F341" t="s">
        <v>35</v>
      </c>
      <c r="G341" t="s">
        <v>36</v>
      </c>
      <c r="H341" s="20" t="s">
        <v>281</v>
      </c>
      <c r="I341" t="s">
        <v>65</v>
      </c>
      <c r="J341" s="30">
        <v>20</v>
      </c>
      <c r="K341" s="22">
        <f>IF(I341="","",IF(I341="ENTRADA",ABS(J341),-ABS(J341)))</f>
        <v>-20</v>
      </c>
      <c r="L341" t="s">
        <v>37</v>
      </c>
      <c r="N341">
        <v>65132</v>
      </c>
      <c r="O341" t="s">
        <v>590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 hidden="1">
      <c r="A342" s="20" t="s">
        <v>596</v>
      </c>
      <c r="B342" s="47">
        <v>46209</v>
      </c>
      <c r="C342" s="34" t="s">
        <v>75</v>
      </c>
      <c r="D342" s="34" t="s">
        <v>76</v>
      </c>
      <c r="E342" s="34" t="s">
        <v>34</v>
      </c>
      <c r="F342" s="34" t="s">
        <v>35</v>
      </c>
      <c r="G342" t="s">
        <v>77</v>
      </c>
      <c r="H342" s="20" t="s">
        <v>94</v>
      </c>
      <c r="I342" s="34" t="s">
        <v>65</v>
      </c>
      <c r="J342" s="36">
        <v>140</v>
      </c>
      <c r="K342" s="22">
        <f>IF(I342="","",IF(I342="ENTRADA",ABS(J342),-ABS(J342)))</f>
        <v>-140</v>
      </c>
      <c r="L342" s="34" t="s">
        <v>37</v>
      </c>
      <c r="M342" s="34"/>
      <c r="N342">
        <v>65132</v>
      </c>
      <c r="O342" t="s">
        <v>590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 hidden="1">
      <c r="A343" s="20" t="s">
        <v>597</v>
      </c>
      <c r="B343" s="47">
        <v>46209</v>
      </c>
      <c r="C343" t="s">
        <v>524</v>
      </c>
      <c r="D343" t="s">
        <v>525</v>
      </c>
      <c r="E343" t="s">
        <v>516</v>
      </c>
      <c r="G343" t="s">
        <v>158</v>
      </c>
      <c r="H343" s="20" t="str">
        <f>+T343</f>
        <v>260706-343</v>
      </c>
      <c r="I343" t="s">
        <v>28</v>
      </c>
      <c r="J343" s="30">
        <v>1000</v>
      </c>
      <c r="K343" s="22">
        <f>IF(I343="","",IF(I343="ENTRADA",ABS(J343),-ABS(J343)))</f>
        <v>1000</v>
      </c>
      <c r="L343" t="s">
        <v>37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 hidden="1">
      <c r="A344" s="20" t="s">
        <v>598</v>
      </c>
      <c r="B344" s="47">
        <v>46209</v>
      </c>
      <c r="C344" t="s">
        <v>283</v>
      </c>
      <c r="D344" t="s">
        <v>284</v>
      </c>
      <c r="E344" t="s">
        <v>285</v>
      </c>
      <c r="F344" t="s">
        <v>286</v>
      </c>
      <c r="G344" t="s">
        <v>83</v>
      </c>
      <c r="H344" s="20" t="s">
        <v>497</v>
      </c>
      <c r="I344" t="s">
        <v>65</v>
      </c>
      <c r="J344" s="30">
        <v>500</v>
      </c>
      <c r="K344" s="22">
        <f>IF(I344="","",IF(I344="ENTRADA",ABS(J344),-ABS(J344)))</f>
        <v>-500</v>
      </c>
      <c r="L344" t="s">
        <v>37</v>
      </c>
      <c r="N344">
        <v>65133</v>
      </c>
      <c r="O344" t="s">
        <v>387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 hidden="1">
      <c r="A345" s="20" t="s">
        <v>599</v>
      </c>
      <c r="B345" s="47">
        <v>46209</v>
      </c>
      <c r="C345" t="s">
        <v>54</v>
      </c>
      <c r="D345" t="s">
        <v>55</v>
      </c>
      <c r="E345" t="s">
        <v>34</v>
      </c>
      <c r="F345" t="s">
        <v>35</v>
      </c>
      <c r="G345" t="s">
        <v>36</v>
      </c>
      <c r="H345" s="20" t="s">
        <v>97</v>
      </c>
      <c r="I345" t="s">
        <v>65</v>
      </c>
      <c r="J345" s="30">
        <v>13</v>
      </c>
      <c r="K345" s="22">
        <f>IF(I345="","",IF(I345="ENTRADA",ABS(J345),-ABS(J345)))</f>
        <v>-13</v>
      </c>
      <c r="L345" t="s">
        <v>56</v>
      </c>
      <c r="N345">
        <v>65133</v>
      </c>
      <c r="O345" t="s">
        <v>387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 hidden="1">
      <c r="A346" s="20" t="s">
        <v>600</v>
      </c>
      <c r="B346" s="47">
        <v>46210</v>
      </c>
      <c r="C346" t="s">
        <v>115</v>
      </c>
      <c r="D346" t="s">
        <v>116</v>
      </c>
      <c r="E346" t="s">
        <v>34</v>
      </c>
      <c r="F346" t="s">
        <v>35</v>
      </c>
      <c r="G346" t="s">
        <v>117</v>
      </c>
      <c r="H346" s="20" t="s">
        <v>120</v>
      </c>
      <c r="I346" t="s">
        <v>65</v>
      </c>
      <c r="J346" s="30">
        <v>260</v>
      </c>
      <c r="K346" s="22">
        <f>IF(I346="","",IF(I346="ENTRADA",ABS(J346),-ABS(J346)))</f>
        <v>-260</v>
      </c>
      <c r="L346" t="s">
        <v>37</v>
      </c>
      <c r="N346">
        <v>65135</v>
      </c>
      <c r="O346" t="s">
        <v>218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 hidden="1">
      <c r="A347" s="20" t="s">
        <v>601</v>
      </c>
      <c r="B347" s="47">
        <v>46210</v>
      </c>
      <c r="C347" t="s">
        <v>137</v>
      </c>
      <c r="D347" t="s">
        <v>138</v>
      </c>
      <c r="E347" t="s">
        <v>132</v>
      </c>
      <c r="G347" t="s">
        <v>133</v>
      </c>
      <c r="H347" s="20" t="s">
        <v>211</v>
      </c>
      <c r="I347" t="s">
        <v>65</v>
      </c>
      <c r="J347" s="30">
        <v>2</v>
      </c>
      <c r="K347" s="22">
        <f>IF(I347="","",IF(I347="ENTRADA",ABS(J347),-ABS(J347)))</f>
        <v>-2</v>
      </c>
      <c r="L347" t="s">
        <v>37</v>
      </c>
      <c r="N347">
        <v>65135</v>
      </c>
      <c r="O347" t="s">
        <v>218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 hidden="1">
      <c r="A348" s="20" t="s">
        <v>602</v>
      </c>
      <c r="B348" s="47">
        <v>46210</v>
      </c>
      <c r="C348" t="s">
        <v>130</v>
      </c>
      <c r="D348" t="s">
        <v>131</v>
      </c>
      <c r="E348" t="s">
        <v>132</v>
      </c>
      <c r="G348" t="s">
        <v>133</v>
      </c>
      <c r="H348" s="20" t="s">
        <v>221</v>
      </c>
      <c r="I348" t="s">
        <v>65</v>
      </c>
      <c r="J348" s="30">
        <v>10</v>
      </c>
      <c r="K348" s="22">
        <f>IF(I348="","",IF(I348="ENTRADA",ABS(J348),-ABS(J348)))</f>
        <v>-10</v>
      </c>
      <c r="L348" t="s">
        <v>37</v>
      </c>
      <c r="N348">
        <v>65135</v>
      </c>
      <c r="O348" t="s">
        <v>218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 hidden="1">
      <c r="A349" s="20" t="s">
        <v>603</v>
      </c>
      <c r="B349" s="47">
        <v>46210</v>
      </c>
      <c r="C349" t="s">
        <v>130</v>
      </c>
      <c r="D349" t="s">
        <v>131</v>
      </c>
      <c r="E349" t="s">
        <v>132</v>
      </c>
      <c r="G349" t="s">
        <v>133</v>
      </c>
      <c r="H349" s="20" t="s">
        <v>221</v>
      </c>
      <c r="I349" t="s">
        <v>65</v>
      </c>
      <c r="J349" s="30">
        <v>35</v>
      </c>
      <c r="K349" s="22">
        <f>IF(I349="","",IF(I349="ENTRADA",ABS(J349),-ABS(J349)))</f>
        <v>-35</v>
      </c>
      <c r="L349" t="s">
        <v>37</v>
      </c>
      <c r="N349">
        <v>65136</v>
      </c>
      <c r="O349" t="s">
        <v>213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 hidden="1">
      <c r="A350" s="20" t="s">
        <v>604</v>
      </c>
      <c r="B350" s="47">
        <v>46210</v>
      </c>
      <c r="C350" t="s">
        <v>137</v>
      </c>
      <c r="D350" t="s">
        <v>138</v>
      </c>
      <c r="E350" t="s">
        <v>132</v>
      </c>
      <c r="G350" t="s">
        <v>133</v>
      </c>
      <c r="H350" s="20" t="s">
        <v>211</v>
      </c>
      <c r="I350" t="s">
        <v>65</v>
      </c>
      <c r="J350" s="30">
        <v>7</v>
      </c>
      <c r="K350" s="22">
        <f>IF(I350="","",IF(I350="ENTRADA",ABS(J350),-ABS(J350)))</f>
        <v>-7</v>
      </c>
      <c r="L350" t="s">
        <v>37</v>
      </c>
      <c r="N350">
        <v>65136</v>
      </c>
      <c r="O350" t="s">
        <v>213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 hidden="1">
      <c r="A351" s="20" t="s">
        <v>605</v>
      </c>
      <c r="B351" s="47">
        <v>46210</v>
      </c>
      <c r="C351" t="s">
        <v>90</v>
      </c>
      <c r="D351" t="s">
        <v>91</v>
      </c>
      <c r="E351" t="s">
        <v>34</v>
      </c>
      <c r="F351" t="s">
        <v>35</v>
      </c>
      <c r="G351" t="s">
        <v>36</v>
      </c>
      <c r="H351" s="20" t="s">
        <v>375</v>
      </c>
      <c r="I351" t="s">
        <v>65</v>
      </c>
      <c r="J351" s="30">
        <v>135</v>
      </c>
      <c r="K351" s="22">
        <f>IF(I351="","",IF(I351="ENTRADA",ABS(J351),-ABS(J351)))</f>
        <v>-135</v>
      </c>
      <c r="L351" t="s">
        <v>37</v>
      </c>
      <c r="N351">
        <v>65136</v>
      </c>
      <c r="O351" t="s">
        <v>213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 hidden="1">
      <c r="A352" s="20" t="s">
        <v>606</v>
      </c>
      <c r="B352" s="47">
        <v>46211</v>
      </c>
      <c r="C352" t="s">
        <v>90</v>
      </c>
      <c r="D352" t="s">
        <v>91</v>
      </c>
      <c r="E352" t="s">
        <v>34</v>
      </c>
      <c r="F352" t="s">
        <v>35</v>
      </c>
      <c r="G352" t="s">
        <v>36</v>
      </c>
      <c r="H352" s="20" t="s">
        <v>375</v>
      </c>
      <c r="I352" t="s">
        <v>65</v>
      </c>
      <c r="J352" s="30">
        <v>100</v>
      </c>
      <c r="K352" s="22">
        <f>IF(I352="","",IF(I352="ENTRADA",ABS(J352),-ABS(J352)))</f>
        <v>-100</v>
      </c>
      <c r="L352" t="s">
        <v>37</v>
      </c>
      <c r="N352">
        <v>65137</v>
      </c>
      <c r="O352" t="s">
        <v>213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 hidden="1">
      <c r="A353" s="20" t="s">
        <v>607</v>
      </c>
      <c r="B353" s="47">
        <v>46211</v>
      </c>
      <c r="C353" s="34" t="s">
        <v>130</v>
      </c>
      <c r="D353" s="34" t="s">
        <v>131</v>
      </c>
      <c r="E353" s="34" t="s">
        <v>132</v>
      </c>
      <c r="F353" s="34"/>
      <c r="G353" s="34" t="s">
        <v>133</v>
      </c>
      <c r="H353" s="20" t="s">
        <v>221</v>
      </c>
      <c r="I353" s="34" t="s">
        <v>65</v>
      </c>
      <c r="J353" s="36">
        <v>30</v>
      </c>
      <c r="K353" s="22">
        <f>IF(I353="","",IF(I353="ENTRADA",ABS(J353),-ABS(J353)))</f>
        <v>-30</v>
      </c>
      <c r="L353" s="34" t="s">
        <v>37</v>
      </c>
      <c r="M353" s="34"/>
      <c r="N353">
        <v>65137</v>
      </c>
      <c r="O353" t="s">
        <v>213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 hidden="1">
      <c r="A354" s="20" t="s">
        <v>608</v>
      </c>
      <c r="B354" s="47">
        <v>46211</v>
      </c>
      <c r="C354" t="s">
        <v>137</v>
      </c>
      <c r="D354" t="s">
        <v>138</v>
      </c>
      <c r="E354" t="s">
        <v>132</v>
      </c>
      <c r="G354" t="s">
        <v>133</v>
      </c>
      <c r="H354" s="20" t="s">
        <v>211</v>
      </c>
      <c r="I354" t="s">
        <v>65</v>
      </c>
      <c r="J354" s="30">
        <v>5</v>
      </c>
      <c r="K354" s="22">
        <f>IF(I354="","",IF(I354="ENTRADA",ABS(J354),-ABS(J354)))</f>
        <v>-5</v>
      </c>
      <c r="L354" t="s">
        <v>37</v>
      </c>
      <c r="N354">
        <v>65137</v>
      </c>
      <c r="O354" t="s">
        <v>213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 hidden="1">
      <c r="A355" s="20" t="s">
        <v>609</v>
      </c>
      <c r="B355" s="47">
        <v>46217</v>
      </c>
      <c r="C355" t="s">
        <v>75</v>
      </c>
      <c r="D355" t="s">
        <v>76</v>
      </c>
      <c r="E355" t="s">
        <v>34</v>
      </c>
      <c r="F355" t="s">
        <v>35</v>
      </c>
      <c r="G355" t="s">
        <v>77</v>
      </c>
      <c r="H355" s="20" t="s">
        <v>94</v>
      </c>
      <c r="I355" t="s">
        <v>65</v>
      </c>
      <c r="J355" s="30">
        <v>140</v>
      </c>
      <c r="K355" s="22">
        <f>IF(I355="","",IF(I355="ENTRADA",ABS(J355),-ABS(J355)))</f>
        <v>-140</v>
      </c>
      <c r="L355" t="s">
        <v>37</v>
      </c>
      <c r="N355">
        <v>65138</v>
      </c>
      <c r="O355" t="s">
        <v>218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 hidden="1">
      <c r="A356" s="20" t="s">
        <v>610</v>
      </c>
      <c r="B356" s="47">
        <v>46217</v>
      </c>
      <c r="C356" t="s">
        <v>130</v>
      </c>
      <c r="D356" t="s">
        <v>131</v>
      </c>
      <c r="E356" t="s">
        <v>132</v>
      </c>
      <c r="G356" t="s">
        <v>133</v>
      </c>
      <c r="H356" s="20" t="s">
        <v>221</v>
      </c>
      <c r="I356" t="s">
        <v>65</v>
      </c>
      <c r="J356" s="30">
        <v>25</v>
      </c>
      <c r="K356" s="22">
        <f>IF(I356="","",IF(I356="ENTRADA",ABS(J356),-ABS(J356)))</f>
        <v>-25</v>
      </c>
      <c r="L356" t="s">
        <v>37</v>
      </c>
      <c r="N356">
        <v>65138</v>
      </c>
      <c r="O356" t="s">
        <v>218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 hidden="1">
      <c r="A357" s="20" t="s">
        <v>611</v>
      </c>
      <c r="B357" s="47">
        <v>46217</v>
      </c>
      <c r="C357" t="s">
        <v>137</v>
      </c>
      <c r="D357" t="s">
        <v>138</v>
      </c>
      <c r="E357" t="s">
        <v>132</v>
      </c>
      <c r="G357" t="s">
        <v>133</v>
      </c>
      <c r="H357" s="20" t="s">
        <v>211</v>
      </c>
      <c r="I357" t="s">
        <v>65</v>
      </c>
      <c r="J357" s="30">
        <v>5</v>
      </c>
      <c r="K357" s="22">
        <f>IF(I357="","",IF(I357="ENTRADA",ABS(J357),-ABS(J357)))</f>
        <v>-5</v>
      </c>
      <c r="L357" t="s">
        <v>37</v>
      </c>
      <c r="N357">
        <v>65138</v>
      </c>
      <c r="O357" t="s">
        <v>218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 hidden="1">
      <c r="A358" s="20" t="s">
        <v>612</v>
      </c>
      <c r="B358" s="47">
        <v>46217</v>
      </c>
      <c r="C358" t="s">
        <v>491</v>
      </c>
      <c r="D358" t="s">
        <v>492</v>
      </c>
      <c r="E358" t="s">
        <v>493</v>
      </c>
      <c r="G358" t="s">
        <v>36</v>
      </c>
      <c r="H358" s="20" t="s">
        <v>495</v>
      </c>
      <c r="I358" t="s">
        <v>65</v>
      </c>
      <c r="J358" s="30">
        <v>240</v>
      </c>
      <c r="K358" s="22">
        <f>IF(I358="","",IF(I358="ENTRADA",ABS(J358),-ABS(J358)))</f>
        <v>-240</v>
      </c>
      <c r="L358" t="s">
        <v>37</v>
      </c>
      <c r="N358">
        <v>65138</v>
      </c>
      <c r="O358" t="s">
        <v>218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 hidden="1">
      <c r="A359" s="20" t="s">
        <v>613</v>
      </c>
      <c r="B359" s="47">
        <v>46209</v>
      </c>
      <c r="C359" t="s">
        <v>122</v>
      </c>
      <c r="D359" t="s">
        <v>123</v>
      </c>
      <c r="E359" t="s">
        <v>34</v>
      </c>
      <c r="F359" t="s">
        <v>35</v>
      </c>
      <c r="G359" t="s">
        <v>117</v>
      </c>
      <c r="H359" s="20" t="s">
        <v>203</v>
      </c>
      <c r="I359" t="s">
        <v>65</v>
      </c>
      <c r="J359" s="30">
        <v>560</v>
      </c>
      <c r="K359" s="22">
        <f>IF(I359="","",IF(I359="ENTRADA",ABS(J359),-ABS(J359)))</f>
        <v>-560</v>
      </c>
      <c r="L359" t="s">
        <v>37</v>
      </c>
      <c r="N359">
        <v>65134</v>
      </c>
      <c r="O359" t="s">
        <v>382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 hidden="1">
      <c r="A360" s="20" t="s">
        <v>614</v>
      </c>
      <c r="B360" s="47">
        <v>46209</v>
      </c>
      <c r="C360" t="s">
        <v>576</v>
      </c>
      <c r="D360" t="s">
        <v>577</v>
      </c>
      <c r="E360" t="s">
        <v>578</v>
      </c>
      <c r="G360" t="s">
        <v>158</v>
      </c>
      <c r="H360" s="20" t="s">
        <v>589</v>
      </c>
      <c r="I360" t="s">
        <v>65</v>
      </c>
      <c r="J360" s="30">
        <v>340</v>
      </c>
      <c r="K360" s="22">
        <f>IF(I360="","",IF(I360="ENTRADA",ABS(J360),-ABS(J360)))</f>
        <v>-340</v>
      </c>
      <c r="L360" t="s">
        <v>37</v>
      </c>
      <c r="N360">
        <v>65134</v>
      </c>
      <c r="O360" t="s">
        <v>382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 hidden="1">
      <c r="A361" s="20" t="s">
        <v>615</v>
      </c>
      <c r="B361" s="47">
        <v>46209</v>
      </c>
      <c r="C361" t="s">
        <v>130</v>
      </c>
      <c r="D361" t="s">
        <v>131</v>
      </c>
      <c r="E361" t="s">
        <v>132</v>
      </c>
      <c r="G361" t="s">
        <v>133</v>
      </c>
      <c r="H361" s="20" t="s">
        <v>221</v>
      </c>
      <c r="I361" t="s">
        <v>65</v>
      </c>
      <c r="J361" s="30">
        <v>90</v>
      </c>
      <c r="K361" s="22">
        <f>IF(I361="","",IF(I361="ENTRADA",ABS(J361),-ABS(J361)))</f>
        <v>-90</v>
      </c>
      <c r="L361" t="s">
        <v>37</v>
      </c>
      <c r="N361">
        <v>65134</v>
      </c>
      <c r="O361" t="s">
        <v>382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 hidden="1">
      <c r="A362" s="20" t="s">
        <v>616</v>
      </c>
      <c r="B362" s="47">
        <v>46209</v>
      </c>
      <c r="C362" t="s">
        <v>137</v>
      </c>
      <c r="D362" t="s">
        <v>138</v>
      </c>
      <c r="E362" t="s">
        <v>132</v>
      </c>
      <c r="G362" t="s">
        <v>133</v>
      </c>
      <c r="H362" s="20" t="s">
        <v>211</v>
      </c>
      <c r="I362" t="s">
        <v>65</v>
      </c>
      <c r="J362" s="30">
        <v>15</v>
      </c>
      <c r="K362" s="22">
        <f>IF(I362="","",IF(I362="ENTRADA",ABS(J362),-ABS(J362)))</f>
        <v>-15</v>
      </c>
      <c r="L362" t="s">
        <v>37</v>
      </c>
      <c r="N362">
        <v>65134</v>
      </c>
      <c r="O362" t="s">
        <v>382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 hidden="1">
      <c r="A363" s="20" t="s">
        <v>617</v>
      </c>
      <c r="B363" s="47">
        <v>46209</v>
      </c>
      <c r="C363" t="s">
        <v>580</v>
      </c>
      <c r="G363" t="s">
        <v>158</v>
      </c>
      <c r="H363" s="20" t="s">
        <v>618</v>
      </c>
      <c r="I363" t="s">
        <v>65</v>
      </c>
      <c r="J363" s="30">
        <v>10</v>
      </c>
      <c r="K363" s="22">
        <f>IF(I363="","",IF(I363="ENTRADA",ABS(J363),-ABS(J363)))</f>
        <v>-10</v>
      </c>
      <c r="L363" t="s">
        <v>37</v>
      </c>
      <c r="M363" s="47">
        <v>47146</v>
      </c>
      <c r="N363">
        <v>65134</v>
      </c>
      <c r="O363" t="s">
        <v>382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 hidden="1">
      <c r="A364" s="20" t="s">
        <v>619</v>
      </c>
      <c r="B364" s="47">
        <v>46209</v>
      </c>
      <c r="C364" s="34" t="s">
        <v>32</v>
      </c>
      <c r="D364" s="34" t="s">
        <v>105</v>
      </c>
      <c r="E364" s="34" t="s">
        <v>34</v>
      </c>
      <c r="F364" s="34" t="s">
        <v>35</v>
      </c>
      <c r="G364" s="34"/>
      <c r="H364" s="20" t="s">
        <v>106</v>
      </c>
      <c r="I364" s="34" t="s">
        <v>65</v>
      </c>
      <c r="J364" s="36">
        <v>235</v>
      </c>
      <c r="K364" s="22">
        <f>IF(I364="","",IF(I364="ENTRADA",ABS(J364),-ABS(J364)))</f>
        <v>-235</v>
      </c>
      <c r="L364" s="34" t="s">
        <v>37</v>
      </c>
      <c r="M364" s="34"/>
      <c r="N364">
        <v>65134</v>
      </c>
      <c r="O364" t="s">
        <v>382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 hidden="1">
      <c r="A365" s="20" t="s">
        <v>620</v>
      </c>
      <c r="B365" s="47">
        <v>46209</v>
      </c>
      <c r="C365" t="s">
        <v>580</v>
      </c>
      <c r="G365" t="s">
        <v>158</v>
      </c>
      <c r="H365" s="20" t="s">
        <v>618</v>
      </c>
      <c r="I365" t="s">
        <v>65</v>
      </c>
      <c r="J365" s="30">
        <v>2</v>
      </c>
      <c r="K365" s="22">
        <f>IF(I365="","",IF(I365="ENTRADA",ABS(J365),-ABS(J365)))</f>
        <v>-2</v>
      </c>
      <c r="L365" t="s">
        <v>37</v>
      </c>
      <c r="N365">
        <v>65132</v>
      </c>
      <c r="O365" t="s">
        <v>590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 hidden="1">
      <c r="A366" s="20" t="s">
        <v>621</v>
      </c>
      <c r="B366" s="47">
        <v>46218</v>
      </c>
      <c r="C366" t="s">
        <v>147</v>
      </c>
      <c r="D366" t="s">
        <v>148</v>
      </c>
      <c r="E366" t="s">
        <v>34</v>
      </c>
      <c r="F366" t="s">
        <v>35</v>
      </c>
      <c r="G366" t="s">
        <v>36</v>
      </c>
      <c r="H366" s="20" t="s">
        <v>563</v>
      </c>
      <c r="I366" t="s">
        <v>65</v>
      </c>
      <c r="J366" s="30">
        <v>60</v>
      </c>
      <c r="K366" s="22">
        <f>IF(I366="","",IF(I366="ENTRADA",ABS(J366),-ABS(J366)))</f>
        <v>-60</v>
      </c>
      <c r="L366" t="s">
        <v>37</v>
      </c>
      <c r="N366">
        <v>65139</v>
      </c>
      <c r="O366" t="s">
        <v>218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 hidden="1">
      <c r="A367" s="20" t="s">
        <v>622</v>
      </c>
      <c r="B367" s="47">
        <v>46218</v>
      </c>
      <c r="C367" t="s">
        <v>75</v>
      </c>
      <c r="D367" t="s">
        <v>76</v>
      </c>
      <c r="E367" t="s">
        <v>34</v>
      </c>
      <c r="F367" t="s">
        <v>35</v>
      </c>
      <c r="G367" t="s">
        <v>77</v>
      </c>
      <c r="H367" s="20" t="s">
        <v>94</v>
      </c>
      <c r="I367" t="s">
        <v>65</v>
      </c>
      <c r="J367" s="30">
        <v>120</v>
      </c>
      <c r="K367" s="22">
        <f>IF(I367="","",IF(I367="ENTRADA",ABS(J367),-ABS(J367)))</f>
        <v>-120</v>
      </c>
      <c r="L367" t="s">
        <v>37</v>
      </c>
      <c r="N367">
        <v>65139</v>
      </c>
      <c r="O367" t="s">
        <v>218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 hidden="1">
      <c r="A368" s="20" t="s">
        <v>623</v>
      </c>
      <c r="B368" s="47">
        <v>46218</v>
      </c>
      <c r="C368" t="s">
        <v>130</v>
      </c>
      <c r="D368" t="s">
        <v>131</v>
      </c>
      <c r="E368" t="s">
        <v>132</v>
      </c>
      <c r="G368" t="s">
        <v>133</v>
      </c>
      <c r="H368" s="20" t="s">
        <v>221</v>
      </c>
      <c r="I368" t="s">
        <v>65</v>
      </c>
      <c r="J368" s="30">
        <v>60</v>
      </c>
      <c r="K368" s="22">
        <f>IF(I368="","",IF(I368="ENTRADA",ABS(J368),-ABS(J368)))</f>
        <v>-60</v>
      </c>
      <c r="L368" t="s">
        <v>37</v>
      </c>
      <c r="N368">
        <v>65139</v>
      </c>
      <c r="O368" t="s">
        <v>218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 hidden="1">
      <c r="A369" s="20" t="s">
        <v>624</v>
      </c>
      <c r="B369" s="47">
        <v>46218</v>
      </c>
      <c r="C369" t="s">
        <v>137</v>
      </c>
      <c r="D369" t="s">
        <v>138</v>
      </c>
      <c r="E369" t="s">
        <v>132</v>
      </c>
      <c r="G369" t="s">
        <v>133</v>
      </c>
      <c r="H369" s="20" t="s">
        <v>211</v>
      </c>
      <c r="I369" t="s">
        <v>65</v>
      </c>
      <c r="J369" s="30">
        <v>12</v>
      </c>
      <c r="K369" s="22">
        <f>IF(I369="","",IF(I369="ENTRADA",ABS(J369),-ABS(J369)))</f>
        <v>-12</v>
      </c>
      <c r="L369" t="s">
        <v>37</v>
      </c>
      <c r="N369">
        <v>65139</v>
      </c>
      <c r="O369" t="s">
        <v>218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 hidden="1">
      <c r="A370" s="20" t="s">
        <v>625</v>
      </c>
      <c r="B370" s="47">
        <v>46218</v>
      </c>
      <c r="C370" t="s">
        <v>54</v>
      </c>
      <c r="D370" t="s">
        <v>55</v>
      </c>
      <c r="E370" t="s">
        <v>34</v>
      </c>
      <c r="F370" t="s">
        <v>35</v>
      </c>
      <c r="G370" t="s">
        <v>36</v>
      </c>
      <c r="H370" s="20" t="s">
        <v>97</v>
      </c>
      <c r="I370" t="s">
        <v>65</v>
      </c>
      <c r="J370" s="30">
        <v>8</v>
      </c>
      <c r="K370" s="22">
        <f>IF(I370="","",IF(I370="ENTRADA",ABS(J370),-ABS(J370)))</f>
        <v>-8</v>
      </c>
      <c r="L370" t="s">
        <v>56</v>
      </c>
      <c r="N370">
        <v>65139</v>
      </c>
      <c r="O370" t="s">
        <v>218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 hidden="1">
      <c r="A371" s="20" t="s">
        <v>626</v>
      </c>
      <c r="B371" s="47">
        <v>46219</v>
      </c>
      <c r="C371" t="s">
        <v>491</v>
      </c>
      <c r="D371" t="s">
        <v>492</v>
      </c>
      <c r="E371" t="s">
        <v>493</v>
      </c>
      <c r="G371" t="s">
        <v>36</v>
      </c>
      <c r="H371" s="20" t="s">
        <v>495</v>
      </c>
      <c r="I371" t="s">
        <v>65</v>
      </c>
      <c r="J371" s="30">
        <v>100</v>
      </c>
      <c r="K371" s="22">
        <f>IF(I371="","",IF(I371="ENTRADA",ABS(J371),-ABS(J371)))</f>
        <v>-100</v>
      </c>
      <c r="L371" t="s">
        <v>37</v>
      </c>
      <c r="N371">
        <v>65141</v>
      </c>
      <c r="O371" t="s">
        <v>237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 hidden="1">
      <c r="A372" s="20" t="s">
        <v>627</v>
      </c>
      <c r="B372" s="47">
        <v>46219</v>
      </c>
      <c r="C372" t="s">
        <v>534</v>
      </c>
      <c r="D372" t="s">
        <v>535</v>
      </c>
      <c r="E372" t="s">
        <v>34</v>
      </c>
      <c r="F372" t="s">
        <v>35</v>
      </c>
      <c r="G372" t="s">
        <v>36</v>
      </c>
      <c r="H372" s="20" t="s">
        <v>560</v>
      </c>
      <c r="I372" t="s">
        <v>65</v>
      </c>
      <c r="J372" s="30">
        <v>3</v>
      </c>
      <c r="K372" s="22">
        <f>IF(I372="","",IF(I372="ENTRADA",ABS(J372),-ABS(J372)))</f>
        <v>-3</v>
      </c>
      <c r="L372" t="s">
        <v>29</v>
      </c>
      <c r="N372">
        <v>65141</v>
      </c>
      <c r="O372" t="s">
        <v>237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 hidden="1">
      <c r="A373" s="20" t="s">
        <v>628</v>
      </c>
      <c r="B373" s="47">
        <v>46190</v>
      </c>
      <c r="C373" t="s">
        <v>629</v>
      </c>
      <c r="D373" t="s">
        <v>630</v>
      </c>
      <c r="E373" t="s">
        <v>25</v>
      </c>
      <c r="F373" t="s">
        <v>631</v>
      </c>
      <c r="G373" t="s">
        <v>158</v>
      </c>
      <c r="H373" s="20" t="str">
        <f>+T373</f>
        <v>260617-373</v>
      </c>
      <c r="I373" t="s">
        <v>28</v>
      </c>
      <c r="J373" s="30">
        <v>438</v>
      </c>
      <c r="K373" s="22">
        <f>IF(I373="","",IF(I373="ENTRADA",ABS(J373),-ABS(J373)))</f>
        <v>438</v>
      </c>
      <c r="L373" t="s">
        <v>632</v>
      </c>
      <c r="N373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maiz DK 69-62 TREENTRADA</v>
      </c>
      <c r="T373" t="str">
        <f>IF(OR(C373="",I373&lt;&gt;"ENTRADA"),"",TEXT(B373,"AAMMDD")&amp;"-"&amp;TEXT(VALUE(SUBSTITUTE(A373,"MOV-","")),"000"))</f>
        <v>260617-373</v>
      </c>
    </row>
    <row r="374" spans="1:20" hidden="1">
      <c r="A374" s="20" t="s">
        <v>633</v>
      </c>
      <c r="B374" s="47">
        <v>46190</v>
      </c>
      <c r="C374" t="s">
        <v>634</v>
      </c>
      <c r="D374" t="s">
        <v>630</v>
      </c>
      <c r="E374" t="s">
        <v>25</v>
      </c>
      <c r="F374" t="s">
        <v>631</v>
      </c>
      <c r="G374" t="s">
        <v>158</v>
      </c>
      <c r="H374" s="20" t="str">
        <f>+T374</f>
        <v>260617-374</v>
      </c>
      <c r="I374" t="s">
        <v>28</v>
      </c>
      <c r="J374" s="30">
        <v>66</v>
      </c>
      <c r="K374" s="22">
        <f>IF(I374="","",IF(I374="ENTRADA",ABS(J374),-ABS(J374)))</f>
        <v>66</v>
      </c>
      <c r="L374" t="s">
        <v>632</v>
      </c>
      <c r="N37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 refugioENTRADA</v>
      </c>
      <c r="T374" t="str">
        <f>IF(OR(C374="",I374&lt;&gt;"ENTRADA"),"",TEXT(B374,"AAMMDD")&amp;"-"&amp;TEXT(VALUE(SUBSTITUTE(A374,"MOV-","")),"000"))</f>
        <v>260617-374</v>
      </c>
    </row>
    <row r="375" spans="1:20" hidden="1">
      <c r="A375" s="20" t="s">
        <v>635</v>
      </c>
      <c r="B375" s="47">
        <v>46190</v>
      </c>
      <c r="C375" s="34" t="s">
        <v>636</v>
      </c>
      <c r="D375" s="34" t="s">
        <v>630</v>
      </c>
      <c r="E375" s="34" t="s">
        <v>25</v>
      </c>
      <c r="F375" s="34" t="s">
        <v>631</v>
      </c>
      <c r="G375" s="34" t="s">
        <v>158</v>
      </c>
      <c r="H375" s="20" t="str">
        <f>+T375</f>
        <v>260617-375</v>
      </c>
      <c r="I375" s="34" t="s">
        <v>28</v>
      </c>
      <c r="J375" s="36">
        <v>196</v>
      </c>
      <c r="K375" s="22">
        <f>IF(I375="","",IF(I375="ENTRADA",ABS(J375),-ABS(J375)))</f>
        <v>196</v>
      </c>
      <c r="L375" s="34" t="s">
        <v>632</v>
      </c>
      <c r="M375" s="34"/>
      <c r="N375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 hidden="1">
      <c r="A376" s="20" t="s">
        <v>637</v>
      </c>
      <c r="B376" s="47">
        <v>46224</v>
      </c>
      <c r="C376" t="s">
        <v>130</v>
      </c>
      <c r="D376" t="s">
        <v>131</v>
      </c>
      <c r="E376" t="s">
        <v>132</v>
      </c>
      <c r="G376" t="s">
        <v>133</v>
      </c>
      <c r="H376" s="20" t="s">
        <v>221</v>
      </c>
      <c r="I376" t="s">
        <v>65</v>
      </c>
      <c r="J376" s="30">
        <v>80</v>
      </c>
      <c r="K376" s="22">
        <f>IF(I376="","",IF(I376="ENTRADA",ABS(J376),-ABS(J376)))</f>
        <v>-80</v>
      </c>
      <c r="L376" t="s">
        <v>37</v>
      </c>
      <c r="N376">
        <v>65142</v>
      </c>
      <c r="O376" t="s">
        <v>237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 hidden="1">
      <c r="A377" s="20" t="s">
        <v>638</v>
      </c>
      <c r="B377" s="47">
        <v>46224</v>
      </c>
      <c r="C377" t="s">
        <v>137</v>
      </c>
      <c r="D377" t="s">
        <v>138</v>
      </c>
      <c r="E377" t="s">
        <v>132</v>
      </c>
      <c r="G377" t="s">
        <v>133</v>
      </c>
      <c r="H377" s="20" t="s">
        <v>211</v>
      </c>
      <c r="I377" t="s">
        <v>65</v>
      </c>
      <c r="J377" s="30">
        <v>15</v>
      </c>
      <c r="K377" s="22">
        <f>IF(I377="","",IF(I377="ENTRADA",ABS(J377),-ABS(J377)))</f>
        <v>-15</v>
      </c>
      <c r="L377" t="s">
        <v>37</v>
      </c>
      <c r="N377">
        <v>65142</v>
      </c>
      <c r="O377" t="s">
        <v>237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 hidden="1">
      <c r="A378" s="20" t="s">
        <v>639</v>
      </c>
      <c r="B378" s="47">
        <v>46227</v>
      </c>
      <c r="C378" t="s">
        <v>514</v>
      </c>
      <c r="D378" t="s">
        <v>515</v>
      </c>
      <c r="E378" t="s">
        <v>516</v>
      </c>
      <c r="G378" t="s">
        <v>117</v>
      </c>
      <c r="H378" s="20" t="s">
        <v>587</v>
      </c>
      <c r="I378" t="s">
        <v>65</v>
      </c>
      <c r="J378" s="30">
        <v>1500</v>
      </c>
      <c r="K378" s="22">
        <f>IF(I378="","",IF(I378="ENTRADA",ABS(J378),-ABS(J378)))</f>
        <v>-1500</v>
      </c>
      <c r="L378" t="s">
        <v>37</v>
      </c>
      <c r="N378">
        <v>65144</v>
      </c>
      <c r="O378" t="s">
        <v>213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 hidden="1">
      <c r="A379" s="20" t="s">
        <v>640</v>
      </c>
      <c r="B379" s="47">
        <v>46227</v>
      </c>
      <c r="C379" t="s">
        <v>491</v>
      </c>
      <c r="D379" t="s">
        <v>492</v>
      </c>
      <c r="E379" t="s">
        <v>493</v>
      </c>
      <c r="G379" t="s">
        <v>36</v>
      </c>
      <c r="H379" s="20" t="s">
        <v>495</v>
      </c>
      <c r="I379" t="s">
        <v>65</v>
      </c>
      <c r="J379" s="30">
        <v>1000</v>
      </c>
      <c r="K379" s="22">
        <f>IF(I379="","",IF(I379="ENTRADA",ABS(J379),-ABS(J379)))</f>
        <v>-1000</v>
      </c>
      <c r="L379" t="s">
        <v>37</v>
      </c>
      <c r="N379">
        <v>65144</v>
      </c>
      <c r="O379" t="s">
        <v>213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 hidden="1">
      <c r="A380" s="20" t="s">
        <v>641</v>
      </c>
      <c r="B380" s="47">
        <v>46230</v>
      </c>
      <c r="C380" t="s">
        <v>122</v>
      </c>
      <c r="D380" t="s">
        <v>123</v>
      </c>
      <c r="E380" t="s">
        <v>34</v>
      </c>
      <c r="F380" t="s">
        <v>35</v>
      </c>
      <c r="G380" t="s">
        <v>117</v>
      </c>
      <c r="H380" s="20" t="str">
        <f>+T380</f>
        <v>260727-380</v>
      </c>
      <c r="I380" t="s">
        <v>28</v>
      </c>
      <c r="J380" s="30">
        <v>1280</v>
      </c>
      <c r="K380" s="22">
        <f>IF(I380="","",IF(I380="ENTRADA",ABS(J380),-ABS(J380)))</f>
        <v>1280</v>
      </c>
      <c r="L380" t="s">
        <v>37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 hidden="1">
      <c r="A381" s="20" t="s">
        <v>642</v>
      </c>
      <c r="B381" s="47">
        <v>46230</v>
      </c>
      <c r="C381" t="s">
        <v>115</v>
      </c>
      <c r="D381" t="s">
        <v>116</v>
      </c>
      <c r="E381" t="s">
        <v>34</v>
      </c>
      <c r="F381" t="s">
        <v>35</v>
      </c>
      <c r="G381" t="s">
        <v>117</v>
      </c>
      <c r="H381" s="20" t="str">
        <f>+T381</f>
        <v>260727-381</v>
      </c>
      <c r="I381" t="s">
        <v>28</v>
      </c>
      <c r="J381" s="30">
        <v>20400</v>
      </c>
      <c r="K381" s="22">
        <f>IF(I381="","",IF(I381="ENTRADA",ABS(J381),-ABS(J381)))</f>
        <v>20400</v>
      </c>
      <c r="L381" t="s">
        <v>37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 hidden="1">
      <c r="A382" s="20" t="s">
        <v>643</v>
      </c>
      <c r="B382" s="47">
        <v>46230</v>
      </c>
      <c r="C382" t="s">
        <v>491</v>
      </c>
      <c r="D382" t="s">
        <v>492</v>
      </c>
      <c r="E382" t="s">
        <v>493</v>
      </c>
      <c r="G382" t="s">
        <v>36</v>
      </c>
      <c r="H382" s="20" t="s">
        <v>495</v>
      </c>
      <c r="I382" t="s">
        <v>65</v>
      </c>
      <c r="J382" s="30">
        <v>800</v>
      </c>
      <c r="K382" s="22">
        <f>IF(I382="","",IF(I382="ENTRADA",ABS(J382),-ABS(J382)))</f>
        <v>-800</v>
      </c>
      <c r="L382" t="s">
        <v>37</v>
      </c>
      <c r="N382">
        <v>65145</v>
      </c>
      <c r="O382" t="s">
        <v>387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 hidden="1">
      <c r="A383" s="20" t="s">
        <v>644</v>
      </c>
      <c r="B383" s="47">
        <v>46227</v>
      </c>
      <c r="C383" t="s">
        <v>514</v>
      </c>
      <c r="D383" t="s">
        <v>515</v>
      </c>
      <c r="E383" t="s">
        <v>516</v>
      </c>
      <c r="G383" t="s">
        <v>117</v>
      </c>
      <c r="H383" s="20" t="s">
        <v>587</v>
      </c>
      <c r="I383" t="s">
        <v>65</v>
      </c>
      <c r="J383" s="30">
        <v>340</v>
      </c>
      <c r="K383" s="22">
        <f>IF(I383="","",IF(I383="ENTRADA",ABS(J383),-ABS(J383)))</f>
        <v>-340</v>
      </c>
      <c r="L383" t="s">
        <v>37</v>
      </c>
      <c r="N383">
        <v>65143</v>
      </c>
      <c r="O383" t="s">
        <v>218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 hidden="1">
      <c r="A384" s="20" t="s">
        <v>645</v>
      </c>
      <c r="B384" s="47">
        <v>46227</v>
      </c>
      <c r="C384" t="s">
        <v>491</v>
      </c>
      <c r="D384" t="s">
        <v>492</v>
      </c>
      <c r="E384" t="s">
        <v>493</v>
      </c>
      <c r="G384" t="s">
        <v>36</v>
      </c>
      <c r="H384" s="20" t="s">
        <v>495</v>
      </c>
      <c r="I384" t="s">
        <v>65</v>
      </c>
      <c r="J384" s="30">
        <v>1100</v>
      </c>
      <c r="K384" s="22">
        <f>IF(I384="","",IF(I384="ENTRADA",ABS(J384),-ABS(J384)))</f>
        <v>-1100</v>
      </c>
      <c r="L384" t="s">
        <v>37</v>
      </c>
      <c r="N384">
        <v>65143</v>
      </c>
      <c r="O384" t="s">
        <v>218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 hidden="1">
      <c r="A385" s="20" t="s">
        <v>646</v>
      </c>
      <c r="B385" s="47">
        <v>46232</v>
      </c>
      <c r="C385" t="s">
        <v>514</v>
      </c>
      <c r="D385" t="s">
        <v>515</v>
      </c>
      <c r="E385" t="s">
        <v>516</v>
      </c>
      <c r="G385" t="s">
        <v>117</v>
      </c>
      <c r="H385" s="20" t="s">
        <v>587</v>
      </c>
      <c r="I385" t="s">
        <v>65</v>
      </c>
      <c r="J385" s="30">
        <v>1000</v>
      </c>
      <c r="K385" s="22">
        <f>IF(I385="","",IF(I385="ENTRADA",ABS(J385),-ABS(J385)))</f>
        <v>-1000</v>
      </c>
      <c r="L385" t="s">
        <v>37</v>
      </c>
      <c r="N385">
        <v>65146</v>
      </c>
      <c r="O385" t="s">
        <v>309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 hidden="1">
      <c r="A386" s="20" t="s">
        <v>647</v>
      </c>
      <c r="B386" s="47">
        <v>46232</v>
      </c>
      <c r="C386" s="34" t="s">
        <v>524</v>
      </c>
      <c r="D386" t="s">
        <v>525</v>
      </c>
      <c r="E386" s="34" t="s">
        <v>516</v>
      </c>
      <c r="F386" s="34"/>
      <c r="G386" s="34" t="s">
        <v>158</v>
      </c>
      <c r="H386" s="20" t="s">
        <v>553</v>
      </c>
      <c r="I386" s="34" t="s">
        <v>65</v>
      </c>
      <c r="J386" s="36">
        <v>360</v>
      </c>
      <c r="K386" s="22">
        <f>IF(I386="","",IF(I386="ENTRADA",ABS(J386),-ABS(J386)))</f>
        <v>-360</v>
      </c>
      <c r="L386" s="34" t="s">
        <v>37</v>
      </c>
      <c r="M386" s="34"/>
      <c r="N386">
        <v>65146</v>
      </c>
      <c r="O386" t="s">
        <v>309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 hidden="1">
      <c r="A387" s="20" t="s">
        <v>648</v>
      </c>
      <c r="B387" s="47">
        <v>46232</v>
      </c>
      <c r="C387" t="s">
        <v>130</v>
      </c>
      <c r="D387" t="s">
        <v>131</v>
      </c>
      <c r="E387" t="s">
        <v>132</v>
      </c>
      <c r="G387" t="s">
        <v>133</v>
      </c>
      <c r="H387" s="20" t="s">
        <v>221</v>
      </c>
      <c r="I387" t="s">
        <v>65</v>
      </c>
      <c r="J387" s="30">
        <v>300</v>
      </c>
      <c r="K387" s="22">
        <f>IF(I387="","",IF(I387="ENTRADA",ABS(J387),-ABS(J387)))</f>
        <v>-300</v>
      </c>
      <c r="L387" t="s">
        <v>37</v>
      </c>
      <c r="N387">
        <v>65146</v>
      </c>
      <c r="O387" t="s">
        <v>309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 hidden="1">
      <c r="A388" s="20" t="s">
        <v>649</v>
      </c>
      <c r="B388" s="47">
        <v>46232</v>
      </c>
      <c r="C388" t="s">
        <v>137</v>
      </c>
      <c r="D388" t="s">
        <v>138</v>
      </c>
      <c r="E388" t="s">
        <v>132</v>
      </c>
      <c r="G388" t="s">
        <v>133</v>
      </c>
      <c r="H388" s="20" t="s">
        <v>211</v>
      </c>
      <c r="I388" t="s">
        <v>65</v>
      </c>
      <c r="J388" s="30">
        <v>30</v>
      </c>
      <c r="K388" s="22">
        <f>IF(I388="","",IF(I388="ENTRADA",ABS(J388),-ABS(J388)))</f>
        <v>-30</v>
      </c>
      <c r="L388" t="s">
        <v>37</v>
      </c>
      <c r="N388">
        <v>65146</v>
      </c>
      <c r="O388" t="s">
        <v>309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 hidden="1">
      <c r="A389" s="20" t="s">
        <v>650</v>
      </c>
      <c r="B389" s="47">
        <v>46232</v>
      </c>
      <c r="C389" t="s">
        <v>54</v>
      </c>
      <c r="D389" t="s">
        <v>55</v>
      </c>
      <c r="E389" t="s">
        <v>34</v>
      </c>
      <c r="F389" t="s">
        <v>35</v>
      </c>
      <c r="G389" t="s">
        <v>36</v>
      </c>
      <c r="H389" s="20" t="str">
        <f>+T389</f>
        <v>260729-389</v>
      </c>
      <c r="I389" t="s">
        <v>28</v>
      </c>
      <c r="J389" s="30">
        <v>10</v>
      </c>
      <c r="K389" s="22">
        <f>IF(I389="","",IF(I389="ENTRADA",ABS(J389),-ABS(J389)))</f>
        <v>10</v>
      </c>
      <c r="L389" t="s">
        <v>651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 hidden="1">
      <c r="A390" s="20" t="s">
        <v>652</v>
      </c>
      <c r="B390" s="47">
        <v>46232</v>
      </c>
      <c r="C390" t="s">
        <v>491</v>
      </c>
      <c r="D390" t="s">
        <v>492</v>
      </c>
      <c r="E390" t="s">
        <v>493</v>
      </c>
      <c r="G390" t="s">
        <v>36</v>
      </c>
      <c r="H390" s="20" t="s">
        <v>495</v>
      </c>
      <c r="I390" t="s">
        <v>65</v>
      </c>
      <c r="J390" s="30">
        <v>1920</v>
      </c>
      <c r="K390" s="22">
        <f>IF(I390="","",IF(I390="ENTRADA",ABS(J390),-ABS(J390)))</f>
        <v>-1920</v>
      </c>
      <c r="L390" t="s">
        <v>37</v>
      </c>
      <c r="N390">
        <v>65147</v>
      </c>
      <c r="O390" t="s">
        <v>213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 hidden="1">
      <c r="A391" s="20" t="s">
        <v>653</v>
      </c>
      <c r="B391" s="47">
        <v>46232</v>
      </c>
      <c r="C391" t="s">
        <v>130</v>
      </c>
      <c r="D391" t="s">
        <v>131</v>
      </c>
      <c r="E391" t="s">
        <v>132</v>
      </c>
      <c r="G391" t="s">
        <v>133</v>
      </c>
      <c r="H391" s="20" t="s">
        <v>221</v>
      </c>
      <c r="I391" t="s">
        <v>65</v>
      </c>
      <c r="J391" s="30">
        <v>150</v>
      </c>
      <c r="K391" s="22">
        <f>IF(I391="","",IF(I391="ENTRADA",ABS(J391),-ABS(J391)))</f>
        <v>-150</v>
      </c>
      <c r="L391" t="s">
        <v>37</v>
      </c>
      <c r="N391">
        <v>65148</v>
      </c>
      <c r="O391" t="s">
        <v>213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 hidden="1">
      <c r="A392" s="20" t="s">
        <v>654</v>
      </c>
      <c r="B392" s="47">
        <v>46232</v>
      </c>
      <c r="C392" t="s">
        <v>524</v>
      </c>
      <c r="D392" t="s">
        <v>525</v>
      </c>
      <c r="E392" t="s">
        <v>516</v>
      </c>
      <c r="G392" t="s">
        <v>77</v>
      </c>
      <c r="H392" s="20" t="s">
        <v>553</v>
      </c>
      <c r="I392" t="s">
        <v>65</v>
      </c>
      <c r="J392" s="30">
        <v>400</v>
      </c>
      <c r="K392" s="22">
        <f>IF(I392="","",IF(I392="ENTRADA",ABS(J392),-ABS(J392)))</f>
        <v>-400</v>
      </c>
      <c r="L392" t="s">
        <v>37</v>
      </c>
      <c r="N392">
        <v>65148</v>
      </c>
      <c r="O392" t="s">
        <v>213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 hidden="1">
      <c r="A393" s="20" t="s">
        <v>655</v>
      </c>
      <c r="B393" s="47">
        <v>46232</v>
      </c>
      <c r="C393" t="s">
        <v>656</v>
      </c>
      <c r="D393" t="s">
        <v>657</v>
      </c>
      <c r="E393" t="s">
        <v>132</v>
      </c>
      <c r="G393" t="s">
        <v>133</v>
      </c>
      <c r="H393" s="20" t="str">
        <f>+T393</f>
        <v>260729-393</v>
      </c>
      <c r="I393" t="s">
        <v>28</v>
      </c>
      <c r="J393" s="30">
        <v>500</v>
      </c>
      <c r="K393" s="22">
        <f>IF(I393="","",IF(I393="ENTRADA",ABS(J393),-ABS(J393)))</f>
        <v>500</v>
      </c>
      <c r="L393" t="s">
        <v>37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 hidden="1">
      <c r="A394" s="20" t="s">
        <v>658</v>
      </c>
      <c r="B394" s="47">
        <v>46232</v>
      </c>
      <c r="C394" t="s">
        <v>656</v>
      </c>
      <c r="D394" t="s">
        <v>657</v>
      </c>
      <c r="E394" t="s">
        <v>132</v>
      </c>
      <c r="G394" t="s">
        <v>133</v>
      </c>
      <c r="H394" s="20" t="s">
        <v>659</v>
      </c>
      <c r="I394" t="s">
        <v>65</v>
      </c>
      <c r="J394" s="30">
        <v>20</v>
      </c>
      <c r="K394" s="22">
        <f>IF(I394="","",IF(I394="ENTRADA",ABS(J394),-ABS(J394)))</f>
        <v>-20</v>
      </c>
      <c r="L394" t="s">
        <v>37</v>
      </c>
      <c r="N394">
        <v>65150</v>
      </c>
      <c r="O394" t="s">
        <v>66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 hidden="1">
      <c r="A395" s="20" t="s">
        <v>660</v>
      </c>
      <c r="B395" s="47">
        <v>46232</v>
      </c>
      <c r="C395" t="s">
        <v>54</v>
      </c>
      <c r="D395" t="s">
        <v>55</v>
      </c>
      <c r="E395" t="s">
        <v>34</v>
      </c>
      <c r="F395" t="s">
        <v>35</v>
      </c>
      <c r="G395" t="s">
        <v>36</v>
      </c>
      <c r="H395" s="20" t="s">
        <v>661</v>
      </c>
      <c r="I395" t="s">
        <v>65</v>
      </c>
      <c r="J395" s="30">
        <v>10</v>
      </c>
      <c r="K395" s="22">
        <f>IF(I395="","",IF(I395="ENTRADA",ABS(J395),-ABS(J395)))</f>
        <v>-10</v>
      </c>
      <c r="L395" t="s">
        <v>37</v>
      </c>
      <c r="N395">
        <v>65150</v>
      </c>
      <c r="O395" t="s">
        <v>66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 hidden="1">
      <c r="A396" s="20" t="s">
        <v>662</v>
      </c>
      <c r="B396" s="47">
        <v>46233</v>
      </c>
      <c r="C396" t="s">
        <v>514</v>
      </c>
      <c r="D396" t="s">
        <v>515</v>
      </c>
      <c r="E396" t="s">
        <v>516</v>
      </c>
      <c r="G396" t="s">
        <v>117</v>
      </c>
      <c r="H396" s="20" t="str">
        <f>+T396</f>
        <v>260730-396</v>
      </c>
      <c r="I396" t="s">
        <v>28</v>
      </c>
      <c r="J396" s="30">
        <v>2000</v>
      </c>
      <c r="K396" s="22">
        <f>IF(I396="","",IF(I396="ENTRADA",ABS(J396),-ABS(J396)))</f>
        <v>2000</v>
      </c>
      <c r="L396" t="s">
        <v>37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 hidden="1">
      <c r="A397" s="20" t="s">
        <v>663</v>
      </c>
      <c r="B397" s="47">
        <v>46233</v>
      </c>
      <c r="C397" s="34" t="s">
        <v>514</v>
      </c>
      <c r="D397" s="34" t="s">
        <v>515</v>
      </c>
      <c r="E397" s="34" t="s">
        <v>516</v>
      </c>
      <c r="F397" s="34"/>
      <c r="G397" s="34" t="s">
        <v>117</v>
      </c>
      <c r="H397" s="20" t="s">
        <v>664</v>
      </c>
      <c r="I397" s="34" t="s">
        <v>65</v>
      </c>
      <c r="J397" s="36">
        <v>150</v>
      </c>
      <c r="K397" s="22">
        <f>IF(I397="","",IF(I397="ENTRADA",ABS(J397),-ABS(J397)))</f>
        <v>-150</v>
      </c>
      <c r="L397" s="34" t="s">
        <v>37</v>
      </c>
      <c r="M397" s="34"/>
      <c r="N397">
        <v>65149</v>
      </c>
      <c r="O397" s="34" t="s">
        <v>387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 hidden="1">
      <c r="A398" s="20" t="s">
        <v>665</v>
      </c>
      <c r="B398" s="47">
        <v>46233</v>
      </c>
      <c r="C398" t="s">
        <v>491</v>
      </c>
      <c r="D398" t="s">
        <v>492</v>
      </c>
      <c r="E398" t="s">
        <v>493</v>
      </c>
      <c r="G398" t="s">
        <v>36</v>
      </c>
      <c r="H398" s="20" t="s">
        <v>495</v>
      </c>
      <c r="I398" t="s">
        <v>65</v>
      </c>
      <c r="J398" s="30">
        <v>480</v>
      </c>
      <c r="K398" s="22">
        <f>IF(I398="","",IF(I398="ENTRADA",ABS(J398),-ABS(J398)))</f>
        <v>-480</v>
      </c>
      <c r="L398" t="s">
        <v>37</v>
      </c>
      <c r="N398">
        <v>65149</v>
      </c>
      <c r="O398" t="s">
        <v>387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 hidden="1">
      <c r="A399" s="20" t="s">
        <v>666</v>
      </c>
      <c r="B399" s="47">
        <v>46233</v>
      </c>
      <c r="C399" t="s">
        <v>283</v>
      </c>
      <c r="D399" t="s">
        <v>284</v>
      </c>
      <c r="E399" t="s">
        <v>285</v>
      </c>
      <c r="F399" t="s">
        <v>286</v>
      </c>
      <c r="G399" t="s">
        <v>83</v>
      </c>
      <c r="H399" s="20" t="str">
        <f>+T399</f>
        <v>260730-399</v>
      </c>
      <c r="I399" t="s">
        <v>28</v>
      </c>
      <c r="J399" s="30">
        <v>24480</v>
      </c>
      <c r="K399" s="22">
        <f>IF(I399="","",IF(I399="ENTRADA",ABS(J399),-ABS(J399)))</f>
        <v>24480</v>
      </c>
      <c r="L399" t="s">
        <v>37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 hidden="1">
      <c r="A400" s="20" t="s">
        <v>667</v>
      </c>
      <c r="B400" s="47">
        <v>46238</v>
      </c>
      <c r="C400" t="s">
        <v>115</v>
      </c>
      <c r="D400" t="s">
        <v>116</v>
      </c>
      <c r="E400" t="s">
        <v>34</v>
      </c>
      <c r="F400" t="s">
        <v>35</v>
      </c>
      <c r="G400" t="s">
        <v>117</v>
      </c>
      <c r="H400" s="20" t="s">
        <v>668</v>
      </c>
      <c r="I400" t="s">
        <v>65</v>
      </c>
      <c r="J400" s="30">
        <v>600</v>
      </c>
      <c r="K400" s="22">
        <f>IF(I400="","",IF(I400="ENTRADA",ABS(J400),-ABS(J400)))</f>
        <v>-600</v>
      </c>
      <c r="L400" t="s">
        <v>37</v>
      </c>
      <c r="N400">
        <v>65151</v>
      </c>
      <c r="O400" t="s">
        <v>218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 hidden="1">
      <c r="A401" s="20" t="s">
        <v>669</v>
      </c>
      <c r="B401" s="47">
        <v>46238</v>
      </c>
      <c r="C401" t="s">
        <v>122</v>
      </c>
      <c r="D401" t="s">
        <v>123</v>
      </c>
      <c r="E401" t="s">
        <v>34</v>
      </c>
      <c r="F401" t="s">
        <v>35</v>
      </c>
      <c r="G401" t="s">
        <v>117</v>
      </c>
      <c r="H401" s="20" t="s">
        <v>203</v>
      </c>
      <c r="I401" t="s">
        <v>65</v>
      </c>
      <c r="J401" s="30">
        <v>160</v>
      </c>
      <c r="K401" s="22">
        <f>IF(I401="","",IF(I401="ENTRADA",ABS(J401),-ABS(J401)))</f>
        <v>-160</v>
      </c>
      <c r="L401" t="s">
        <v>37</v>
      </c>
      <c r="N401">
        <v>65151</v>
      </c>
      <c r="O401" t="s">
        <v>218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 hidden="1">
      <c r="A402" s="20" t="s">
        <v>670</v>
      </c>
      <c r="B402" s="47">
        <v>46238</v>
      </c>
      <c r="C402" t="s">
        <v>137</v>
      </c>
      <c r="D402" t="s">
        <v>138</v>
      </c>
      <c r="E402" t="s">
        <v>132</v>
      </c>
      <c r="G402" t="s">
        <v>133</v>
      </c>
      <c r="H402" s="20" t="s">
        <v>211</v>
      </c>
      <c r="I402" t="s">
        <v>65</v>
      </c>
      <c r="J402" s="30">
        <v>3</v>
      </c>
      <c r="K402" s="22">
        <f>IF(I402="","",IF(I402="ENTRADA",ABS(J402),-ABS(J402)))</f>
        <v>-3</v>
      </c>
      <c r="L402" t="s">
        <v>37</v>
      </c>
      <c r="N402">
        <v>65151</v>
      </c>
      <c r="O402" t="s">
        <v>218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 hidden="1">
      <c r="A403" s="20" t="s">
        <v>671</v>
      </c>
      <c r="B403" s="47">
        <v>46238</v>
      </c>
      <c r="C403" t="s">
        <v>656</v>
      </c>
      <c r="D403" t="s">
        <v>657</v>
      </c>
      <c r="E403" t="s">
        <v>132</v>
      </c>
      <c r="G403" t="s">
        <v>133</v>
      </c>
      <c r="H403" s="20" t="s">
        <v>659</v>
      </c>
      <c r="I403" t="s">
        <v>65</v>
      </c>
      <c r="J403" s="30">
        <v>15</v>
      </c>
      <c r="K403" s="22">
        <f>IF(I403="","",IF(I403="ENTRADA",ABS(J403),-ABS(J403)))</f>
        <v>-15</v>
      </c>
      <c r="L403" t="s">
        <v>37</v>
      </c>
      <c r="N403">
        <v>65151</v>
      </c>
      <c r="O403" t="s">
        <v>218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 hidden="1">
      <c r="A404" s="20" t="s">
        <v>672</v>
      </c>
      <c r="B404" s="47">
        <v>46238</v>
      </c>
      <c r="C404" t="s">
        <v>75</v>
      </c>
      <c r="D404" t="s">
        <v>76</v>
      </c>
      <c r="E404" t="s">
        <v>34</v>
      </c>
      <c r="F404" t="s">
        <v>35</v>
      </c>
      <c r="G404" t="s">
        <v>77</v>
      </c>
      <c r="H404" s="20" t="s">
        <v>94</v>
      </c>
      <c r="I404" t="s">
        <v>65</v>
      </c>
      <c r="J404" s="30">
        <v>240</v>
      </c>
      <c r="K404" s="22">
        <f>IF(I404="","",IF(I404="ENTRADA",ABS(J404),-ABS(J404)))</f>
        <v>-240</v>
      </c>
      <c r="L404" t="s">
        <v>37</v>
      </c>
      <c r="N404">
        <v>65151</v>
      </c>
      <c r="O404" t="s">
        <v>218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 hidden="1">
      <c r="A405" s="20" t="s">
        <v>673</v>
      </c>
      <c r="B405" s="47">
        <v>46240</v>
      </c>
      <c r="C405" t="s">
        <v>524</v>
      </c>
      <c r="D405" t="s">
        <v>525</v>
      </c>
      <c r="E405" t="s">
        <v>516</v>
      </c>
      <c r="G405" t="s">
        <v>158</v>
      </c>
      <c r="H405" s="20" t="s">
        <v>553</v>
      </c>
      <c r="I405" t="s">
        <v>65</v>
      </c>
      <c r="J405" s="30">
        <v>480</v>
      </c>
      <c r="K405" s="22">
        <f>IF(I405="","",IF(I405="ENTRADA",ABS(J405),-ABS(J405)))</f>
        <v>-480</v>
      </c>
      <c r="L405" t="s">
        <v>37</v>
      </c>
      <c r="N405">
        <v>65152</v>
      </c>
      <c r="O405" t="s">
        <v>382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 hidden="1">
      <c r="A406" s="20" t="s">
        <v>674</v>
      </c>
      <c r="B406" s="47">
        <v>46240</v>
      </c>
      <c r="C406" t="s">
        <v>491</v>
      </c>
      <c r="D406" t="s">
        <v>492</v>
      </c>
      <c r="E406" t="s">
        <v>493</v>
      </c>
      <c r="G406" t="s">
        <v>36</v>
      </c>
      <c r="H406" s="20" t="s">
        <v>495</v>
      </c>
      <c r="I406" t="s">
        <v>65</v>
      </c>
      <c r="J406" s="30">
        <v>2000</v>
      </c>
      <c r="K406" s="22">
        <f>IF(I406="","",IF(I406="ENTRADA",ABS(J406),-ABS(J406)))</f>
        <v>-2000</v>
      </c>
      <c r="L406" t="s">
        <v>37</v>
      </c>
      <c r="N406">
        <v>65152</v>
      </c>
      <c r="O406" t="s">
        <v>382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 hidden="1">
      <c r="A407" s="20" t="s">
        <v>675</v>
      </c>
      <c r="B407" s="47">
        <v>46240</v>
      </c>
      <c r="C407" t="s">
        <v>656</v>
      </c>
      <c r="D407" t="s">
        <v>657</v>
      </c>
      <c r="E407" t="s">
        <v>132</v>
      </c>
      <c r="G407" t="s">
        <v>133</v>
      </c>
      <c r="H407" s="20" t="s">
        <v>659</v>
      </c>
      <c r="I407" t="s">
        <v>65</v>
      </c>
      <c r="J407" s="30">
        <v>120</v>
      </c>
      <c r="K407" s="22">
        <f>IF(I407="","",IF(I407="ENTRADA",ABS(J407),-ABS(J407)))</f>
        <v>-120</v>
      </c>
      <c r="L407" t="s">
        <v>37</v>
      </c>
      <c r="N407">
        <v>65152</v>
      </c>
      <c r="O407" t="s">
        <v>382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 hidden="1">
      <c r="A408" s="20" t="s">
        <v>676</v>
      </c>
      <c r="B408" s="47">
        <v>46242</v>
      </c>
      <c r="C408" s="34" t="s">
        <v>115</v>
      </c>
      <c r="D408" s="34" t="s">
        <v>116</v>
      </c>
      <c r="E408" s="34" t="s">
        <v>34</v>
      </c>
      <c r="F408" s="34" t="s">
        <v>35</v>
      </c>
      <c r="G408" s="34" t="s">
        <v>117</v>
      </c>
      <c r="H408" s="20" t="s">
        <v>668</v>
      </c>
      <c r="I408" s="34" t="s">
        <v>65</v>
      </c>
      <c r="J408" s="36">
        <v>960</v>
      </c>
      <c r="K408" s="22">
        <f>IF(I408="","",IF(I408="ENTRADA",ABS(J408),-ABS(J408)))</f>
        <v>-960</v>
      </c>
      <c r="L408" s="34" t="s">
        <v>37</v>
      </c>
      <c r="M408" s="34"/>
      <c r="N408">
        <v>65153</v>
      </c>
      <c r="O408" s="34" t="s">
        <v>213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 hidden="1">
      <c r="A409" s="20" t="s">
        <v>677</v>
      </c>
      <c r="B409" s="47">
        <v>46242</v>
      </c>
      <c r="C409" t="s">
        <v>90</v>
      </c>
      <c r="D409" t="s">
        <v>91</v>
      </c>
      <c r="E409" t="s">
        <v>34</v>
      </c>
      <c r="F409" t="s">
        <v>35</v>
      </c>
      <c r="G409" t="s">
        <v>36</v>
      </c>
      <c r="H409" s="20" t="s">
        <v>375</v>
      </c>
      <c r="I409" t="s">
        <v>65</v>
      </c>
      <c r="J409" s="30">
        <v>200</v>
      </c>
      <c r="K409" s="22">
        <f>IF(I409="","",IF(I409="ENTRADA",ABS(J409),-ABS(J409)))</f>
        <v>-200</v>
      </c>
      <c r="L409" t="s">
        <v>37</v>
      </c>
      <c r="N409">
        <v>65153</v>
      </c>
      <c r="O409" t="s">
        <v>213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 hidden="1">
      <c r="A410" s="20" t="s">
        <v>678</v>
      </c>
      <c r="B410" s="47">
        <v>46242</v>
      </c>
      <c r="C410" t="s">
        <v>122</v>
      </c>
      <c r="D410" t="s">
        <v>123</v>
      </c>
      <c r="E410" t="s">
        <v>34</v>
      </c>
      <c r="F410" t="s">
        <v>35</v>
      </c>
      <c r="G410" t="s">
        <v>117</v>
      </c>
      <c r="H410" s="20" t="s">
        <v>203</v>
      </c>
      <c r="I410" t="s">
        <v>65</v>
      </c>
      <c r="J410" s="30">
        <v>920</v>
      </c>
      <c r="K410" s="22">
        <f>IF(I410="","",IF(I410="ENTRADA",ABS(J410),-ABS(J410)))</f>
        <v>-920</v>
      </c>
      <c r="L410" t="s">
        <v>37</v>
      </c>
      <c r="N410">
        <v>65153</v>
      </c>
      <c r="O410" t="s">
        <v>213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 hidden="1">
      <c r="A411" s="20" t="s">
        <v>679</v>
      </c>
      <c r="B411" s="47">
        <v>46242</v>
      </c>
      <c r="C411" t="s">
        <v>491</v>
      </c>
      <c r="D411" t="s">
        <v>492</v>
      </c>
      <c r="E411" t="s">
        <v>493</v>
      </c>
      <c r="G411" t="s">
        <v>36</v>
      </c>
      <c r="H411" s="20" t="s">
        <v>495</v>
      </c>
      <c r="I411" t="s">
        <v>65</v>
      </c>
      <c r="J411" s="30">
        <v>1260</v>
      </c>
      <c r="K411" s="22">
        <f>IF(I411="","",IF(I411="ENTRADA",ABS(J411),-ABS(J411)))</f>
        <v>-1260</v>
      </c>
      <c r="L411" t="s">
        <v>37</v>
      </c>
      <c r="N411">
        <v>65154</v>
      </c>
      <c r="O411" t="s">
        <v>382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 hidden="1">
      <c r="A412" s="20" t="s">
        <v>680</v>
      </c>
      <c r="B412" s="47">
        <v>46242</v>
      </c>
      <c r="C412" t="s">
        <v>524</v>
      </c>
      <c r="D412" t="s">
        <v>525</v>
      </c>
      <c r="E412" t="s">
        <v>516</v>
      </c>
      <c r="G412" t="s">
        <v>158</v>
      </c>
      <c r="H412" s="20" t="s">
        <v>553</v>
      </c>
      <c r="I412" t="s">
        <v>65</v>
      </c>
      <c r="J412" s="30">
        <v>300</v>
      </c>
      <c r="K412" s="22">
        <f>IF(I412="","",IF(I412="ENTRADA",ABS(J412),-ABS(J412)))</f>
        <v>-300</v>
      </c>
      <c r="L412" t="s">
        <v>37</v>
      </c>
      <c r="N412">
        <v>65154</v>
      </c>
      <c r="O412" t="s">
        <v>382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 hidden="1">
      <c r="A413" s="20" t="s">
        <v>681</v>
      </c>
      <c r="B413" s="47">
        <v>46242</v>
      </c>
      <c r="C413" t="s">
        <v>656</v>
      </c>
      <c r="D413" t="s">
        <v>657</v>
      </c>
      <c r="E413" t="s">
        <v>132</v>
      </c>
      <c r="G413" t="s">
        <v>133</v>
      </c>
      <c r="H413" s="20" t="s">
        <v>659</v>
      </c>
      <c r="I413" t="s">
        <v>65</v>
      </c>
      <c r="J413" s="30">
        <v>60</v>
      </c>
      <c r="K413" s="22">
        <f>IF(I413="","",IF(I413="ENTRADA",ABS(J413),-ABS(J413)))</f>
        <v>-60</v>
      </c>
      <c r="L413" t="s">
        <v>37</v>
      </c>
      <c r="N413">
        <v>65154</v>
      </c>
      <c r="O413" t="s">
        <v>382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 hidden="1">
      <c r="A414" s="20" t="s">
        <v>682</v>
      </c>
      <c r="B414" s="47">
        <v>46242</v>
      </c>
      <c r="C414" t="s">
        <v>147</v>
      </c>
      <c r="D414" t="s">
        <v>148</v>
      </c>
      <c r="E414" t="s">
        <v>34</v>
      </c>
      <c r="F414" t="s">
        <v>35</v>
      </c>
      <c r="G414" t="s">
        <v>36</v>
      </c>
      <c r="H414" s="20" t="s">
        <v>563</v>
      </c>
      <c r="I414" t="s">
        <v>65</v>
      </c>
      <c r="J414" s="30">
        <v>160</v>
      </c>
      <c r="K414" s="22">
        <f>IF(I414="","",IF(I414="ENTRADA",ABS(J414),-ABS(J414)))</f>
        <v>-160</v>
      </c>
      <c r="L414" t="s">
        <v>37</v>
      </c>
      <c r="N414">
        <v>65155</v>
      </c>
      <c r="O414" t="s">
        <v>218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 hidden="1">
      <c r="A415" s="20" t="s">
        <v>683</v>
      </c>
      <c r="B415" s="47">
        <v>46242</v>
      </c>
      <c r="C415" t="s">
        <v>656</v>
      </c>
      <c r="D415" t="s">
        <v>657</v>
      </c>
      <c r="E415" t="s">
        <v>132</v>
      </c>
      <c r="G415" t="s">
        <v>133</v>
      </c>
      <c r="H415" s="20" t="s">
        <v>659</v>
      </c>
      <c r="I415" t="s">
        <v>65</v>
      </c>
      <c r="J415" s="30">
        <v>15</v>
      </c>
      <c r="K415" s="22">
        <f>IF(I415="","",IF(I415="ENTRADA",ABS(J415),-ABS(J415)))</f>
        <v>-15</v>
      </c>
      <c r="L415" t="s">
        <v>37</v>
      </c>
      <c r="N415">
        <v>65155</v>
      </c>
      <c r="O415" t="s">
        <v>218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 hidden="1">
      <c r="A416" s="20" t="s">
        <v>684</v>
      </c>
      <c r="B416" s="47">
        <v>46242</v>
      </c>
      <c r="C416" t="s">
        <v>491</v>
      </c>
      <c r="D416" t="s">
        <v>492</v>
      </c>
      <c r="E416" t="s">
        <v>493</v>
      </c>
      <c r="G416" t="s">
        <v>36</v>
      </c>
      <c r="H416" s="20" t="s">
        <v>495</v>
      </c>
      <c r="I416" t="s">
        <v>65</v>
      </c>
      <c r="J416" s="30">
        <v>140</v>
      </c>
      <c r="K416" s="22">
        <f>IF(I416="","",IF(I416="ENTRADA",ABS(J416),-ABS(J416)))</f>
        <v>-140</v>
      </c>
      <c r="L416" t="s">
        <v>37</v>
      </c>
      <c r="N416">
        <v>65155</v>
      </c>
      <c r="O416" t="s">
        <v>218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 hidden="1">
      <c r="A417" s="20" t="s">
        <v>685</v>
      </c>
      <c r="B417" s="47">
        <v>46242</v>
      </c>
      <c r="C417" t="s">
        <v>137</v>
      </c>
      <c r="D417" t="s">
        <v>138</v>
      </c>
      <c r="E417" t="s">
        <v>132</v>
      </c>
      <c r="G417" t="s">
        <v>133</v>
      </c>
      <c r="H417" s="20" t="s">
        <v>211</v>
      </c>
      <c r="I417" t="s">
        <v>65</v>
      </c>
      <c r="J417" s="30">
        <v>2</v>
      </c>
      <c r="K417" s="22">
        <f>IF(I417="","",IF(I417="ENTRADA",ABS(J417),-ABS(J417)))</f>
        <v>-2</v>
      </c>
      <c r="L417" t="s">
        <v>37</v>
      </c>
      <c r="N417">
        <v>65155</v>
      </c>
      <c r="O417" t="s">
        <v>218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 hidden="1">
      <c r="A418" s="20" t="s">
        <v>686</v>
      </c>
      <c r="B418" s="47">
        <v>46202</v>
      </c>
      <c r="C418" t="s">
        <v>137</v>
      </c>
      <c r="D418" t="s">
        <v>138</v>
      </c>
      <c r="E418" t="s">
        <v>132</v>
      </c>
      <c r="G418" t="s">
        <v>133</v>
      </c>
      <c r="H418" s="20" t="s">
        <v>211</v>
      </c>
      <c r="I418" t="s">
        <v>65</v>
      </c>
      <c r="J418" s="30">
        <v>15</v>
      </c>
      <c r="K418" s="22">
        <f>IF(I418="","",IF(I418="ENTRADA",ABS(J418),-ABS(J418)))</f>
        <v>-15</v>
      </c>
      <c r="L418" t="s">
        <v>37</v>
      </c>
      <c r="N418" t="s">
        <v>687</v>
      </c>
      <c r="O418" t="s">
        <v>382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 hidden="1">
      <c r="A419" s="20" t="s">
        <v>688</v>
      </c>
      <c r="B419" s="47">
        <v>46245</v>
      </c>
      <c r="C419" s="34" t="s">
        <v>115</v>
      </c>
      <c r="D419" s="34" t="s">
        <v>116</v>
      </c>
      <c r="E419" s="34" t="s">
        <v>34</v>
      </c>
      <c r="F419" s="34" t="s">
        <v>35</v>
      </c>
      <c r="G419" s="34" t="s">
        <v>117</v>
      </c>
      <c r="H419" s="20" t="s">
        <v>120</v>
      </c>
      <c r="I419" s="34" t="s">
        <v>65</v>
      </c>
      <c r="J419" s="36">
        <v>1000</v>
      </c>
      <c r="K419" s="22">
        <f>IF(I419="","",IF(I419="ENTRADA",ABS(J419),-ABS(J419)))</f>
        <v>-1000</v>
      </c>
      <c r="L419" s="34" t="s">
        <v>37</v>
      </c>
      <c r="M419" s="34"/>
      <c r="N419">
        <v>65157</v>
      </c>
      <c r="O419" s="34" t="s">
        <v>218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 hidden="1">
      <c r="A420" s="20" t="s">
        <v>689</v>
      </c>
      <c r="B420" s="47">
        <v>46245</v>
      </c>
      <c r="C420" t="s">
        <v>122</v>
      </c>
      <c r="D420" t="s">
        <v>123</v>
      </c>
      <c r="E420" t="s">
        <v>34</v>
      </c>
      <c r="F420" t="s">
        <v>35</v>
      </c>
      <c r="G420" t="s">
        <v>117</v>
      </c>
      <c r="H420" s="20" t="s">
        <v>203</v>
      </c>
      <c r="I420" t="s">
        <v>65</v>
      </c>
      <c r="J420" s="30">
        <v>320</v>
      </c>
      <c r="K420" s="22">
        <f>IF(I420="","",IF(I420="ENTRADA",ABS(J420),-ABS(J420)))</f>
        <v>-320</v>
      </c>
      <c r="L420" t="s">
        <v>37</v>
      </c>
      <c r="N420">
        <v>65157</v>
      </c>
      <c r="O420" t="s">
        <v>218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 hidden="1">
      <c r="A421" s="20" t="s">
        <v>690</v>
      </c>
      <c r="B421" s="47">
        <v>46245</v>
      </c>
      <c r="C421" t="s">
        <v>90</v>
      </c>
      <c r="D421" t="s">
        <v>91</v>
      </c>
      <c r="E421" t="s">
        <v>34</v>
      </c>
      <c r="F421" t="s">
        <v>35</v>
      </c>
      <c r="G421" t="s">
        <v>36</v>
      </c>
      <c r="H421" s="20" t="s">
        <v>375</v>
      </c>
      <c r="I421" t="s">
        <v>65</v>
      </c>
      <c r="J421" s="30">
        <v>100</v>
      </c>
      <c r="K421" s="22">
        <f>IF(I421="","",IF(I421="ENTRADA",ABS(J421),-ABS(J421)))</f>
        <v>-100</v>
      </c>
      <c r="L421" t="s">
        <v>37</v>
      </c>
      <c r="N421">
        <v>65157</v>
      </c>
      <c r="O421" t="s">
        <v>218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 hidden="1">
      <c r="A422" s="20" t="s">
        <v>691</v>
      </c>
      <c r="B422" s="47">
        <v>46245</v>
      </c>
      <c r="C422" t="s">
        <v>130</v>
      </c>
      <c r="D422" t="s">
        <v>131</v>
      </c>
      <c r="E422" t="s">
        <v>132</v>
      </c>
      <c r="G422" t="s">
        <v>133</v>
      </c>
      <c r="H422" s="20" t="s">
        <v>221</v>
      </c>
      <c r="I422" t="s">
        <v>65</v>
      </c>
      <c r="J422" s="30">
        <v>40</v>
      </c>
      <c r="K422" s="22">
        <f>IF(I422="","",IF(I422="ENTRADA",ABS(J422),-ABS(J422)))</f>
        <v>-40</v>
      </c>
      <c r="L422" t="s">
        <v>37</v>
      </c>
      <c r="N422">
        <v>65157</v>
      </c>
      <c r="O422" t="s">
        <v>218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 hidden="1">
      <c r="A423" s="20" t="s">
        <v>692</v>
      </c>
      <c r="B423" s="47">
        <v>46245</v>
      </c>
      <c r="C423" t="s">
        <v>137</v>
      </c>
      <c r="D423" t="s">
        <v>138</v>
      </c>
      <c r="E423" t="s">
        <v>132</v>
      </c>
      <c r="G423" t="s">
        <v>133</v>
      </c>
      <c r="H423" s="20" t="s">
        <v>211</v>
      </c>
      <c r="I423" t="s">
        <v>65</v>
      </c>
      <c r="J423" s="30">
        <v>6</v>
      </c>
      <c r="K423" s="22">
        <f>IF(I423="","",IF(I423="ENTRADA",ABS(J423),-ABS(J423)))</f>
        <v>-6</v>
      </c>
      <c r="L423" t="s">
        <v>37</v>
      </c>
      <c r="N423">
        <v>65157</v>
      </c>
      <c r="O423" t="s">
        <v>218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 hidden="1">
      <c r="A424" s="20" t="s">
        <v>693</v>
      </c>
      <c r="B424" s="47">
        <v>46245</v>
      </c>
      <c r="C424" t="s">
        <v>115</v>
      </c>
      <c r="D424" t="s">
        <v>116</v>
      </c>
      <c r="E424" t="s">
        <v>34</v>
      </c>
      <c r="F424" t="s">
        <v>35</v>
      </c>
      <c r="G424" t="s">
        <v>117</v>
      </c>
      <c r="H424" s="20" t="s">
        <v>120</v>
      </c>
      <c r="I424" t="s">
        <v>65</v>
      </c>
      <c r="J424" s="30">
        <v>700</v>
      </c>
      <c r="K424" s="22">
        <f>IF(I424="","",IF(I424="ENTRADA",ABS(J424),-ABS(J424)))</f>
        <v>-700</v>
      </c>
      <c r="L424" t="s">
        <v>37</v>
      </c>
      <c r="N424">
        <v>65158</v>
      </c>
      <c r="O424" t="s">
        <v>382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 hidden="1">
      <c r="A425" s="20" t="s">
        <v>694</v>
      </c>
      <c r="B425" s="47">
        <v>46245</v>
      </c>
      <c r="C425" t="s">
        <v>122</v>
      </c>
      <c r="D425" t="s">
        <v>123</v>
      </c>
      <c r="E425" t="s">
        <v>34</v>
      </c>
      <c r="F425" t="s">
        <v>35</v>
      </c>
      <c r="G425" t="s">
        <v>117</v>
      </c>
      <c r="H425" s="20" t="s">
        <v>203</v>
      </c>
      <c r="I425" t="s">
        <v>65</v>
      </c>
      <c r="J425" s="30">
        <v>250</v>
      </c>
      <c r="K425" s="22">
        <f>IF(I425="","",IF(I425="ENTRADA",ABS(J425),-ABS(J425)))</f>
        <v>-250</v>
      </c>
      <c r="L425" t="s">
        <v>37</v>
      </c>
      <c r="N425">
        <v>65158</v>
      </c>
      <c r="O425" t="s">
        <v>382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 hidden="1">
      <c r="A426" s="20" t="s">
        <v>695</v>
      </c>
      <c r="B426" s="47">
        <v>46245</v>
      </c>
      <c r="C426" t="s">
        <v>130</v>
      </c>
      <c r="D426" t="s">
        <v>131</v>
      </c>
      <c r="E426" t="s">
        <v>132</v>
      </c>
      <c r="G426" t="s">
        <v>133</v>
      </c>
      <c r="H426" s="20" t="s">
        <v>221</v>
      </c>
      <c r="I426" t="s">
        <v>65</v>
      </c>
      <c r="J426" s="30">
        <v>20</v>
      </c>
      <c r="K426" s="22">
        <f>IF(I426="","",IF(I426="ENTRADA",ABS(J426),-ABS(J426)))</f>
        <v>-20</v>
      </c>
      <c r="L426" t="s">
        <v>37</v>
      </c>
      <c r="N426">
        <v>65158</v>
      </c>
      <c r="O426" t="s">
        <v>382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 hidden="1">
      <c r="A427" s="20" t="s">
        <v>696</v>
      </c>
      <c r="B427" s="47">
        <v>46244</v>
      </c>
      <c r="C427" t="s">
        <v>115</v>
      </c>
      <c r="D427" t="s">
        <v>116</v>
      </c>
      <c r="E427" t="s">
        <v>34</v>
      </c>
      <c r="F427" t="s">
        <v>35</v>
      </c>
      <c r="G427" t="s">
        <v>117</v>
      </c>
      <c r="H427" s="20" t="s">
        <v>120</v>
      </c>
      <c r="I427" t="s">
        <v>65</v>
      </c>
      <c r="J427" s="30">
        <v>1200</v>
      </c>
      <c r="K427" s="22">
        <f>IF(I427="","",IF(I427="ENTRADA",ABS(J427),-ABS(J427)))</f>
        <v>-1200</v>
      </c>
      <c r="L427" t="s">
        <v>37</v>
      </c>
      <c r="N427">
        <v>65156</v>
      </c>
      <c r="O427" t="s">
        <v>382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 hidden="1">
      <c r="A428" s="20" t="s">
        <v>697</v>
      </c>
      <c r="B428" s="47">
        <v>46244</v>
      </c>
      <c r="C428" t="s">
        <v>122</v>
      </c>
      <c r="D428" t="s">
        <v>123</v>
      </c>
      <c r="E428" t="s">
        <v>34</v>
      </c>
      <c r="F428" t="s">
        <v>35</v>
      </c>
      <c r="G428" t="s">
        <v>117</v>
      </c>
      <c r="H428" s="20" t="s">
        <v>203</v>
      </c>
      <c r="I428" t="s">
        <v>65</v>
      </c>
      <c r="J428" s="30">
        <v>320</v>
      </c>
      <c r="K428" s="22">
        <f>IF(I428="","",IF(I428="ENTRADA",ABS(J428),-ABS(J428)))</f>
        <v>-320</v>
      </c>
      <c r="L428" t="s">
        <v>37</v>
      </c>
      <c r="N428">
        <v>65156</v>
      </c>
      <c r="O428" t="s">
        <v>382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 hidden="1">
      <c r="A429" s="20" t="s">
        <v>698</v>
      </c>
      <c r="B429" s="47">
        <v>46244</v>
      </c>
      <c r="C429" t="s">
        <v>130</v>
      </c>
      <c r="D429" t="s">
        <v>131</v>
      </c>
      <c r="E429" t="s">
        <v>132</v>
      </c>
      <c r="G429" t="s">
        <v>133</v>
      </c>
      <c r="H429" s="20" t="s">
        <v>221</v>
      </c>
      <c r="I429" t="s">
        <v>65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382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 hidden="1">
      <c r="A430" s="20" t="s">
        <v>699</v>
      </c>
      <c r="B430" s="47">
        <v>46244</v>
      </c>
      <c r="C430" s="34" t="s">
        <v>137</v>
      </c>
      <c r="D430" s="34" t="s">
        <v>138</v>
      </c>
      <c r="E430" s="34" t="s">
        <v>132</v>
      </c>
      <c r="F430" s="34"/>
      <c r="G430" s="34" t="s">
        <v>133</v>
      </c>
      <c r="H430" s="20" t="s">
        <v>211</v>
      </c>
      <c r="I430" s="34" t="s">
        <v>65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382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 hidden="1">
      <c r="A431" s="20" t="s">
        <v>700</v>
      </c>
      <c r="B431" s="47">
        <v>46245</v>
      </c>
      <c r="C431" t="s">
        <v>115</v>
      </c>
      <c r="D431" t="s">
        <v>116</v>
      </c>
      <c r="E431" t="s">
        <v>34</v>
      </c>
      <c r="F431" t="s">
        <v>35</v>
      </c>
      <c r="G431" t="s">
        <v>117</v>
      </c>
      <c r="H431" s="20" t="s">
        <v>120</v>
      </c>
      <c r="I431" t="s">
        <v>65</v>
      </c>
      <c r="J431" s="30">
        <v>3000</v>
      </c>
      <c r="K431" s="22">
        <f>IF(I431="","",IF(I431="ENTRADA",ABS(J431),-ABS(J431)))</f>
        <v>-3000</v>
      </c>
      <c r="L431" t="s">
        <v>37</v>
      </c>
      <c r="N431">
        <v>65159</v>
      </c>
      <c r="O431" t="s">
        <v>213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 hidden="1">
      <c r="A432" s="20" t="s">
        <v>701</v>
      </c>
      <c r="B432" s="47">
        <v>46248</v>
      </c>
      <c r="C432" t="s">
        <v>115</v>
      </c>
      <c r="D432" t="s">
        <v>116</v>
      </c>
      <c r="E432" t="s">
        <v>34</v>
      </c>
      <c r="F432" t="s">
        <v>35</v>
      </c>
      <c r="G432" t="s">
        <v>117</v>
      </c>
      <c r="H432" s="20" t="s">
        <v>668</v>
      </c>
      <c r="I432" t="s">
        <v>65</v>
      </c>
      <c r="J432" s="30">
        <v>1020</v>
      </c>
      <c r="K432" s="22">
        <f>IF(I432="","",IF(I432="ENTRADA",ABS(J432),-ABS(J432)))</f>
        <v>-1020</v>
      </c>
      <c r="L432" t="s">
        <v>37</v>
      </c>
      <c r="N432">
        <v>65160</v>
      </c>
      <c r="O432" t="s">
        <v>382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AzukaSALIDA</v>
      </c>
      <c r="T432" t="str">
        <f>IF(OR(C432="",I432&lt;&gt;"ENTRADA"),"",TEXT(B432,"AAMMDD")&amp;"-"&amp;TEXT(VALUE(SUBSTITUTE(A432,"MOV-","")),"000"))</f>
        <v/>
      </c>
    </row>
    <row r="433" spans="1:20" hidden="1">
      <c r="A433" s="20" t="s">
        <v>702</v>
      </c>
      <c r="B433" s="47">
        <v>46248</v>
      </c>
      <c r="C433" t="s">
        <v>115</v>
      </c>
      <c r="D433" t="s">
        <v>116</v>
      </c>
      <c r="E433" t="s">
        <v>34</v>
      </c>
      <c r="F433" t="s">
        <v>35</v>
      </c>
      <c r="G433" t="s">
        <v>117</v>
      </c>
      <c r="H433" s="20" t="s">
        <v>120</v>
      </c>
      <c r="I433" t="s">
        <v>65</v>
      </c>
      <c r="J433" s="30">
        <v>240</v>
      </c>
      <c r="K433" s="22">
        <f>IF(I433="","",IF(I433="ENTRADA",ABS(J433),-ABS(J433)))</f>
        <v>-240</v>
      </c>
      <c r="L433" t="s">
        <v>37</v>
      </c>
      <c r="N433">
        <v>65160</v>
      </c>
      <c r="O433" t="s">
        <v>382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 hidden="1">
      <c r="A434" s="20" t="s">
        <v>703</v>
      </c>
      <c r="B434" s="47">
        <v>46248</v>
      </c>
      <c r="C434" t="s">
        <v>122</v>
      </c>
      <c r="D434" t="s">
        <v>123</v>
      </c>
      <c r="E434" t="s">
        <v>34</v>
      </c>
      <c r="F434" t="s">
        <v>35</v>
      </c>
      <c r="G434" t="s">
        <v>117</v>
      </c>
      <c r="H434" s="20" t="s">
        <v>203</v>
      </c>
      <c r="I434" t="s">
        <v>65</v>
      </c>
      <c r="J434" s="30">
        <v>360</v>
      </c>
      <c r="K434" s="22">
        <f>IF(I434="","",IF(I434="ENTRADA",ABS(J434),-ABS(J434)))</f>
        <v>-360</v>
      </c>
      <c r="L434" t="s">
        <v>37</v>
      </c>
      <c r="N434">
        <v>65160</v>
      </c>
      <c r="O434" t="s">
        <v>382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 hidden="1">
      <c r="A435" s="20" t="s">
        <v>704</v>
      </c>
      <c r="B435" s="47">
        <v>46248</v>
      </c>
      <c r="C435" t="s">
        <v>130</v>
      </c>
      <c r="D435" t="s">
        <v>131</v>
      </c>
      <c r="E435" t="s">
        <v>132</v>
      </c>
      <c r="G435" t="s">
        <v>133</v>
      </c>
      <c r="H435" s="20" t="s">
        <v>221</v>
      </c>
      <c r="I435" t="s">
        <v>65</v>
      </c>
      <c r="J435" s="30">
        <v>60</v>
      </c>
      <c r="K435" s="22">
        <f>IF(I435="","",IF(I435="ENTRADA",ABS(J435),-ABS(J435)))</f>
        <v>-60</v>
      </c>
      <c r="L435" t="s">
        <v>37</v>
      </c>
      <c r="N435">
        <v>65160</v>
      </c>
      <c r="O435" t="s">
        <v>382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 hidden="1">
      <c r="A436" s="20" t="s">
        <v>705</v>
      </c>
      <c r="B436" s="47">
        <v>46248</v>
      </c>
      <c r="C436" t="s">
        <v>137</v>
      </c>
      <c r="D436" t="s">
        <v>138</v>
      </c>
      <c r="E436" t="s">
        <v>132</v>
      </c>
      <c r="G436" t="s">
        <v>133</v>
      </c>
      <c r="H436" s="20" t="s">
        <v>211</v>
      </c>
      <c r="I436" t="s">
        <v>65</v>
      </c>
      <c r="J436" s="30">
        <v>5</v>
      </c>
      <c r="K436" s="22">
        <f>IF(I436="","",IF(I436="ENTRADA",ABS(J436),-ABS(J436)))</f>
        <v>-5</v>
      </c>
      <c r="L436" t="s">
        <v>385</v>
      </c>
      <c r="N436">
        <v>65160</v>
      </c>
      <c r="O436" t="s">
        <v>382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 hidden="1">
      <c r="A437" s="20" t="s">
        <v>706</v>
      </c>
      <c r="B437" s="47">
        <v>46248</v>
      </c>
      <c r="C437" t="s">
        <v>115</v>
      </c>
      <c r="D437" t="s">
        <v>116</v>
      </c>
      <c r="E437" t="s">
        <v>34</v>
      </c>
      <c r="F437" t="s">
        <v>35</v>
      </c>
      <c r="G437" t="s">
        <v>117</v>
      </c>
      <c r="H437" s="20" t="s">
        <v>120</v>
      </c>
      <c r="I437" t="s">
        <v>65</v>
      </c>
      <c r="J437" s="30">
        <v>240</v>
      </c>
      <c r="K437" s="22">
        <f>IF(I437="","",IF(I437="ENTRADA",ABS(J437),-ABS(J437)))</f>
        <v>-240</v>
      </c>
      <c r="L437" t="s">
        <v>37</v>
      </c>
      <c r="N437">
        <v>65161</v>
      </c>
      <c r="O437" t="s">
        <v>590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 hidden="1">
      <c r="A438" s="20" t="s">
        <v>707</v>
      </c>
      <c r="B438" s="47">
        <v>46248</v>
      </c>
      <c r="C438" t="s">
        <v>130</v>
      </c>
      <c r="D438" t="s">
        <v>131</v>
      </c>
      <c r="E438" t="s">
        <v>132</v>
      </c>
      <c r="G438" t="s">
        <v>133</v>
      </c>
      <c r="H438" s="20" t="s">
        <v>221</v>
      </c>
      <c r="I438" t="s">
        <v>65</v>
      </c>
      <c r="J438" s="30">
        <v>20</v>
      </c>
      <c r="K438" s="22">
        <f>IF(I438="","",IF(I438="ENTRADA",ABS(J438),-ABS(J438)))</f>
        <v>-20</v>
      </c>
      <c r="L438" t="s">
        <v>37</v>
      </c>
      <c r="N438">
        <v>65161</v>
      </c>
      <c r="O438" t="s">
        <v>590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 hidden="1">
      <c r="A439" s="20" t="s">
        <v>708</v>
      </c>
      <c r="B439" s="47">
        <v>46248</v>
      </c>
      <c r="C439" t="s">
        <v>491</v>
      </c>
      <c r="D439" t="s">
        <v>492</v>
      </c>
      <c r="E439" t="s">
        <v>493</v>
      </c>
      <c r="G439" t="s">
        <v>36</v>
      </c>
      <c r="H439" s="20" t="s">
        <v>495</v>
      </c>
      <c r="I439" t="s">
        <v>65</v>
      </c>
      <c r="J439" s="30">
        <v>440</v>
      </c>
      <c r="K439" s="22">
        <f>IF(I439="","",IF(I439="ENTRADA",ABS(J439),-ABS(J439)))</f>
        <v>-440</v>
      </c>
      <c r="L439" t="s">
        <v>37</v>
      </c>
      <c r="N439">
        <v>65162</v>
      </c>
      <c r="O439" t="s">
        <v>218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 hidden="1">
      <c r="A440" s="20" t="s">
        <v>709</v>
      </c>
      <c r="B440" s="47">
        <v>46248</v>
      </c>
      <c r="C440" t="s">
        <v>130</v>
      </c>
      <c r="D440" t="s">
        <v>131</v>
      </c>
      <c r="E440" t="s">
        <v>132</v>
      </c>
      <c r="G440" t="s">
        <v>133</v>
      </c>
      <c r="H440" s="20" t="s">
        <v>221</v>
      </c>
      <c r="I440" t="s">
        <v>65</v>
      </c>
      <c r="J440" s="30">
        <v>25</v>
      </c>
      <c r="K440" s="22">
        <f>IF(I440="","",IF(I440="ENTRADA",ABS(J440),-ABS(J440)))</f>
        <v>-25</v>
      </c>
      <c r="L440" t="s">
        <v>37</v>
      </c>
      <c r="N440">
        <v>65162</v>
      </c>
      <c r="O440" t="s">
        <v>218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 hidden="1">
      <c r="A441" s="20" t="s">
        <v>710</v>
      </c>
      <c r="B441" s="47">
        <v>46248</v>
      </c>
      <c r="C441" s="34" t="s">
        <v>137</v>
      </c>
      <c r="D441" s="34" t="s">
        <v>138</v>
      </c>
      <c r="E441" s="34" t="s">
        <v>132</v>
      </c>
      <c r="F441" s="34"/>
      <c r="G441" s="34" t="s">
        <v>133</v>
      </c>
      <c r="H441" s="20" t="s">
        <v>211</v>
      </c>
      <c r="I441" s="34" t="s">
        <v>65</v>
      </c>
      <c r="J441" s="36">
        <v>4</v>
      </c>
      <c r="K441" s="22">
        <f>IF(I441="","",IF(I441="ENTRADA",ABS(J441),-ABS(J441)))</f>
        <v>-4</v>
      </c>
      <c r="L441" s="34" t="s">
        <v>37</v>
      </c>
      <c r="M441" s="34"/>
      <c r="N441">
        <v>65162</v>
      </c>
      <c r="O441" s="34" t="s">
        <v>218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 hidden="1">
      <c r="A442" s="20" t="s">
        <v>711</v>
      </c>
      <c r="B442" s="47">
        <v>46248</v>
      </c>
      <c r="C442" t="s">
        <v>514</v>
      </c>
      <c r="D442" t="s">
        <v>515</v>
      </c>
      <c r="E442" t="s">
        <v>516</v>
      </c>
      <c r="G442" t="s">
        <v>117</v>
      </c>
      <c r="H442" s="20" t="s">
        <v>664</v>
      </c>
      <c r="I442" t="s">
        <v>65</v>
      </c>
      <c r="J442" s="30">
        <v>130</v>
      </c>
      <c r="K442" s="22">
        <f>IF(I442="","",IF(I442="ENTRADA",ABS(J442),-ABS(J442)))</f>
        <v>-130</v>
      </c>
      <c r="L442" t="s">
        <v>37</v>
      </c>
      <c r="N442">
        <v>65162</v>
      </c>
      <c r="O442" t="s">
        <v>218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 hidden="1">
      <c r="A443" s="20" t="s">
        <v>712</v>
      </c>
      <c r="B443" s="47">
        <v>46253</v>
      </c>
      <c r="C443" t="s">
        <v>115</v>
      </c>
      <c r="D443" t="s">
        <v>116</v>
      </c>
      <c r="E443" t="s">
        <v>34</v>
      </c>
      <c r="F443" t="s">
        <v>35</v>
      </c>
      <c r="G443" t="s">
        <v>117</v>
      </c>
      <c r="H443" s="20" t="s">
        <v>668</v>
      </c>
      <c r="I443" t="s">
        <v>28</v>
      </c>
      <c r="J443" s="30">
        <v>10840</v>
      </c>
      <c r="K443" s="22">
        <f>IF(I443="","",IF(I443="ENTRADA",ABS(J443),-ABS(J443)))</f>
        <v>10840</v>
      </c>
      <c r="L443" t="s">
        <v>37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 hidden="1">
      <c r="A444" s="20" t="s">
        <v>713</v>
      </c>
      <c r="B444" s="47">
        <v>46258</v>
      </c>
      <c r="C444" t="s">
        <v>115</v>
      </c>
      <c r="D444" t="s">
        <v>116</v>
      </c>
      <c r="E444" t="s">
        <v>34</v>
      </c>
      <c r="F444" t="s">
        <v>35</v>
      </c>
      <c r="G444" t="s">
        <v>117</v>
      </c>
      <c r="H444" s="20" t="s">
        <v>120</v>
      </c>
      <c r="I444" t="s">
        <v>65</v>
      </c>
      <c r="J444" s="30">
        <v>4200</v>
      </c>
      <c r="K444" s="22">
        <f>IF(I444="","",IF(I444="ENTRADA",ABS(J444),-ABS(J444)))</f>
        <v>-4200</v>
      </c>
      <c r="L444" t="s">
        <v>385</v>
      </c>
      <c r="N444">
        <v>65165</v>
      </c>
      <c r="O444" t="s">
        <v>237</v>
      </c>
      <c r="P444">
        <v>1886</v>
      </c>
      <c r="Q444" s="42">
        <v>46261</v>
      </c>
      <c r="R444" s="22" t="str">
        <f>IF(H444="","",H444&amp;I444)</f>
        <v>260410-025SALIDA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 hidden="1">
      <c r="A445" s="20" t="s">
        <v>714</v>
      </c>
      <c r="B445" s="47">
        <v>46258</v>
      </c>
      <c r="C445" t="s">
        <v>122</v>
      </c>
      <c r="D445" t="s">
        <v>123</v>
      </c>
      <c r="E445" t="s">
        <v>34</v>
      </c>
      <c r="F445" t="s">
        <v>35</v>
      </c>
      <c r="G445" t="s">
        <v>117</v>
      </c>
      <c r="H445" s="20" t="s">
        <v>203</v>
      </c>
      <c r="I445" t="s">
        <v>65</v>
      </c>
      <c r="J445" s="30">
        <v>1000</v>
      </c>
      <c r="K445" s="22">
        <f>IF(I445="","",IF(I445="ENTRADA",ABS(J445),-ABS(J445)))</f>
        <v>-1000</v>
      </c>
      <c r="L445" t="s">
        <v>37</v>
      </c>
      <c r="N445">
        <v>65165</v>
      </c>
      <c r="O445" t="s">
        <v>237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 hidden="1">
      <c r="A446" s="20" t="s">
        <v>715</v>
      </c>
      <c r="B446" s="47">
        <v>46258</v>
      </c>
      <c r="C446" t="s">
        <v>130</v>
      </c>
      <c r="D446" t="s">
        <v>131</v>
      </c>
      <c r="E446" t="s">
        <v>132</v>
      </c>
      <c r="G446" t="s">
        <v>133</v>
      </c>
      <c r="H446" s="20" t="s">
        <v>221</v>
      </c>
      <c r="I446" t="s">
        <v>65</v>
      </c>
      <c r="J446" s="30">
        <v>120</v>
      </c>
      <c r="K446" s="22">
        <f>IF(I446="","",IF(I446="ENTRADA",ABS(J446),-ABS(J446)))</f>
        <v>-120</v>
      </c>
      <c r="L446" t="s">
        <v>37</v>
      </c>
      <c r="N446">
        <v>65165</v>
      </c>
      <c r="O446" t="s">
        <v>237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 hidden="1">
      <c r="A447" s="20" t="s">
        <v>716</v>
      </c>
      <c r="B447" s="47">
        <v>46258</v>
      </c>
      <c r="C447" t="s">
        <v>137</v>
      </c>
      <c r="D447" t="s">
        <v>138</v>
      </c>
      <c r="E447" t="s">
        <v>132</v>
      </c>
      <c r="G447" t="s">
        <v>133</v>
      </c>
      <c r="H447" s="20" t="s">
        <v>211</v>
      </c>
      <c r="I447" t="s">
        <v>65</v>
      </c>
      <c r="J447" s="30">
        <v>30</v>
      </c>
      <c r="K447" s="22">
        <f>IF(I447="","",IF(I447="ENTRADA",ABS(J447),-ABS(J447)))</f>
        <v>-30</v>
      </c>
      <c r="L447" t="s">
        <v>37</v>
      </c>
      <c r="N447">
        <v>65165</v>
      </c>
      <c r="O447" t="s">
        <v>237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 hidden="1">
      <c r="A448" s="20" t="s">
        <v>717</v>
      </c>
      <c r="B448" s="47">
        <v>46258</v>
      </c>
      <c r="C448" t="s">
        <v>90</v>
      </c>
      <c r="D448" t="s">
        <v>91</v>
      </c>
      <c r="E448" t="s">
        <v>34</v>
      </c>
      <c r="G448" t="s">
        <v>36</v>
      </c>
      <c r="H448" s="20" t="s">
        <v>375</v>
      </c>
      <c r="I448" t="s">
        <v>65</v>
      </c>
      <c r="J448" s="30">
        <v>460</v>
      </c>
      <c r="K448" s="22">
        <f>IF(I448="","",IF(I448="ENTRADA",ABS(J448),-ABS(J448)))</f>
        <v>-460</v>
      </c>
      <c r="L448" t="s">
        <v>37</v>
      </c>
      <c r="N448">
        <v>65165</v>
      </c>
      <c r="O448" t="s">
        <v>237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 hidden="1">
      <c r="A449" s="20" t="s">
        <v>718</v>
      </c>
      <c r="B449" s="47">
        <v>46255</v>
      </c>
      <c r="C449" t="s">
        <v>719</v>
      </c>
      <c r="D449" t="s">
        <v>720</v>
      </c>
      <c r="E449" t="s">
        <v>34</v>
      </c>
      <c r="F449" t="s">
        <v>35</v>
      </c>
      <c r="G449" t="s">
        <v>117</v>
      </c>
      <c r="H449" s="20" t="str">
        <f>+T449</f>
        <v>260821-449</v>
      </c>
      <c r="I449" t="s">
        <v>28</v>
      </c>
      <c r="J449" s="30">
        <v>1920</v>
      </c>
      <c r="K449" s="22">
        <f>IF(I449="","",IF(I449="ENTRADA",ABS(J449),-ABS(J449)))</f>
        <v>1920</v>
      </c>
      <c r="L449" t="s">
        <v>37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 hidden="1">
      <c r="A450" s="20" t="s">
        <v>721</v>
      </c>
      <c r="B450" s="47">
        <v>46258</v>
      </c>
      <c r="C450" t="s">
        <v>719</v>
      </c>
      <c r="D450" t="s">
        <v>720</v>
      </c>
      <c r="E450" t="s">
        <v>34</v>
      </c>
      <c r="F450" t="s">
        <v>35</v>
      </c>
      <c r="G450" t="s">
        <v>117</v>
      </c>
      <c r="H450" s="20" t="s">
        <v>722</v>
      </c>
      <c r="I450" t="s">
        <v>65</v>
      </c>
      <c r="J450" s="30">
        <v>500</v>
      </c>
      <c r="K450" s="22">
        <f>IF(I450="","",IF(I450="ENTRADA",ABS(J450),-ABS(J450)))</f>
        <v>-500</v>
      </c>
      <c r="L450" t="s">
        <v>37</v>
      </c>
      <c r="N450">
        <v>65165</v>
      </c>
      <c r="O450" t="s">
        <v>237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 hidden="1">
      <c r="A451" s="20" t="s">
        <v>723</v>
      </c>
      <c r="B451" s="47">
        <v>46255</v>
      </c>
      <c r="C451" t="s">
        <v>524</v>
      </c>
      <c r="D451" t="s">
        <v>525</v>
      </c>
      <c r="E451" t="s">
        <v>516</v>
      </c>
      <c r="G451" t="s">
        <v>158</v>
      </c>
      <c r="H451" s="20" t="s">
        <v>553</v>
      </c>
      <c r="I451" t="s">
        <v>65</v>
      </c>
      <c r="J451" s="30">
        <v>120</v>
      </c>
      <c r="K451" s="22">
        <f>IF(I451="","",IF(I451="ENTRADA",ABS(J451),-ABS(J451)))</f>
        <v>-120</v>
      </c>
      <c r="L451" t="s">
        <v>37</v>
      </c>
      <c r="N451">
        <v>65164</v>
      </c>
      <c r="O451" t="s">
        <v>66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 hidden="1">
      <c r="A452" s="20" t="s">
        <v>724</v>
      </c>
      <c r="B452" s="47">
        <v>46255</v>
      </c>
      <c r="C452" s="34" t="s">
        <v>137</v>
      </c>
      <c r="D452" s="34" t="s">
        <v>138</v>
      </c>
      <c r="E452" s="34" t="s">
        <v>132</v>
      </c>
      <c r="F452" s="34"/>
      <c r="G452" s="34" t="s">
        <v>133</v>
      </c>
      <c r="H452" s="20" t="s">
        <v>211</v>
      </c>
      <c r="I452" s="34" t="s">
        <v>65</v>
      </c>
      <c r="J452" s="36">
        <v>15</v>
      </c>
      <c r="K452" s="22">
        <f>IF(I452="","",IF(I452="ENTRADA",ABS(J452),-ABS(J452)))</f>
        <v>-15</v>
      </c>
      <c r="L452" s="34" t="s">
        <v>37</v>
      </c>
      <c r="M452" s="34"/>
      <c r="N452">
        <v>65164</v>
      </c>
      <c r="O452" s="34" t="s">
        <v>66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 hidden="1">
      <c r="A453" s="20" t="s">
        <v>725</v>
      </c>
      <c r="B453" s="47">
        <v>46255</v>
      </c>
      <c r="C453" t="s">
        <v>656</v>
      </c>
      <c r="D453" t="s">
        <v>657</v>
      </c>
      <c r="E453" t="s">
        <v>132</v>
      </c>
      <c r="G453" t="s">
        <v>133</v>
      </c>
      <c r="H453" s="20" t="s">
        <v>659</v>
      </c>
      <c r="I453" t="s">
        <v>65</v>
      </c>
      <c r="J453" s="30">
        <v>40</v>
      </c>
      <c r="K453" s="22">
        <f>IF(I453="","",IF(I453="ENTRADA",ABS(J453),-ABS(J453)))</f>
        <v>-40</v>
      </c>
      <c r="L453" t="s">
        <v>37</v>
      </c>
      <c r="N453">
        <v>65164</v>
      </c>
      <c r="O453" t="s">
        <v>66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 hidden="1">
      <c r="A454" s="20" t="s">
        <v>726</v>
      </c>
      <c r="B454" s="47">
        <v>46258</v>
      </c>
      <c r="C454" t="s">
        <v>137</v>
      </c>
      <c r="D454" t="s">
        <v>138</v>
      </c>
      <c r="E454" t="s">
        <v>132</v>
      </c>
      <c r="G454" t="s">
        <v>133</v>
      </c>
      <c r="H454" s="20" t="s">
        <v>211</v>
      </c>
      <c r="I454" t="s">
        <v>65</v>
      </c>
      <c r="J454" s="30">
        <v>7</v>
      </c>
      <c r="K454" s="22">
        <f>IF(I454="","",IF(I454="ENTRADA",ABS(J454),-ABS(J454)))</f>
        <v>-7</v>
      </c>
      <c r="L454" t="s">
        <v>37</v>
      </c>
      <c r="N454">
        <v>65166</v>
      </c>
      <c r="O454" t="s">
        <v>387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 hidden="1">
      <c r="A455" s="20" t="s">
        <v>727</v>
      </c>
      <c r="B455" s="47">
        <v>46258</v>
      </c>
      <c r="C455" t="s">
        <v>130</v>
      </c>
      <c r="D455" t="s">
        <v>131</v>
      </c>
      <c r="E455" t="s">
        <v>132</v>
      </c>
      <c r="G455" t="s">
        <v>133</v>
      </c>
      <c r="H455" s="20" t="s">
        <v>221</v>
      </c>
      <c r="I455" t="s">
        <v>65</v>
      </c>
      <c r="J455" s="30">
        <v>50</v>
      </c>
      <c r="K455" s="22">
        <f>IF(I455="","",IF(I455="ENTRADA",ABS(J455),-ABS(J455)))</f>
        <v>-50</v>
      </c>
      <c r="L455" t="s">
        <v>37</v>
      </c>
      <c r="N455">
        <v>65166</v>
      </c>
      <c r="O455" t="s">
        <v>387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 hidden="1">
      <c r="A456" s="20" t="s">
        <v>728</v>
      </c>
      <c r="B456" s="47">
        <v>46258</v>
      </c>
      <c r="C456" t="s">
        <v>524</v>
      </c>
      <c r="D456" t="s">
        <v>525</v>
      </c>
      <c r="E456" t="s">
        <v>516</v>
      </c>
      <c r="G456" t="s">
        <v>158</v>
      </c>
      <c r="H456" s="20" t="s">
        <v>553</v>
      </c>
      <c r="I456" t="s">
        <v>65</v>
      </c>
      <c r="J456" s="30">
        <v>195</v>
      </c>
      <c r="K456" s="22">
        <f>IF(I456="","",IF(I456="ENTRADA",ABS(J456),-ABS(J456)))</f>
        <v>-195</v>
      </c>
      <c r="L456" t="s">
        <v>37</v>
      </c>
      <c r="N456">
        <v>65166</v>
      </c>
      <c r="O456" t="s">
        <v>387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 hidden="1">
      <c r="A457" s="20" t="s">
        <v>729</v>
      </c>
      <c r="B457" s="47">
        <v>46258</v>
      </c>
      <c r="C457" t="s">
        <v>137</v>
      </c>
      <c r="D457" t="s">
        <v>138</v>
      </c>
      <c r="E457" t="s">
        <v>132</v>
      </c>
      <c r="G457" t="s">
        <v>133</v>
      </c>
      <c r="H457" s="20" t="s">
        <v>211</v>
      </c>
      <c r="I457" t="s">
        <v>65</v>
      </c>
      <c r="J457" s="30">
        <v>10</v>
      </c>
      <c r="K457" s="22">
        <f>IF(I457="","",IF(I457="ENTRADA",ABS(J457),-ABS(J457)))</f>
        <v>-10</v>
      </c>
      <c r="L457" t="s">
        <v>37</v>
      </c>
      <c r="N457">
        <v>65167</v>
      </c>
      <c r="O457" t="s">
        <v>218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 hidden="1">
      <c r="A458" s="20" t="s">
        <v>730</v>
      </c>
      <c r="B458" s="47">
        <v>46258</v>
      </c>
      <c r="C458" t="s">
        <v>130</v>
      </c>
      <c r="D458" t="s">
        <v>131</v>
      </c>
      <c r="E458" t="s">
        <v>132</v>
      </c>
      <c r="G458" t="s">
        <v>133</v>
      </c>
      <c r="H458" s="20" t="s">
        <v>221</v>
      </c>
      <c r="I458" t="s">
        <v>65</v>
      </c>
      <c r="J458" s="30">
        <v>60</v>
      </c>
      <c r="K458" s="22">
        <f>IF(I458="","",IF(I458="ENTRADA",ABS(J458),-ABS(J458)))</f>
        <v>-60</v>
      </c>
      <c r="L458" t="s">
        <v>37</v>
      </c>
      <c r="N458">
        <v>65167</v>
      </c>
      <c r="O458" t="s">
        <v>218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 hidden="1">
      <c r="A459" s="20" t="s">
        <v>731</v>
      </c>
      <c r="B459" s="47">
        <v>46258</v>
      </c>
      <c r="C459" t="s">
        <v>130</v>
      </c>
      <c r="D459" t="s">
        <v>131</v>
      </c>
      <c r="E459" t="s">
        <v>132</v>
      </c>
      <c r="G459" t="s">
        <v>133</v>
      </c>
      <c r="H459" s="20" t="s">
        <v>221</v>
      </c>
      <c r="I459" t="s">
        <v>65</v>
      </c>
      <c r="J459" s="30">
        <v>80</v>
      </c>
      <c r="K459" s="22">
        <f>IF(I459="","",IF(I459="ENTRADA",ABS(J459),-ABS(J459)))</f>
        <v>-80</v>
      </c>
      <c r="L459" t="s">
        <v>37</v>
      </c>
      <c r="N459">
        <v>65168</v>
      </c>
      <c r="O459" t="s">
        <v>382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 hidden="1">
      <c r="A460" s="20" t="s">
        <v>732</v>
      </c>
      <c r="B460" s="47">
        <v>46258</v>
      </c>
      <c r="C460" t="s">
        <v>137</v>
      </c>
      <c r="D460" t="s">
        <v>138</v>
      </c>
      <c r="E460" t="s">
        <v>132</v>
      </c>
      <c r="G460" t="s">
        <v>133</v>
      </c>
      <c r="H460" s="20" t="s">
        <v>211</v>
      </c>
      <c r="I460" t="s">
        <v>65</v>
      </c>
      <c r="J460" s="30">
        <v>15</v>
      </c>
      <c r="K460" s="22">
        <f>IF(I460="","",IF(I460="ENTRADA",ABS(J460),-ABS(J460)))</f>
        <v>-15</v>
      </c>
      <c r="L460" t="s">
        <v>37</v>
      </c>
      <c r="N460">
        <v>65168</v>
      </c>
      <c r="O460" t="s">
        <v>382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 hidden="1">
      <c r="A461" s="20" t="s">
        <v>733</v>
      </c>
      <c r="B461" s="47">
        <v>46260</v>
      </c>
      <c r="C461" t="s">
        <v>491</v>
      </c>
      <c r="D461" t="s">
        <v>492</v>
      </c>
      <c r="E461" t="s">
        <v>493</v>
      </c>
      <c r="G461" t="s">
        <v>36</v>
      </c>
      <c r="H461" s="20" t="s">
        <v>495</v>
      </c>
      <c r="I461" t="s">
        <v>65</v>
      </c>
      <c r="J461" s="30">
        <v>360</v>
      </c>
      <c r="K461" s="22">
        <f>IF(I461="","",IF(I461="ENTRADA",ABS(J461),-ABS(J461)))</f>
        <v>-360</v>
      </c>
      <c r="L461" t="s">
        <v>37</v>
      </c>
      <c r="N461">
        <v>65169</v>
      </c>
      <c r="O461" t="s">
        <v>218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 hidden="1">
      <c r="A462" s="20" t="s">
        <v>734</v>
      </c>
      <c r="B462" s="47">
        <v>46260</v>
      </c>
      <c r="C462" t="s">
        <v>137</v>
      </c>
      <c r="D462" t="s">
        <v>138</v>
      </c>
      <c r="E462" t="s">
        <v>132</v>
      </c>
      <c r="G462" t="s">
        <v>133</v>
      </c>
      <c r="H462" s="20" t="s">
        <v>211</v>
      </c>
      <c r="I462" t="s">
        <v>65</v>
      </c>
      <c r="J462" s="30">
        <v>2</v>
      </c>
      <c r="K462" s="22">
        <f>IF(I462="","",IF(I462="ENTRADA",ABS(J462),-ABS(J462)))</f>
        <v>-2</v>
      </c>
      <c r="L462" t="s">
        <v>37</v>
      </c>
      <c r="N462">
        <v>65169</v>
      </c>
      <c r="O462" t="s">
        <v>218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 hidden="1">
      <c r="A463" s="20" t="s">
        <v>735</v>
      </c>
      <c r="B463" s="47">
        <v>46260</v>
      </c>
      <c r="C463" s="34" t="s">
        <v>514</v>
      </c>
      <c r="D463" s="34" t="s">
        <v>515</v>
      </c>
      <c r="E463" s="34" t="s">
        <v>516</v>
      </c>
      <c r="F463" s="34"/>
      <c r="G463" s="34" t="s">
        <v>117</v>
      </c>
      <c r="H463" s="20" t="s">
        <v>664</v>
      </c>
      <c r="I463" s="34" t="s">
        <v>65</v>
      </c>
      <c r="J463" s="36">
        <v>105</v>
      </c>
      <c r="K463" s="22">
        <f>IF(I463="","",IF(I463="ENTRADA",ABS(J463),-ABS(J463)))</f>
        <v>-105</v>
      </c>
      <c r="L463" s="34" t="s">
        <v>37</v>
      </c>
      <c r="M463" s="34"/>
      <c r="N463">
        <v>65169</v>
      </c>
      <c r="O463" s="34" t="s">
        <v>218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 hidden="1">
      <c r="A464" s="20" t="s">
        <v>736</v>
      </c>
      <c r="B464" s="47">
        <v>46260</v>
      </c>
      <c r="C464" t="s">
        <v>130</v>
      </c>
      <c r="D464" t="s">
        <v>131</v>
      </c>
      <c r="E464" t="s">
        <v>132</v>
      </c>
      <c r="G464" t="s">
        <v>133</v>
      </c>
      <c r="H464" s="20" t="s">
        <v>221</v>
      </c>
      <c r="I464" t="s">
        <v>65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213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 hidden="1">
      <c r="A465" s="20" t="s">
        <v>737</v>
      </c>
      <c r="B465" s="47">
        <v>46260</v>
      </c>
      <c r="C465" t="s">
        <v>524</v>
      </c>
      <c r="D465" t="s">
        <v>525</v>
      </c>
      <c r="E465" t="s">
        <v>516</v>
      </c>
      <c r="G465" t="s">
        <v>158</v>
      </c>
      <c r="H465" s="20" t="s">
        <v>553</v>
      </c>
      <c r="I465" t="s">
        <v>65</v>
      </c>
      <c r="J465" s="30">
        <v>500</v>
      </c>
      <c r="K465" s="22">
        <f>IF(I465="","",IF(I465="ENTRADA",ABS(J465),-ABS(J465)))</f>
        <v>-500</v>
      </c>
      <c r="L465" t="s">
        <v>37</v>
      </c>
      <c r="N465">
        <v>65170</v>
      </c>
      <c r="O465" t="s">
        <v>213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 hidden="1">
      <c r="A466" s="20" t="s">
        <v>738</v>
      </c>
      <c r="B466" s="47">
        <v>46260</v>
      </c>
      <c r="C466" t="s">
        <v>141</v>
      </c>
      <c r="D466" t="s">
        <v>142</v>
      </c>
      <c r="E466" t="s">
        <v>132</v>
      </c>
      <c r="G466" t="s">
        <v>133</v>
      </c>
      <c r="H466" s="20" t="s">
        <v>469</v>
      </c>
      <c r="I466" t="s">
        <v>65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213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 hidden="1">
      <c r="A467" s="20" t="s">
        <v>739</v>
      </c>
      <c r="B467" s="47">
        <v>46260</v>
      </c>
      <c r="C467" t="s">
        <v>491</v>
      </c>
      <c r="D467" t="s">
        <v>492</v>
      </c>
      <c r="E467" t="s">
        <v>493</v>
      </c>
      <c r="G467" t="s">
        <v>36</v>
      </c>
      <c r="H467" s="20" t="s">
        <v>495</v>
      </c>
      <c r="I467" t="s">
        <v>28</v>
      </c>
      <c r="J467" s="30">
        <v>1140</v>
      </c>
      <c r="K467" s="22">
        <f>IF(I467="","",IF(I467="ENTRADA",ABS(J467),-ABS(J467)))</f>
        <v>1140</v>
      </c>
      <c r="L467" t="s">
        <v>37</v>
      </c>
      <c r="N467">
        <v>65172</v>
      </c>
      <c r="O467" t="s">
        <v>237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 hidden="1">
      <c r="A468" s="20" t="s">
        <v>740</v>
      </c>
      <c r="B468" s="47">
        <v>46260</v>
      </c>
      <c r="C468" t="s">
        <v>40</v>
      </c>
      <c r="D468" t="s">
        <v>41</v>
      </c>
      <c r="E468" t="s">
        <v>34</v>
      </c>
      <c r="F468" t="s">
        <v>35</v>
      </c>
      <c r="G468" t="s">
        <v>36</v>
      </c>
      <c r="H468" s="20" t="s">
        <v>471</v>
      </c>
      <c r="I468" t="s">
        <v>28</v>
      </c>
      <c r="J468" s="30">
        <v>45</v>
      </c>
      <c r="K468" s="22">
        <f>IF(I468="","",IF(I468="ENTRADA",ABS(J468),-ABS(J468)))</f>
        <v>45</v>
      </c>
      <c r="L468" t="s">
        <v>37</v>
      </c>
      <c r="N468">
        <v>65172</v>
      </c>
      <c r="O468" t="s">
        <v>237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 hidden="1">
      <c r="A469" s="20" t="s">
        <v>741</v>
      </c>
      <c r="B469" s="47">
        <v>46260</v>
      </c>
      <c r="C469" t="s">
        <v>130</v>
      </c>
      <c r="D469" t="s">
        <v>131</v>
      </c>
      <c r="E469" t="s">
        <v>132</v>
      </c>
      <c r="G469" t="s">
        <v>133</v>
      </c>
      <c r="H469" s="20" t="s">
        <v>221</v>
      </c>
      <c r="I469" t="s">
        <v>65</v>
      </c>
      <c r="J469" s="30">
        <v>35</v>
      </c>
      <c r="K469" s="22">
        <f>IF(I469="","",IF(I469="ENTRADA",ABS(J469),-ABS(J469)))</f>
        <v>-35</v>
      </c>
      <c r="L469" t="s">
        <v>37</v>
      </c>
      <c r="N469">
        <v>65173</v>
      </c>
      <c r="O469" t="s">
        <v>382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 hidden="1">
      <c r="A470" s="20" t="s">
        <v>742</v>
      </c>
      <c r="B470" s="47">
        <v>46260</v>
      </c>
      <c r="C470" t="s">
        <v>137</v>
      </c>
      <c r="D470" t="s">
        <v>138</v>
      </c>
      <c r="E470" t="s">
        <v>132</v>
      </c>
      <c r="G470" t="s">
        <v>133</v>
      </c>
      <c r="H470" s="20" t="s">
        <v>211</v>
      </c>
      <c r="I470" t="s">
        <v>65</v>
      </c>
      <c r="J470" s="30">
        <v>5</v>
      </c>
      <c r="K470" s="22">
        <f>IF(I470="","",IF(I470="ENTRADA",ABS(J470),-ABS(J470)))</f>
        <v>-5</v>
      </c>
      <c r="L470" t="s">
        <v>37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 hidden="1">
      <c r="A471" s="20" t="s">
        <v>743</v>
      </c>
      <c r="B471" s="47">
        <v>46261</v>
      </c>
      <c r="C471" t="s">
        <v>130</v>
      </c>
      <c r="D471" t="s">
        <v>131</v>
      </c>
      <c r="E471" t="s">
        <v>132</v>
      </c>
      <c r="G471" t="s">
        <v>133</v>
      </c>
      <c r="H471" s="20" t="s">
        <v>221</v>
      </c>
      <c r="I471" t="s">
        <v>28</v>
      </c>
      <c r="J471" s="30">
        <v>10000</v>
      </c>
      <c r="K471" s="22">
        <f>IF(I471="","",IF(I471="ENTRADA",ABS(J471),-ABS(J471)))</f>
        <v>10000</v>
      </c>
      <c r="L471" t="s">
        <v>37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 hidden="1">
      <c r="A472" s="20" t="s">
        <v>744</v>
      </c>
      <c r="B472" s="47">
        <v>46261</v>
      </c>
      <c r="C472" t="s">
        <v>137</v>
      </c>
      <c r="D472" t="s">
        <v>138</v>
      </c>
      <c r="E472" t="s">
        <v>132</v>
      </c>
      <c r="G472" t="s">
        <v>133</v>
      </c>
      <c r="H472" s="20" t="str">
        <f>+T472</f>
        <v>260827-472</v>
      </c>
      <c r="I472" t="s">
        <v>28</v>
      </c>
      <c r="J472" s="30">
        <v>2000</v>
      </c>
      <c r="K472" s="22">
        <f>IF(I472="","",IF(I472="ENTRADA",ABS(J472),-ABS(J472)))</f>
        <v>2000</v>
      </c>
      <c r="L472" t="s">
        <v>37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 hidden="1">
      <c r="A473" s="20" t="s">
        <v>745</v>
      </c>
      <c r="B473" s="47">
        <v>46261</v>
      </c>
      <c r="C473" t="s">
        <v>141</v>
      </c>
      <c r="D473" t="s">
        <v>142</v>
      </c>
      <c r="E473" t="s">
        <v>132</v>
      </c>
      <c r="G473" t="s">
        <v>133</v>
      </c>
      <c r="H473" s="20" t="str">
        <f>+T473</f>
        <v>260827-473</v>
      </c>
      <c r="I473" t="s">
        <v>28</v>
      </c>
      <c r="J473" s="30">
        <v>300</v>
      </c>
      <c r="K473" s="22">
        <f>IF(I473="","",IF(I473="ENTRADA",ABS(J473),-ABS(J473)))</f>
        <v>300</v>
      </c>
      <c r="L473" t="s">
        <v>37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 hidden="1">
      <c r="A474" s="20" t="s">
        <v>746</v>
      </c>
      <c r="B474" s="60">
        <v>46255</v>
      </c>
      <c r="C474" s="34" t="s">
        <v>90</v>
      </c>
      <c r="D474" s="34" t="s">
        <v>91</v>
      </c>
      <c r="E474" s="34" t="s">
        <v>34</v>
      </c>
      <c r="F474" s="34" t="s">
        <v>35</v>
      </c>
      <c r="G474" s="34" t="s">
        <v>36</v>
      </c>
      <c r="H474" s="20"/>
      <c r="I474" s="34" t="s">
        <v>28</v>
      </c>
      <c r="J474" s="36">
        <v>5000</v>
      </c>
      <c r="K474" s="22">
        <f>IF(I474="","",IF(I474="ENTRADA",ABS(J474),-ABS(J474)))</f>
        <v>5000</v>
      </c>
      <c r="L474" s="34" t="s">
        <v>37</v>
      </c>
      <c r="M474" s="34"/>
      <c r="N47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 hidden="1">
      <c r="A475" s="20" t="s">
        <v>747</v>
      </c>
      <c r="B475" s="47">
        <v>46261</v>
      </c>
      <c r="C475" t="s">
        <v>141</v>
      </c>
      <c r="D475" t="s">
        <v>142</v>
      </c>
      <c r="E475" t="s">
        <v>132</v>
      </c>
      <c r="G475" t="s">
        <v>133</v>
      </c>
      <c r="H475" s="20" t="s">
        <v>748</v>
      </c>
      <c r="I475" t="s">
        <v>28</v>
      </c>
      <c r="J475" s="30">
        <v>5</v>
      </c>
      <c r="K475" s="22">
        <f>IF(I475="","",IF(I475="ENTRADA",ABS(J475),-ABS(J475)))</f>
        <v>5</v>
      </c>
      <c r="L475" t="s">
        <v>37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 hidden="1">
      <c r="A476" s="20" t="s">
        <v>749</v>
      </c>
      <c r="B476" s="47">
        <v>46247</v>
      </c>
      <c r="C476" t="s">
        <v>750</v>
      </c>
      <c r="D476" t="s">
        <v>751</v>
      </c>
      <c r="E476" t="s">
        <v>34</v>
      </c>
      <c r="G476" t="s">
        <v>301</v>
      </c>
      <c r="H476" s="20" t="str">
        <f>+T476</f>
        <v>260813-476</v>
      </c>
      <c r="I476" t="s">
        <v>28</v>
      </c>
      <c r="J476" s="30">
        <v>500</v>
      </c>
      <c r="K476" s="22">
        <f>IF(I476="","",IF(I476="ENTRADA",ABS(J476),-ABS(J476)))</f>
        <v>500</v>
      </c>
      <c r="L476" t="s">
        <v>37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 hidden="1">
      <c r="A477" s="20" t="s">
        <v>752</v>
      </c>
      <c r="B477" s="47">
        <v>46249</v>
      </c>
      <c r="C477" t="s">
        <v>750</v>
      </c>
      <c r="D477" t="s">
        <v>751</v>
      </c>
      <c r="E477" t="s">
        <v>34</v>
      </c>
      <c r="G477" t="s">
        <v>301</v>
      </c>
      <c r="H477" s="20" t="s">
        <v>753</v>
      </c>
      <c r="I477" t="s">
        <v>65</v>
      </c>
      <c r="J477" s="30">
        <v>100</v>
      </c>
      <c r="K477" s="22">
        <f>IF(I477="","",IF(I477="ENTRADA",ABS(J477),-ABS(J477)))</f>
        <v>-100</v>
      </c>
      <c r="L477" t="s">
        <v>37</v>
      </c>
      <c r="N477">
        <v>65163</v>
      </c>
      <c r="O477" t="s">
        <v>218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 hidden="1">
      <c r="A478" s="20" t="s">
        <v>754</v>
      </c>
      <c r="B478" s="47">
        <v>46249</v>
      </c>
      <c r="C478" t="s">
        <v>141</v>
      </c>
      <c r="D478" t="s">
        <v>142</v>
      </c>
      <c r="E478" t="s">
        <v>132</v>
      </c>
      <c r="G478" t="s">
        <v>133</v>
      </c>
      <c r="H478" s="20" t="s">
        <v>748</v>
      </c>
      <c r="I478" t="s">
        <v>65</v>
      </c>
      <c r="J478" s="30">
        <v>15</v>
      </c>
      <c r="K478" s="22">
        <f>IF(I478="","",IF(I478="ENTRADA",ABS(J478),-ABS(J478)))</f>
        <v>-15</v>
      </c>
      <c r="L478" t="s">
        <v>37</v>
      </c>
      <c r="N478">
        <v>65163</v>
      </c>
      <c r="O478" t="s">
        <v>213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 hidden="1">
      <c r="A479" s="20" t="s">
        <v>755</v>
      </c>
      <c r="B479" s="47">
        <v>46249</v>
      </c>
      <c r="C479" t="s">
        <v>141</v>
      </c>
      <c r="D479" t="s">
        <v>142</v>
      </c>
      <c r="E479" t="s">
        <v>132</v>
      </c>
      <c r="G479" t="s">
        <v>133</v>
      </c>
      <c r="H479" s="20" t="s">
        <v>748</v>
      </c>
      <c r="I479" t="s">
        <v>65</v>
      </c>
      <c r="J479" s="30">
        <v>15</v>
      </c>
      <c r="K479" s="22">
        <f>IF(I479="","",IF(I479="ENTRADA",ABS(J479),-ABS(J479)))</f>
        <v>-15</v>
      </c>
      <c r="L479" t="s">
        <v>37</v>
      </c>
      <c r="N479">
        <v>65163</v>
      </c>
      <c r="O479" t="s">
        <v>382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 hidden="1">
      <c r="A480" s="20" t="s">
        <v>756</v>
      </c>
      <c r="B480" s="47">
        <v>46255</v>
      </c>
      <c r="C480" t="s">
        <v>757</v>
      </c>
      <c r="D480" t="s">
        <v>758</v>
      </c>
      <c r="E480" t="s">
        <v>25</v>
      </c>
      <c r="F480" t="s">
        <v>631</v>
      </c>
      <c r="G480" t="s">
        <v>27</v>
      </c>
      <c r="H480" s="20" t="str">
        <f>+T480</f>
        <v>260821-480</v>
      </c>
      <c r="I480" t="s">
        <v>28</v>
      </c>
      <c r="J480" s="30">
        <v>487</v>
      </c>
      <c r="K480" s="22">
        <f>IF(I480="","",IF(I480="ENTRADA",ABS(J480),-ABS(J480)))</f>
        <v>487</v>
      </c>
      <c r="L480" t="s">
        <v>632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 hidden="1">
      <c r="A481" s="20" t="s">
        <v>759</v>
      </c>
      <c r="B481" s="47">
        <v>46255</v>
      </c>
      <c r="C481" t="s">
        <v>760</v>
      </c>
      <c r="D481" t="s">
        <v>761</v>
      </c>
      <c r="E481" t="s">
        <v>25</v>
      </c>
      <c r="F481" t="s">
        <v>631</v>
      </c>
      <c r="G481" t="s">
        <v>27</v>
      </c>
      <c r="H481" s="20" t="str">
        <f>+T481</f>
        <v>260821-481</v>
      </c>
      <c r="I481" t="s">
        <v>28</v>
      </c>
      <c r="J481" s="30">
        <v>100</v>
      </c>
      <c r="K481" s="22">
        <f>IF(I481="","",IF(I481="ENTRADA",ABS(J481),-ABS(J481)))</f>
        <v>100</v>
      </c>
      <c r="L481" t="s">
        <v>632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 hidden="1">
      <c r="A482" s="20" t="s">
        <v>762</v>
      </c>
      <c r="B482" s="47">
        <v>46255</v>
      </c>
      <c r="C482" t="s">
        <v>763</v>
      </c>
      <c r="D482" t="s">
        <v>764</v>
      </c>
      <c r="E482" t="s">
        <v>25</v>
      </c>
      <c r="F482" t="s">
        <v>631</v>
      </c>
      <c r="G482" t="s">
        <v>27</v>
      </c>
      <c r="H482" s="20" t="str">
        <f>+T482</f>
        <v>260821-482</v>
      </c>
      <c r="I482" t="s">
        <v>28</v>
      </c>
      <c r="J482" s="30">
        <v>65</v>
      </c>
      <c r="K482" s="22">
        <f>IF(I482="","",IF(I482="ENTRADA",ABS(J482),-ABS(J482)))</f>
        <v>65</v>
      </c>
      <c r="L482" t="s">
        <v>632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 hidden="1">
      <c r="A483" s="20" t="s">
        <v>765</v>
      </c>
      <c r="B483" s="47">
        <v>46265</v>
      </c>
      <c r="C483" t="s">
        <v>766</v>
      </c>
      <c r="D483" t="s">
        <v>767</v>
      </c>
      <c r="E483" t="s">
        <v>25</v>
      </c>
      <c r="F483" t="s">
        <v>631</v>
      </c>
      <c r="G483" t="s">
        <v>301</v>
      </c>
      <c r="H483" s="20" t="str">
        <f>+T483</f>
        <v>260831-483</v>
      </c>
      <c r="I483" t="s">
        <v>28</v>
      </c>
      <c r="J483" s="30">
        <v>446</v>
      </c>
      <c r="K483" s="22">
        <f>IF(I483="","",IF(I483="ENTRADA",ABS(J483),-ABS(J483)))</f>
        <v>446</v>
      </c>
      <c r="L483" t="s">
        <v>632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 hidden="1">
      <c r="A484" s="20" t="s">
        <v>768</v>
      </c>
      <c r="B484" s="47">
        <v>46260</v>
      </c>
      <c r="C484" t="s">
        <v>769</v>
      </c>
      <c r="D484" t="s">
        <v>770</v>
      </c>
      <c r="E484" t="s">
        <v>34</v>
      </c>
      <c r="F484" t="s">
        <v>35</v>
      </c>
      <c r="G484" t="s">
        <v>771</v>
      </c>
      <c r="H484" s="20" t="str">
        <f>+T484</f>
        <v>260826-484</v>
      </c>
      <c r="I484" t="s">
        <v>28</v>
      </c>
      <c r="J484" s="30">
        <v>3000</v>
      </c>
      <c r="K484" s="22">
        <f>IF(I484="","",IF(I484="ENTRADA",ABS(J484),-ABS(J484)))</f>
        <v>3000</v>
      </c>
      <c r="L484" t="s">
        <v>37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 hidden="1">
      <c r="A485" s="20" t="s">
        <v>772</v>
      </c>
      <c r="B485" s="47">
        <v>46262</v>
      </c>
      <c r="C485" s="34" t="s">
        <v>524</v>
      </c>
      <c r="D485" s="34" t="s">
        <v>525</v>
      </c>
      <c r="E485" s="34" t="s">
        <v>516</v>
      </c>
      <c r="F485" s="34"/>
      <c r="G485" s="34" t="s">
        <v>158</v>
      </c>
      <c r="H485" s="20" t="s">
        <v>553</v>
      </c>
      <c r="I485" s="34" t="s">
        <v>65</v>
      </c>
      <c r="J485" s="36">
        <v>140</v>
      </c>
      <c r="K485" s="22">
        <f>IF(I485="","",IF(I485="ENTRADA",ABS(J485),-ABS(J485)))</f>
        <v>-140</v>
      </c>
      <c r="L485" s="34" t="s">
        <v>37</v>
      </c>
      <c r="M485" s="34"/>
      <c r="N485">
        <v>65174</v>
      </c>
      <c r="O485" s="34" t="s">
        <v>213</v>
      </c>
      <c r="P485" s="46">
        <v>1894</v>
      </c>
      <c r="Q485" s="42">
        <v>46263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 hidden="1">
      <c r="A486" s="20" t="s">
        <v>773</v>
      </c>
      <c r="B486" s="47">
        <v>46262</v>
      </c>
      <c r="C486" t="s">
        <v>130</v>
      </c>
      <c r="D486" t="s">
        <v>131</v>
      </c>
      <c r="E486" t="s">
        <v>132</v>
      </c>
      <c r="G486" t="s">
        <v>133</v>
      </c>
      <c r="H486" s="20" t="s">
        <v>221</v>
      </c>
      <c r="I486" t="s">
        <v>65</v>
      </c>
      <c r="J486" s="30">
        <v>20</v>
      </c>
      <c r="K486" s="22">
        <f>IF(I486="","",IF(I486="ENTRADA",ABS(J486),-ABS(J486)))</f>
        <v>-20</v>
      </c>
      <c r="L486" t="s">
        <v>37</v>
      </c>
      <c r="N486">
        <v>65174</v>
      </c>
      <c r="O486" t="s">
        <v>213</v>
      </c>
      <c r="P486">
        <v>1894</v>
      </c>
      <c r="Q486" s="42">
        <v>46263</v>
      </c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 hidden="1">
      <c r="A487" s="20" t="s">
        <v>774</v>
      </c>
      <c r="B487" s="47">
        <v>46267</v>
      </c>
      <c r="C487" t="s">
        <v>775</v>
      </c>
      <c r="D487" t="s">
        <v>776</v>
      </c>
      <c r="E487" t="s">
        <v>34</v>
      </c>
      <c r="F487" t="s">
        <v>46</v>
      </c>
      <c r="G487" t="s">
        <v>777</v>
      </c>
      <c r="H487" s="20" t="str">
        <f>+T487</f>
        <v>260902-487</v>
      </c>
      <c r="I487" t="s">
        <v>28</v>
      </c>
      <c r="J487" s="30">
        <v>4000</v>
      </c>
      <c r="K487" s="22">
        <f>IF(I487="","",IF(I487="ENTRADA",ABS(J487),-ABS(J487)))</f>
        <v>4000</v>
      </c>
      <c r="L487" t="s">
        <v>37</v>
      </c>
      <c r="M487" s="47">
        <v>46865</v>
      </c>
      <c r="N487">
        <v>3337</v>
      </c>
      <c r="P487">
        <v>15085</v>
      </c>
      <c r="Q487" s="42">
        <v>46276</v>
      </c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 hidden="1">
      <c r="A488" s="20" t="s">
        <v>778</v>
      </c>
      <c r="B488" s="47">
        <v>46235</v>
      </c>
      <c r="C488" t="s">
        <v>779</v>
      </c>
      <c r="D488" t="s">
        <v>780</v>
      </c>
      <c r="E488" t="s">
        <v>34</v>
      </c>
      <c r="G488" t="s">
        <v>27</v>
      </c>
      <c r="H488" s="20" t="str">
        <f>+T488</f>
        <v>260801-488</v>
      </c>
      <c r="I488" t="s">
        <v>28</v>
      </c>
      <c r="J488" s="30">
        <v>1100</v>
      </c>
      <c r="K488" s="22">
        <f>IF(I488="","",IF(I488="ENTRADA",ABS(J488),-ABS(J488)))</f>
        <v>1100</v>
      </c>
      <c r="L488" t="s">
        <v>37</v>
      </c>
      <c r="N488">
        <v>986001</v>
      </c>
      <c r="P488">
        <v>15047</v>
      </c>
      <c r="Q488" s="42">
        <v>46268</v>
      </c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 hidden="1">
      <c r="A489" s="20" t="s">
        <v>781</v>
      </c>
      <c r="B489" s="47">
        <v>46235</v>
      </c>
      <c r="C489" t="s">
        <v>782</v>
      </c>
      <c r="D489" t="s">
        <v>783</v>
      </c>
      <c r="E489" t="s">
        <v>34</v>
      </c>
      <c r="F489" t="s">
        <v>46</v>
      </c>
      <c r="G489" t="s">
        <v>27</v>
      </c>
      <c r="H489" s="20" t="str">
        <f>+T489</f>
        <v>260801-489</v>
      </c>
      <c r="I489" t="s">
        <v>28</v>
      </c>
      <c r="J489" s="30">
        <v>3600</v>
      </c>
      <c r="K489" s="22">
        <f>IF(I489="","",IF(I489="ENTRADA",ABS(J489),-ABS(J489)))</f>
        <v>3600</v>
      </c>
      <c r="L489" t="s">
        <v>29</v>
      </c>
      <c r="N489">
        <v>986001</v>
      </c>
      <c r="P489">
        <v>15047</v>
      </c>
      <c r="Q489" s="42">
        <v>46268</v>
      </c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 hidden="1">
      <c r="A490" s="20" t="s">
        <v>784</v>
      </c>
      <c r="B490" s="47">
        <v>46235</v>
      </c>
      <c r="C490" t="s">
        <v>785</v>
      </c>
      <c r="D490" t="s">
        <v>786</v>
      </c>
      <c r="E490" t="s">
        <v>132</v>
      </c>
      <c r="G490" t="s">
        <v>27</v>
      </c>
      <c r="H490" s="20" t="str">
        <f>+T490</f>
        <v>260801-490</v>
      </c>
      <c r="I490" t="s">
        <v>28</v>
      </c>
      <c r="J490" s="30">
        <v>1000</v>
      </c>
      <c r="K490" s="22">
        <f>IF(I490="","",IF(I490="ENTRADA",ABS(J490),-ABS(J490)))</f>
        <v>1000</v>
      </c>
      <c r="L490" t="s">
        <v>37</v>
      </c>
      <c r="N490">
        <v>986001</v>
      </c>
      <c r="P490">
        <v>15047</v>
      </c>
      <c r="Q490" s="42">
        <v>46268</v>
      </c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 hidden="1">
      <c r="A491" s="20" t="s">
        <v>787</v>
      </c>
      <c r="B491" s="47">
        <v>46235</v>
      </c>
      <c r="C491" t="s">
        <v>788</v>
      </c>
      <c r="D491" t="s">
        <v>789</v>
      </c>
      <c r="E491" t="s">
        <v>34</v>
      </c>
      <c r="F491" t="s">
        <v>46</v>
      </c>
      <c r="G491" t="s">
        <v>27</v>
      </c>
      <c r="H491" s="20" t="str">
        <f>+T491</f>
        <v>260801-491</v>
      </c>
      <c r="I491" t="s">
        <v>28</v>
      </c>
      <c r="J491" s="30">
        <v>1100</v>
      </c>
      <c r="K491" s="22">
        <f>IF(I491="","",IF(I491="ENTRADA",ABS(J491),-ABS(J491)))</f>
        <v>1100</v>
      </c>
      <c r="L491" t="s">
        <v>37</v>
      </c>
      <c r="N491">
        <v>986001</v>
      </c>
      <c r="P491">
        <v>15047</v>
      </c>
      <c r="Q491" s="42">
        <v>46268</v>
      </c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 hidden="1">
      <c r="A492" s="20" t="s">
        <v>790</v>
      </c>
      <c r="B492" s="47">
        <v>46265</v>
      </c>
      <c r="C492" t="s">
        <v>514</v>
      </c>
      <c r="D492" t="s">
        <v>515</v>
      </c>
      <c r="E492" t="s">
        <v>516</v>
      </c>
      <c r="G492" t="s">
        <v>117</v>
      </c>
      <c r="H492" s="20" t="s">
        <v>664</v>
      </c>
      <c r="I492" t="s">
        <v>65</v>
      </c>
      <c r="J492" s="30">
        <v>100</v>
      </c>
      <c r="K492" s="22">
        <f>IF(I492="","",IF(I492="ENTRADA",ABS(J492),-ABS(J492)))</f>
        <v>-100</v>
      </c>
      <c r="L492" t="s">
        <v>37</v>
      </c>
      <c r="N492">
        <v>65176</v>
      </c>
      <c r="O492" t="s">
        <v>218</v>
      </c>
      <c r="P492">
        <v>1895</v>
      </c>
      <c r="Q492" s="42">
        <v>46268</v>
      </c>
      <c r="R492" s="22" t="str">
        <f>IF(H492="","",H492&amp;I492)</f>
        <v>260730-396SALIDA</v>
      </c>
      <c r="S492" s="22" t="str">
        <f>IF(C492="","",C492&amp;I492)</f>
        <v>Unico MaxSALIDA</v>
      </c>
      <c r="T492" t="str">
        <f>IF(OR(C492="",I492&lt;&gt;"ENTRADA"),"",TEXT(B492,"AAMMDD")&amp;"-"&amp;TEXT(VALUE(SUBSTITUTE(A492,"MOV-","")),"000"))</f>
        <v/>
      </c>
    </row>
    <row r="493" spans="1:20" hidden="1">
      <c r="A493" s="20" t="s">
        <v>791</v>
      </c>
      <c r="B493" s="47">
        <v>46265</v>
      </c>
      <c r="C493" t="s">
        <v>130</v>
      </c>
      <c r="D493" t="s">
        <v>131</v>
      </c>
      <c r="E493" t="s">
        <v>132</v>
      </c>
      <c r="G493" t="s">
        <v>133</v>
      </c>
      <c r="H493" s="20" t="s">
        <v>221</v>
      </c>
      <c r="I493" t="s">
        <v>65</v>
      </c>
      <c r="J493" s="30">
        <v>130</v>
      </c>
      <c r="K493" s="22">
        <f>IF(I493="","",IF(I493="ENTRADA",ABS(J493),-ABS(J493)))</f>
        <v>-130</v>
      </c>
      <c r="L493" t="s">
        <v>37</v>
      </c>
      <c r="N493">
        <v>65176</v>
      </c>
      <c r="O493" t="s">
        <v>218</v>
      </c>
      <c r="P493">
        <v>1895</v>
      </c>
      <c r="Q493" s="42">
        <v>46268</v>
      </c>
      <c r="R493" s="22" t="str">
        <f>IF(H493="","",H493&amp;I493)</f>
        <v>260414-029SALIDA</v>
      </c>
      <c r="S493" s="22" t="str">
        <f>IF(C493="","",C493&amp;I493)</f>
        <v>HarrierSALIDA</v>
      </c>
      <c r="T493" t="str">
        <f>IF(OR(C493="",I493&lt;&gt;"ENTRADA"),"",TEXT(B493,"AAMMDD")&amp;"-"&amp;TEXT(VALUE(SUBSTITUTE(A493,"MOV-","")),"000"))</f>
        <v/>
      </c>
    </row>
    <row r="494" spans="1:20" hidden="1">
      <c r="A494" s="20" t="s">
        <v>792</v>
      </c>
      <c r="B494" s="47">
        <v>46265</v>
      </c>
      <c r="C494" t="s">
        <v>137</v>
      </c>
      <c r="D494" t="s">
        <v>138</v>
      </c>
      <c r="E494" t="s">
        <v>132</v>
      </c>
      <c r="G494" t="s">
        <v>133</v>
      </c>
      <c r="H494" s="20" t="s">
        <v>793</v>
      </c>
      <c r="I494" t="s">
        <v>65</v>
      </c>
      <c r="J494" s="30">
        <v>25</v>
      </c>
      <c r="K494" s="22">
        <f>IF(I494="","",IF(I494="ENTRADA",ABS(J494),-ABS(J494)))</f>
        <v>-25</v>
      </c>
      <c r="L494" t="s">
        <v>37</v>
      </c>
      <c r="N494">
        <v>65176</v>
      </c>
      <c r="O494" t="s">
        <v>218</v>
      </c>
      <c r="P494">
        <v>1895</v>
      </c>
      <c r="Q494" s="42">
        <v>46268</v>
      </c>
      <c r="R494" s="22" t="str">
        <f>IF(H494="","",H494&amp;I494)</f>
        <v>260827-472SALIDA</v>
      </c>
      <c r="S494" s="22" t="str">
        <f>IF(C494="","",C494&amp;I494)</f>
        <v>Full controlSALIDA</v>
      </c>
      <c r="T494" t="str">
        <f>IF(OR(C494="",I494&lt;&gt;"ENTRADA"),"",TEXT(B494,"AAMMDD")&amp;"-"&amp;TEXT(VALUE(SUBSTITUTE(A494,"MOV-","")),"000"))</f>
        <v/>
      </c>
    </row>
    <row r="495" spans="1:20" hidden="1">
      <c r="A495" s="20" t="s">
        <v>794</v>
      </c>
      <c r="B495" s="47">
        <v>46265</v>
      </c>
      <c r="C495" t="s">
        <v>719</v>
      </c>
      <c r="D495" t="s">
        <v>720</v>
      </c>
      <c r="E495" t="s">
        <v>34</v>
      </c>
      <c r="F495" t="s">
        <v>35</v>
      </c>
      <c r="G495" t="s">
        <v>117</v>
      </c>
      <c r="H495" s="20" t="s">
        <v>722</v>
      </c>
      <c r="I495" t="s">
        <v>65</v>
      </c>
      <c r="J495" s="30">
        <v>280</v>
      </c>
      <c r="K495" s="22">
        <f>IF(I495="","",IF(I495="ENTRADA",ABS(J495),-ABS(J495)))</f>
        <v>-280</v>
      </c>
      <c r="L495" t="s">
        <v>37</v>
      </c>
      <c r="N495">
        <v>65178</v>
      </c>
      <c r="O495" t="s">
        <v>218</v>
      </c>
      <c r="P495">
        <v>1896</v>
      </c>
      <c r="Q495" s="42">
        <v>46268</v>
      </c>
      <c r="R495" s="22" t="str">
        <f>IF(H495="","",H495&amp;I495)</f>
        <v>260821-449SALIDA</v>
      </c>
      <c r="S495" s="22" t="str">
        <f>IF(C495="","",C495&amp;I495)</f>
        <v>Gamina SALIDA</v>
      </c>
      <c r="T495" t="str">
        <f>IF(OR(C495="",I495&lt;&gt;"ENTRADA"),"",TEXT(B495,"AAMMDD")&amp;"-"&amp;TEXT(VALUE(SUBSTITUTE(A495,"MOV-","")),"000"))</f>
        <v/>
      </c>
    </row>
    <row r="496" spans="1:20" hidden="1">
      <c r="A496" s="20" t="s">
        <v>795</v>
      </c>
      <c r="B496" s="47">
        <v>46265</v>
      </c>
      <c r="C496" s="34" t="s">
        <v>147</v>
      </c>
      <c r="D496" s="34" t="s">
        <v>148</v>
      </c>
      <c r="E496" s="34" t="s">
        <v>34</v>
      </c>
      <c r="F496" s="34" t="s">
        <v>35</v>
      </c>
      <c r="G496" s="34" t="s">
        <v>36</v>
      </c>
      <c r="H496" s="20" t="s">
        <v>563</v>
      </c>
      <c r="I496" s="34" t="s">
        <v>65</v>
      </c>
      <c r="J496" s="36">
        <v>20</v>
      </c>
      <c r="K496" s="22">
        <f>IF(I496="","",IF(I496="ENTRADA",ABS(J496),-ABS(J496)))</f>
        <v>-20</v>
      </c>
      <c r="L496" s="34" t="s">
        <v>37</v>
      </c>
      <c r="M496" s="34"/>
      <c r="N496">
        <v>65178</v>
      </c>
      <c r="O496" s="34" t="s">
        <v>218</v>
      </c>
      <c r="P496" s="34">
        <v>1896</v>
      </c>
      <c r="Q496" s="42">
        <v>46268</v>
      </c>
      <c r="R496" s="22" t="str">
        <f>IF(H496="","",H496&amp;I496)</f>
        <v>260415-032SALIDA</v>
      </c>
      <c r="S496" s="22" t="str">
        <f>IF(C496="","",C496&amp;I496)</f>
        <v>AxialSALIDA</v>
      </c>
      <c r="T496" t="str">
        <f>IF(OR(C496="",I496&lt;&gt;"ENTRADA"),"",TEXT(B496,"AAMMDD")&amp;"-"&amp;TEXT(VALUE(SUBSTITUTE(A496,"MOV-","")),"000"))</f>
        <v/>
      </c>
    </row>
    <row r="497" spans="1:20" hidden="1">
      <c r="A497" s="20" t="s">
        <v>796</v>
      </c>
      <c r="B497" s="47">
        <v>46266</v>
      </c>
      <c r="C497" t="s">
        <v>782</v>
      </c>
      <c r="D497" t="s">
        <v>783</v>
      </c>
      <c r="E497" t="s">
        <v>34</v>
      </c>
      <c r="F497" t="s">
        <v>46</v>
      </c>
      <c r="G497" t="s">
        <v>27</v>
      </c>
      <c r="H497" s="20" t="s">
        <v>797</v>
      </c>
      <c r="I497" t="s">
        <v>65</v>
      </c>
      <c r="J497" s="30">
        <v>160</v>
      </c>
      <c r="K497" s="22">
        <f>IF(I497="","",IF(I497="ENTRADA",ABS(J497),-ABS(J497)))</f>
        <v>-160</v>
      </c>
      <c r="L497" t="s">
        <v>29</v>
      </c>
      <c r="N497">
        <v>65179</v>
      </c>
      <c r="O497" t="s">
        <v>213</v>
      </c>
      <c r="P497">
        <v>1897</v>
      </c>
      <c r="Q497" s="42">
        <v>46268</v>
      </c>
      <c r="R497" s="22" t="str">
        <f>IF(H497="","",H497&amp;I497)</f>
        <v>260801-489SALIDA</v>
      </c>
      <c r="S497" s="22" t="str">
        <f>IF(C497="","",C497&amp;I497)</f>
        <v>PyroxateSALIDA</v>
      </c>
      <c r="T497" t="str">
        <f>IF(OR(C497="",I497&lt;&gt;"ENTRADA"),"",TEXT(B497,"AAMMDD")&amp;"-"&amp;TEXT(VALUE(SUBSTITUTE(A497,"MOV-","")),"000"))</f>
        <v/>
      </c>
    </row>
    <row r="498" spans="1:20" hidden="1">
      <c r="A498" s="20" t="s">
        <v>798</v>
      </c>
      <c r="B498" s="47">
        <v>46266</v>
      </c>
      <c r="C498" t="s">
        <v>524</v>
      </c>
      <c r="D498" t="s">
        <v>525</v>
      </c>
      <c r="E498" t="s">
        <v>516</v>
      </c>
      <c r="G498" t="s">
        <v>158</v>
      </c>
      <c r="H498" s="20" t="s">
        <v>799</v>
      </c>
      <c r="I498" t="s">
        <v>65</v>
      </c>
      <c r="J498" s="30">
        <v>435</v>
      </c>
      <c r="K498" s="22">
        <f>IF(I498="","",IF(I498="ENTRADA",ABS(J498),-ABS(J498)))</f>
        <v>-435</v>
      </c>
      <c r="L498" t="s">
        <v>37</v>
      </c>
      <c r="N498">
        <v>65180</v>
      </c>
      <c r="O498" t="s">
        <v>382</v>
      </c>
      <c r="P498">
        <v>1898</v>
      </c>
      <c r="Q498" s="42">
        <v>46268</v>
      </c>
      <c r="R498" s="22" t="str">
        <f>IF(H498="","",H498&amp;I498)</f>
        <v>260706-343SALIDA</v>
      </c>
      <c r="S498" s="22" t="str">
        <f>IF(C498="","",C498&amp;I498)</f>
        <v>cripton xpro SALIDA</v>
      </c>
      <c r="T498" t="str">
        <f>IF(OR(C498="",I498&lt;&gt;"ENTRADA"),"",TEXT(B498,"AAMMDD")&amp;"-"&amp;TEXT(VALUE(SUBSTITUTE(A498,"MOV-","")),"000"))</f>
        <v/>
      </c>
    </row>
    <row r="499" spans="1:20" hidden="1">
      <c r="A499" s="20" t="s">
        <v>800</v>
      </c>
      <c r="B499" s="47">
        <v>46266</v>
      </c>
      <c r="C499" t="s">
        <v>514</v>
      </c>
      <c r="D499" t="s">
        <v>515</v>
      </c>
      <c r="E499" t="s">
        <v>516</v>
      </c>
      <c r="G499" t="s">
        <v>117</v>
      </c>
      <c r="H499" s="20" t="s">
        <v>664</v>
      </c>
      <c r="I499" t="s">
        <v>65</v>
      </c>
      <c r="J499" s="30">
        <v>465</v>
      </c>
      <c r="K499" s="22">
        <f>IF(I499="","",IF(I499="ENTRADA",ABS(J499),-ABS(J499)))</f>
        <v>-465</v>
      </c>
      <c r="L499" t="s">
        <v>37</v>
      </c>
      <c r="N499">
        <v>65180</v>
      </c>
      <c r="O499" t="s">
        <v>382</v>
      </c>
      <c r="P499">
        <v>1898</v>
      </c>
      <c r="Q499" s="42">
        <v>46268</v>
      </c>
      <c r="R499" s="22" t="str">
        <f>IF(H499="","",H499&amp;I499)</f>
        <v>260730-396SALIDA</v>
      </c>
      <c r="S499" s="22" t="str">
        <f>IF(C499="","",C499&amp;I499)</f>
        <v>Unico MaxSALIDA</v>
      </c>
      <c r="T499" t="str">
        <f>IF(OR(C499="",I499&lt;&gt;"ENTRADA"),"",TEXT(B499,"AAMMDD")&amp;"-"&amp;TEXT(VALUE(SUBSTITUTE(A499,"MOV-","")),"000"))</f>
        <v/>
      </c>
    </row>
    <row r="500" spans="1:20" hidden="1">
      <c r="A500" s="20" t="s">
        <v>801</v>
      </c>
      <c r="B500" s="47">
        <v>46266</v>
      </c>
      <c r="C500" t="s">
        <v>130</v>
      </c>
      <c r="D500" t="s">
        <v>131</v>
      </c>
      <c r="E500" t="s">
        <v>132</v>
      </c>
      <c r="G500" t="s">
        <v>133</v>
      </c>
      <c r="H500" s="20" t="s">
        <v>221</v>
      </c>
      <c r="I500" t="s">
        <v>65</v>
      </c>
      <c r="J500" s="30">
        <v>160</v>
      </c>
      <c r="K500" s="22">
        <f>IF(I500="","",IF(I500="ENTRADA",ABS(J500),-ABS(J500)))</f>
        <v>-160</v>
      </c>
      <c r="L500" t="s">
        <v>37</v>
      </c>
      <c r="N500">
        <v>65180</v>
      </c>
      <c r="O500" t="s">
        <v>382</v>
      </c>
      <c r="P500">
        <v>1898</v>
      </c>
      <c r="Q500" s="42">
        <v>46268</v>
      </c>
      <c r="R500" s="22" t="str">
        <f>IF(H500="","",H500&amp;I500)</f>
        <v>260414-029SALIDA</v>
      </c>
      <c r="S500" s="22" t="str">
        <f>IF(C500="","",C500&amp;I500)</f>
        <v>HarrierSALIDA</v>
      </c>
      <c r="T500" t="str">
        <f>IF(OR(C500="",I500&lt;&gt;"ENTRADA"),"",TEXT(B500,"AAMMDD")&amp;"-"&amp;TEXT(VALUE(SUBSTITUTE(A500,"MOV-","")),"000"))</f>
        <v/>
      </c>
    </row>
    <row r="501" spans="1:20" hidden="1">
      <c r="A501" s="20" t="s">
        <v>802</v>
      </c>
      <c r="B501" s="47">
        <v>46266</v>
      </c>
      <c r="C501" t="s">
        <v>137</v>
      </c>
      <c r="D501" t="s">
        <v>138</v>
      </c>
      <c r="E501" t="s">
        <v>132</v>
      </c>
      <c r="G501" t="s">
        <v>133</v>
      </c>
      <c r="H501" s="20" t="s">
        <v>793</v>
      </c>
      <c r="I501" t="s">
        <v>65</v>
      </c>
      <c r="J501" s="30">
        <v>30</v>
      </c>
      <c r="K501" s="22">
        <f>IF(I501="","",IF(I501="ENTRADA",ABS(J501),-ABS(J501)))</f>
        <v>-30</v>
      </c>
      <c r="L501" t="s">
        <v>37</v>
      </c>
      <c r="N501">
        <v>65180</v>
      </c>
      <c r="O501" t="s">
        <v>382</v>
      </c>
      <c r="P501">
        <v>1898</v>
      </c>
      <c r="Q501" s="47">
        <v>46268</v>
      </c>
      <c r="R501" s="22" t="str">
        <f>IF(H501="","",H501&amp;I501)</f>
        <v>260827-472SALIDA</v>
      </c>
      <c r="S501" s="22" t="str">
        <f>IF(C501="","",C501&amp;I501)</f>
        <v>Full controlSALIDA</v>
      </c>
      <c r="T501" t="str">
        <f>IF(OR(C501="",I501&lt;&gt;"ENTRADA"),"",TEXT(B501,"AAMMDD")&amp;"-"&amp;TEXT(VALUE(SUBSTITUTE(A501,"MOV-","")),"000"))</f>
        <v/>
      </c>
    </row>
    <row r="502" spans="1:20" hidden="1">
      <c r="A502" s="20" t="s">
        <v>803</v>
      </c>
      <c r="B502" s="47">
        <v>46266</v>
      </c>
      <c r="C502" t="s">
        <v>115</v>
      </c>
      <c r="D502" t="s">
        <v>116</v>
      </c>
      <c r="E502" t="s">
        <v>34</v>
      </c>
      <c r="F502" t="s">
        <v>35</v>
      </c>
      <c r="G502" t="s">
        <v>117</v>
      </c>
      <c r="H502" s="20" t="s">
        <v>668</v>
      </c>
      <c r="I502" t="s">
        <v>65</v>
      </c>
      <c r="J502" s="30">
        <v>100</v>
      </c>
      <c r="K502" s="22">
        <f>IF(I502="","",IF(I502="ENTRADA",ABS(J502),-ABS(J502)))</f>
        <v>-100</v>
      </c>
      <c r="L502" t="s">
        <v>37</v>
      </c>
      <c r="N502">
        <v>65181</v>
      </c>
      <c r="O502" t="s">
        <v>213</v>
      </c>
      <c r="P502">
        <v>1899</v>
      </c>
      <c r="Q502" s="47">
        <v>46268</v>
      </c>
      <c r="R502" s="22" t="str">
        <f>IF(H502="","",H502&amp;I502)</f>
        <v>260727-381SALIDA</v>
      </c>
      <c r="S502" s="22" t="str">
        <f>IF(C502="","",C502&amp;I502)</f>
        <v>AzukaSALIDA</v>
      </c>
      <c r="T502" t="str">
        <f>IF(OR(C502="",I502&lt;&gt;"ENTRADA"),"",TEXT(B502,"AAMMDD")&amp;"-"&amp;TEXT(VALUE(SUBSTITUTE(A502,"MOV-","")),"000"))</f>
        <v/>
      </c>
    </row>
    <row r="503" spans="1:20" hidden="1">
      <c r="A503" s="20" t="s">
        <v>804</v>
      </c>
      <c r="B503" s="47">
        <v>46266</v>
      </c>
      <c r="C503" t="s">
        <v>90</v>
      </c>
      <c r="D503" t="s">
        <v>91</v>
      </c>
      <c r="E503" t="s">
        <v>34</v>
      </c>
      <c r="F503" t="s">
        <v>35</v>
      </c>
      <c r="G503" t="s">
        <v>36</v>
      </c>
      <c r="H503" s="20" t="s">
        <v>375</v>
      </c>
      <c r="I503" t="s">
        <v>65</v>
      </c>
      <c r="J503" s="30">
        <v>30</v>
      </c>
      <c r="K503" s="22">
        <f>IF(I503="","",IF(I503="ENTRADA",ABS(J503),-ABS(J503)))</f>
        <v>-30</v>
      </c>
      <c r="L503" t="s">
        <v>37</v>
      </c>
      <c r="N503">
        <v>65182</v>
      </c>
      <c r="O503" t="s">
        <v>218</v>
      </c>
      <c r="P503">
        <v>1900</v>
      </c>
      <c r="Q503" s="47">
        <v>46268</v>
      </c>
      <c r="R503" s="22" t="str">
        <f>IF(H503="","",H503&amp;I503)</f>
        <v>260405-132SALIDA</v>
      </c>
      <c r="S503" s="22" t="str">
        <f>IF(C503="","",C503&amp;I503)</f>
        <v>PixxaroSALIDA</v>
      </c>
      <c r="T503" t="str">
        <f>IF(OR(C503="",I503&lt;&gt;"ENTRADA"),"",TEXT(B503,"AAMMDD")&amp;"-"&amp;TEXT(VALUE(SUBSTITUTE(A503,"MOV-","")),"000"))</f>
        <v/>
      </c>
    </row>
    <row r="504" spans="1:20" hidden="1">
      <c r="A504" s="20" t="s">
        <v>805</v>
      </c>
      <c r="B504" s="47">
        <v>46267</v>
      </c>
      <c r="C504" t="s">
        <v>760</v>
      </c>
      <c r="D504" t="s">
        <v>761</v>
      </c>
      <c r="E504" t="s">
        <v>25</v>
      </c>
      <c r="F504" t="s">
        <v>631</v>
      </c>
      <c r="G504" t="s">
        <v>27</v>
      </c>
      <c r="H504" s="20" t="s">
        <v>806</v>
      </c>
      <c r="I504" t="s">
        <v>65</v>
      </c>
      <c r="J504" s="30">
        <v>100</v>
      </c>
      <c r="K504" s="22">
        <f>IF(I504="","",IF(I504="ENTRADA",ABS(J504),-ABS(J504)))</f>
        <v>-100</v>
      </c>
      <c r="L504" t="s">
        <v>632</v>
      </c>
      <c r="N504">
        <v>65183</v>
      </c>
      <c r="O504" t="s">
        <v>213</v>
      </c>
      <c r="P504">
        <v>1902</v>
      </c>
      <c r="Q504" s="47">
        <v>46268</v>
      </c>
      <c r="R504" s="22" t="str">
        <f>IF(H504="","",H504&amp;I504)</f>
        <v>260821-481SALIDA</v>
      </c>
      <c r="S504" s="22" t="str">
        <f>IF(C504="","",C504&amp;I504)</f>
        <v>semilla comprada maiz illinois 7.24 SALIDA</v>
      </c>
      <c r="T504" t="str">
        <f>IF(OR(C504="",I504&lt;&gt;"ENTRADA"),"",TEXT(B504,"AAMMDD")&amp;"-"&amp;TEXT(VALUE(SUBSTITUTE(A504,"MOV-","")),"000"))</f>
        <v/>
      </c>
    </row>
    <row r="505" spans="1:20" hidden="1">
      <c r="A505" s="20" t="s">
        <v>807</v>
      </c>
      <c r="B505" s="47">
        <v>46267</v>
      </c>
      <c r="C505" t="s">
        <v>763</v>
      </c>
      <c r="D505" t="s">
        <v>764</v>
      </c>
      <c r="E505" t="s">
        <v>25</v>
      </c>
      <c r="F505" t="s">
        <v>631</v>
      </c>
      <c r="G505" t="s">
        <v>27</v>
      </c>
      <c r="H505" s="20" t="s">
        <v>808</v>
      </c>
      <c r="I505" t="s">
        <v>65</v>
      </c>
      <c r="J505" s="30">
        <v>10</v>
      </c>
      <c r="K505" s="22">
        <f>IF(I505="","",IF(I505="ENTRADA",ABS(J505),-ABS(J505)))</f>
        <v>-10</v>
      </c>
      <c r="L505" t="s">
        <v>632</v>
      </c>
      <c r="N505">
        <v>65183</v>
      </c>
      <c r="O505" t="s">
        <v>213</v>
      </c>
      <c r="P505">
        <v>1902</v>
      </c>
      <c r="Q505" s="47">
        <v>46268</v>
      </c>
      <c r="R505" s="22" t="str">
        <f>IF(H505="","",H505&amp;I505)</f>
        <v>260821-482SALIDA</v>
      </c>
      <c r="S505" s="22" t="str">
        <f>IF(C505="","",C505&amp;I505)</f>
        <v>refugio semilla maiz illinois SALIDA</v>
      </c>
      <c r="T505" t="str">
        <f>IF(OR(C505="",I505&lt;&gt;"ENTRADA"),"",TEXT(B505,"AAMMDD")&amp;"-"&amp;TEXT(VALUE(SUBSTITUTE(A505,"MOV-","")),"000"))</f>
        <v/>
      </c>
    </row>
    <row r="506" spans="1:20" hidden="1">
      <c r="A506" s="20" t="s">
        <v>809</v>
      </c>
      <c r="B506" s="47">
        <v>46267</v>
      </c>
      <c r="C506" t="s">
        <v>757</v>
      </c>
      <c r="D506" t="s">
        <v>758</v>
      </c>
      <c r="E506" t="s">
        <v>25</v>
      </c>
      <c r="F506" t="s">
        <v>631</v>
      </c>
      <c r="G506" t="s">
        <v>27</v>
      </c>
      <c r="H506" s="20" t="s">
        <v>810</v>
      </c>
      <c r="I506" t="s">
        <v>65</v>
      </c>
      <c r="J506" s="30">
        <v>132</v>
      </c>
      <c r="K506" s="22">
        <f>IF(I506="","",IF(I506="ENTRADA",ABS(J506),-ABS(J506)))</f>
        <v>-132</v>
      </c>
      <c r="L506" t="s">
        <v>632</v>
      </c>
      <c r="N506">
        <v>65183</v>
      </c>
      <c r="O506" t="s">
        <v>213</v>
      </c>
      <c r="P506">
        <v>1902</v>
      </c>
      <c r="Q506" s="47">
        <v>46268</v>
      </c>
      <c r="R506" s="22" t="str">
        <f>IF(H506="","",H506&amp;I506)</f>
        <v>260821-480SALIDA</v>
      </c>
      <c r="S506" s="22" t="str">
        <f>IF(C506="","",C506&amp;I506)</f>
        <v>semilla comprada maiz illinois 2773SALIDA</v>
      </c>
      <c r="T506" t="str">
        <f>IF(OR(C506="",I506&lt;&gt;"ENTRADA"),"",TEXT(B506,"AAMMDD")&amp;"-"&amp;TEXT(VALUE(SUBSTITUTE(A506,"MOV-","")),"000"))</f>
        <v/>
      </c>
    </row>
    <row r="507" spans="1:20" hidden="1">
      <c r="A507" s="20" t="s">
        <v>811</v>
      </c>
      <c r="B507" s="47">
        <v>46267</v>
      </c>
      <c r="C507" s="34" t="s">
        <v>763</v>
      </c>
      <c r="D507" s="34" t="s">
        <v>764</v>
      </c>
      <c r="E507" s="34" t="s">
        <v>25</v>
      </c>
      <c r="F507" s="34" t="s">
        <v>631</v>
      </c>
      <c r="G507" s="34" t="s">
        <v>27</v>
      </c>
      <c r="H507" s="20" t="s">
        <v>808</v>
      </c>
      <c r="I507" s="34" t="s">
        <v>65</v>
      </c>
      <c r="J507" s="36">
        <v>10</v>
      </c>
      <c r="K507" s="22">
        <f>IF(I507="","",IF(I507="ENTRADA",ABS(J507),-ABS(J507)))</f>
        <v>-10</v>
      </c>
      <c r="L507" s="34" t="s">
        <v>632</v>
      </c>
      <c r="M507" s="34"/>
      <c r="N507">
        <v>65183</v>
      </c>
      <c r="O507" s="34" t="s">
        <v>213</v>
      </c>
      <c r="P507" s="34">
        <v>1902</v>
      </c>
      <c r="Q507" s="47">
        <v>46268</v>
      </c>
      <c r="R507" s="22" t="str">
        <f>IF(H507="","",H507&amp;I507)</f>
        <v>260821-482SALIDA</v>
      </c>
      <c r="S507" s="22" t="str">
        <f>IF(C507="","",C507&amp;I507)</f>
        <v>refugio semilla maiz illinois SALIDA</v>
      </c>
      <c r="T507" t="str">
        <f>IF(OR(C507="",I507&lt;&gt;"ENTRADA"),"",TEXT(B507,"AAMMDD")&amp;"-"&amp;TEXT(VALUE(SUBSTITUTE(A507,"MOV-","")),"000"))</f>
        <v/>
      </c>
    </row>
    <row r="508" spans="1:20" hidden="1">
      <c r="A508" s="20" t="s">
        <v>812</v>
      </c>
      <c r="B508" s="47">
        <v>46267</v>
      </c>
      <c r="C508" t="s">
        <v>115</v>
      </c>
      <c r="D508" t="s">
        <v>116</v>
      </c>
      <c r="E508" t="s">
        <v>34</v>
      </c>
      <c r="F508" t="s">
        <v>35</v>
      </c>
      <c r="G508" t="s">
        <v>117</v>
      </c>
      <c r="H508" s="20" t="s">
        <v>668</v>
      </c>
      <c r="I508" t="s">
        <v>65</v>
      </c>
      <c r="J508" s="30">
        <v>1600</v>
      </c>
      <c r="K508" s="22">
        <f>IF(I508="","",IF(I508="ENTRADA",ABS(J508),-ABS(J508)))</f>
        <v>-1600</v>
      </c>
      <c r="L508" t="s">
        <v>37</v>
      </c>
      <c r="N508">
        <v>65184</v>
      </c>
      <c r="O508" t="s">
        <v>218</v>
      </c>
      <c r="P508">
        <v>1901</v>
      </c>
      <c r="Q508" s="47">
        <v>46268</v>
      </c>
      <c r="R508" s="22" t="str">
        <f>IF(H508="","",H508&amp;I508)</f>
        <v>260727-381SALIDA</v>
      </c>
      <c r="S508" s="22" t="str">
        <f>IF(C508="","",C508&amp;I508)</f>
        <v>AzukaSALIDA</v>
      </c>
      <c r="T508" t="str">
        <f>IF(OR(C508="",I508&lt;&gt;"ENTRADA"),"",TEXT(B508,"AAMMDD")&amp;"-"&amp;TEXT(VALUE(SUBSTITUTE(A508,"MOV-","")),"000"))</f>
        <v/>
      </c>
    </row>
    <row r="509" spans="1:20" hidden="1">
      <c r="A509" s="20" t="s">
        <v>813</v>
      </c>
      <c r="B509" s="47">
        <v>46267</v>
      </c>
      <c r="C509" t="s">
        <v>122</v>
      </c>
      <c r="D509" t="s">
        <v>123</v>
      </c>
      <c r="E509" t="s">
        <v>34</v>
      </c>
      <c r="F509" t="s">
        <v>35</v>
      </c>
      <c r="G509" t="s">
        <v>117</v>
      </c>
      <c r="H509" s="20" t="s">
        <v>203</v>
      </c>
      <c r="I509" t="s">
        <v>65</v>
      </c>
      <c r="J509" s="30">
        <v>500</v>
      </c>
      <c r="K509" s="22">
        <f>IF(I509="","",IF(I509="ENTRADA",ABS(J509),-ABS(J509)))</f>
        <v>-500</v>
      </c>
      <c r="L509" t="s">
        <v>37</v>
      </c>
      <c r="N509">
        <v>65184</v>
      </c>
      <c r="O509" t="s">
        <v>218</v>
      </c>
      <c r="P509">
        <v>1901</v>
      </c>
      <c r="Q509" s="47">
        <v>46268</v>
      </c>
      <c r="R509" s="22" t="str">
        <f>IF(H509="","",H509&amp;I509)</f>
        <v>260410-027SALIDA</v>
      </c>
      <c r="S509" s="22" t="str">
        <f>IF(C509="","",C509&amp;I509)</f>
        <v>PardoSALIDA</v>
      </c>
      <c r="T509" t="str">
        <f>IF(OR(C509="",I509&lt;&gt;"ENTRADA"),"",TEXT(B509,"AAMMDD")&amp;"-"&amp;TEXT(VALUE(SUBSTITUTE(A509,"MOV-","")),"000"))</f>
        <v/>
      </c>
    </row>
    <row r="510" spans="1:20" hidden="1">
      <c r="A510" s="20" t="s">
        <v>814</v>
      </c>
      <c r="B510" s="47">
        <v>46267</v>
      </c>
      <c r="C510" t="s">
        <v>75</v>
      </c>
      <c r="D510" t="s">
        <v>76</v>
      </c>
      <c r="E510" t="s">
        <v>34</v>
      </c>
      <c r="F510" t="s">
        <v>35</v>
      </c>
      <c r="G510" t="s">
        <v>77</v>
      </c>
      <c r="H510" s="20" t="s">
        <v>94</v>
      </c>
      <c r="I510" t="s">
        <v>65</v>
      </c>
      <c r="J510" s="30">
        <v>400</v>
      </c>
      <c r="K510" s="22">
        <f>IF(I510="","",IF(I510="ENTRADA",ABS(J510),-ABS(J510)))</f>
        <v>-400</v>
      </c>
      <c r="L510" t="s">
        <v>37</v>
      </c>
      <c r="N510">
        <v>65184</v>
      </c>
      <c r="O510" t="s">
        <v>218</v>
      </c>
      <c r="P510">
        <v>1901</v>
      </c>
      <c r="Q510" s="47">
        <v>46268</v>
      </c>
      <c r="R510" s="22" t="str">
        <f>IF(H510="","",H510&amp;I510)</f>
        <v>260407-012SALIDA</v>
      </c>
      <c r="S510" s="22" t="str">
        <f>IF(C510="","",C510&amp;I510)</f>
        <v>Dedalo eliteSALIDA</v>
      </c>
      <c r="T510" t="str">
        <f>IF(OR(C510="",I510&lt;&gt;"ENTRADA"),"",TEXT(B510,"AAMMDD")&amp;"-"&amp;TEXT(VALUE(SUBSTITUTE(A510,"MOV-","")),"000"))</f>
        <v/>
      </c>
    </row>
    <row r="511" spans="1:20" hidden="1">
      <c r="A511" s="20" t="s">
        <v>815</v>
      </c>
      <c r="B511" s="47">
        <v>46267</v>
      </c>
      <c r="C511" t="s">
        <v>122</v>
      </c>
      <c r="D511" t="s">
        <v>123</v>
      </c>
      <c r="E511" t="s">
        <v>34</v>
      </c>
      <c r="F511" t="s">
        <v>35</v>
      </c>
      <c r="G511" t="s">
        <v>117</v>
      </c>
      <c r="H511" s="20" t="s">
        <v>203</v>
      </c>
      <c r="I511" t="s">
        <v>65</v>
      </c>
      <c r="J511" s="30">
        <v>80</v>
      </c>
      <c r="K511" s="22">
        <f>IF(I511="","",IF(I511="ENTRADA",ABS(J511),-ABS(J511)))</f>
        <v>-80</v>
      </c>
      <c r="L511" t="s">
        <v>37</v>
      </c>
      <c r="N511">
        <v>65185</v>
      </c>
      <c r="O511" t="s">
        <v>218</v>
      </c>
      <c r="P511">
        <v>1903</v>
      </c>
      <c r="Q511" s="47">
        <v>46268</v>
      </c>
      <c r="R511" s="22" t="str">
        <f>IF(H511="","",H511&amp;I511)</f>
        <v>260410-027SALIDA</v>
      </c>
      <c r="S511" s="22" t="str">
        <f>IF(C511="","",C511&amp;I511)</f>
        <v>PardoSALIDA</v>
      </c>
      <c r="T511" t="str">
        <f>IF(OR(C511="",I511&lt;&gt;"ENTRADA"),"",TEXT(B511,"AAMMDD")&amp;"-"&amp;TEXT(VALUE(SUBSTITUTE(A511,"MOV-","")),"000"))</f>
        <v/>
      </c>
    </row>
    <row r="512" spans="1:20" hidden="1">
      <c r="A512" s="20" t="s">
        <v>816</v>
      </c>
      <c r="B512" s="47">
        <v>46267</v>
      </c>
      <c r="C512" t="s">
        <v>90</v>
      </c>
      <c r="D512" t="s">
        <v>91</v>
      </c>
      <c r="E512" t="s">
        <v>34</v>
      </c>
      <c r="F512" t="s">
        <v>35</v>
      </c>
      <c r="G512" t="s">
        <v>36</v>
      </c>
      <c r="H512" s="20" t="s">
        <v>375</v>
      </c>
      <c r="I512" t="s">
        <v>65</v>
      </c>
      <c r="J512" s="30">
        <v>20</v>
      </c>
      <c r="K512" s="22">
        <f>IF(I512="","",IF(I512="ENTRADA",ABS(J512),-ABS(J512)))</f>
        <v>-20</v>
      </c>
      <c r="L512" t="s">
        <v>37</v>
      </c>
      <c r="N512">
        <v>65185</v>
      </c>
      <c r="O512" t="s">
        <v>218</v>
      </c>
      <c r="P512">
        <v>1903</v>
      </c>
      <c r="Q512" s="47">
        <v>46268</v>
      </c>
      <c r="R512" s="22" t="str">
        <f>IF(H512="","",H512&amp;I512)</f>
        <v>260405-132SALIDA</v>
      </c>
      <c r="S512" s="22" t="str">
        <f>IF(C512="","",C512&amp;I512)</f>
        <v>PixxaroSALIDA</v>
      </c>
      <c r="T512" t="str">
        <f>IF(OR(C512="",I512&lt;&gt;"ENTRADA"),"",TEXT(B512,"AAMMDD")&amp;"-"&amp;TEXT(VALUE(SUBSTITUTE(A512,"MOV-","")),"000"))</f>
        <v/>
      </c>
    </row>
    <row r="513" spans="1:20" hidden="1">
      <c r="A513" s="20" t="s">
        <v>817</v>
      </c>
      <c r="B513" s="47">
        <v>46267</v>
      </c>
      <c r="C513" t="s">
        <v>115</v>
      </c>
      <c r="D513" t="s">
        <v>116</v>
      </c>
      <c r="E513" t="s">
        <v>34</v>
      </c>
      <c r="F513" t="s">
        <v>35</v>
      </c>
      <c r="G513" t="s">
        <v>117</v>
      </c>
      <c r="H513" s="20" t="s">
        <v>668</v>
      </c>
      <c r="I513" t="s">
        <v>65</v>
      </c>
      <c r="J513" s="30">
        <v>100</v>
      </c>
      <c r="K513" s="22">
        <f>IF(I513="","",IF(I513="ENTRADA",ABS(J513),-ABS(J513)))</f>
        <v>-100</v>
      </c>
      <c r="L513" t="s">
        <v>37</v>
      </c>
      <c r="N513">
        <v>65185</v>
      </c>
      <c r="O513" t="s">
        <v>218</v>
      </c>
      <c r="P513">
        <v>1903</v>
      </c>
      <c r="Q513" s="47">
        <v>46268</v>
      </c>
      <c r="R513" s="22" t="str">
        <f>IF(H513="","",H513&amp;I513)</f>
        <v>260727-381SALIDA</v>
      </c>
      <c r="S513" s="22" t="str">
        <f>IF(C513="","",C513&amp;I513)</f>
        <v>AzukaSALIDA</v>
      </c>
      <c r="T513" t="str">
        <f>IF(OR(C513="",I513&lt;&gt;"ENTRADA"),"",TEXT(B513,"AAMMDD")&amp;"-"&amp;TEXT(VALUE(SUBSTITUTE(A513,"MOV-","")),"000"))</f>
        <v/>
      </c>
    </row>
    <row r="514" spans="1:20" hidden="1">
      <c r="A514" s="20" t="s">
        <v>818</v>
      </c>
      <c r="B514" s="47">
        <v>46267</v>
      </c>
      <c r="C514" t="s">
        <v>750</v>
      </c>
      <c r="D514" t="s">
        <v>751</v>
      </c>
      <c r="E514" t="s">
        <v>34</v>
      </c>
      <c r="G514" t="s">
        <v>301</v>
      </c>
      <c r="H514" s="20" t="s">
        <v>753</v>
      </c>
      <c r="I514" t="s">
        <v>65</v>
      </c>
      <c r="J514" s="30">
        <v>70</v>
      </c>
      <c r="K514" s="22">
        <f>IF(I514="","",IF(I514="ENTRADA",ABS(J514),-ABS(J514)))</f>
        <v>-70</v>
      </c>
      <c r="L514" t="s">
        <v>37</v>
      </c>
      <c r="N514">
        <v>65185</v>
      </c>
      <c r="O514" t="s">
        <v>218</v>
      </c>
      <c r="P514">
        <v>1903</v>
      </c>
      <c r="Q514" s="47">
        <v>46268</v>
      </c>
      <c r="R514" s="22" t="str">
        <f>IF(H514="","",H514&amp;I514)</f>
        <v>260813-476SALIDA</v>
      </c>
      <c r="S514" s="22" t="str">
        <f>IF(C514="","",C514&amp;I514)</f>
        <v>Fluroxipir Forte 480SALIDA</v>
      </c>
      <c r="T514" t="str">
        <f>IF(OR(C514="",I514&lt;&gt;"ENTRADA"),"",TEXT(B514,"AAMMDD")&amp;"-"&amp;TEXT(VALUE(SUBSTITUTE(A514,"MOV-","")),"000"))</f>
        <v/>
      </c>
    </row>
    <row r="515" spans="1:20" hidden="1">
      <c r="A515" s="20" t="s">
        <v>819</v>
      </c>
      <c r="B515" s="47">
        <v>46267</v>
      </c>
      <c r="C515" t="s">
        <v>757</v>
      </c>
      <c r="D515" t="s">
        <v>758</v>
      </c>
      <c r="E515" t="s">
        <v>25</v>
      </c>
      <c r="F515" t="s">
        <v>631</v>
      </c>
      <c r="G515" t="s">
        <v>27</v>
      </c>
      <c r="H515" s="20" t="s">
        <v>810</v>
      </c>
      <c r="I515" t="s">
        <v>65</v>
      </c>
      <c r="J515" s="30">
        <v>80</v>
      </c>
      <c r="K515" s="22">
        <f>IF(I515="","",IF(I515="ENTRADA",ABS(J515),-ABS(J515)))</f>
        <v>-80</v>
      </c>
      <c r="L515" t="s">
        <v>632</v>
      </c>
      <c r="N515">
        <v>65186</v>
      </c>
      <c r="O515" t="s">
        <v>213</v>
      </c>
      <c r="P515">
        <v>1904</v>
      </c>
      <c r="Q515" s="47">
        <v>46269</v>
      </c>
      <c r="R515" s="22" t="str">
        <f>IF(H515="","",H515&amp;I515)</f>
        <v>260821-480SALIDA</v>
      </c>
      <c r="S515" s="22" t="str">
        <f>IF(C515="","",C515&amp;I515)</f>
        <v>semilla comprada maiz illinois 2773SALIDA</v>
      </c>
      <c r="T515" t="str">
        <f>IF(OR(C515="",I515&lt;&gt;"ENTRADA"),"",TEXT(B515,"AAMMDD")&amp;"-"&amp;TEXT(VALUE(SUBSTITUTE(A515,"MOV-","")),"000"))</f>
        <v/>
      </c>
    </row>
    <row r="516" spans="1:20" hidden="1">
      <c r="A516" s="20" t="s">
        <v>820</v>
      </c>
      <c r="B516" s="47">
        <v>46267</v>
      </c>
      <c r="C516" t="s">
        <v>763</v>
      </c>
      <c r="D516" t="s">
        <v>764</v>
      </c>
      <c r="E516" t="s">
        <v>25</v>
      </c>
      <c r="F516" t="s">
        <v>631</v>
      </c>
      <c r="G516" t="s">
        <v>27</v>
      </c>
      <c r="H516" s="20" t="s">
        <v>808</v>
      </c>
      <c r="I516" t="s">
        <v>65</v>
      </c>
      <c r="J516" s="30">
        <v>8</v>
      </c>
      <c r="K516" s="22">
        <f>IF(I516="","",IF(I516="ENTRADA",ABS(J516),-ABS(J516)))</f>
        <v>-8</v>
      </c>
      <c r="L516" t="s">
        <v>632</v>
      </c>
      <c r="N516">
        <v>65186</v>
      </c>
      <c r="O516" t="s">
        <v>213</v>
      </c>
      <c r="P516">
        <v>1904</v>
      </c>
      <c r="Q516" s="47">
        <v>46269</v>
      </c>
      <c r="R516" s="22" t="str">
        <f>IF(H516="","",H516&amp;I516)</f>
        <v>260821-482SALIDA</v>
      </c>
      <c r="S516" s="22" t="str">
        <f>IF(C516="","",C516&amp;I516)</f>
        <v>refugio semilla maiz illinois SALIDA</v>
      </c>
      <c r="T516" t="str">
        <f>IF(OR(C516="",I516&lt;&gt;"ENTRADA"),"",TEXT(B516,"AAMMDD")&amp;"-"&amp;TEXT(VALUE(SUBSTITUTE(A516,"MOV-","")),"000"))</f>
        <v/>
      </c>
    </row>
    <row r="517" spans="1:20" hidden="1">
      <c r="A517" s="20" t="s">
        <v>821</v>
      </c>
      <c r="B517" s="47">
        <v>46267</v>
      </c>
      <c r="C517" t="s">
        <v>629</v>
      </c>
      <c r="D517" t="s">
        <v>630</v>
      </c>
      <c r="E517" t="s">
        <v>25</v>
      </c>
      <c r="F517" t="s">
        <v>631</v>
      </c>
      <c r="G517" t="s">
        <v>158</v>
      </c>
      <c r="H517" s="20" t="s">
        <v>822</v>
      </c>
      <c r="I517" t="s">
        <v>65</v>
      </c>
      <c r="J517" s="30">
        <v>120</v>
      </c>
      <c r="K517" s="22">
        <f>IF(I517="","",IF(I517="ENTRADA",ABS(J517),-ABS(J517)))</f>
        <v>-120</v>
      </c>
      <c r="L517" t="s">
        <v>632</v>
      </c>
      <c r="N517">
        <v>65186</v>
      </c>
      <c r="O517" t="s">
        <v>213</v>
      </c>
      <c r="P517">
        <v>1904</v>
      </c>
      <c r="Q517" s="47">
        <v>46269</v>
      </c>
      <c r="R517" s="22" t="str">
        <f>IF(H517="","",H517&amp;I517)</f>
        <v>260617-373SALIDA</v>
      </c>
      <c r="S517" s="22" t="str">
        <f>IF(C517="","",C517&amp;I517)</f>
        <v>semilla maiz DK 69-62 TRESALIDA</v>
      </c>
      <c r="T517" t="str">
        <f>IF(OR(C517="",I517&lt;&gt;"ENTRADA"),"",TEXT(B517,"AAMMDD")&amp;"-"&amp;TEXT(VALUE(SUBSTITUTE(A517,"MOV-","")),"000"))</f>
        <v/>
      </c>
    </row>
    <row r="518" spans="1:20" hidden="1">
      <c r="A518" s="20" t="s">
        <v>823</v>
      </c>
      <c r="B518" s="47">
        <v>46267</v>
      </c>
      <c r="C518" s="34" t="s">
        <v>634</v>
      </c>
      <c r="D518" s="34" t="s">
        <v>630</v>
      </c>
      <c r="E518" s="34" t="s">
        <v>25</v>
      </c>
      <c r="F518" s="34" t="s">
        <v>631</v>
      </c>
      <c r="G518" s="34" t="s">
        <v>158</v>
      </c>
      <c r="H518" s="20" t="s">
        <v>824</v>
      </c>
      <c r="I518" s="34" t="s">
        <v>65</v>
      </c>
      <c r="J518" s="36">
        <v>12</v>
      </c>
      <c r="K518" s="22">
        <f>IF(I518="","",IF(I518="ENTRADA",ABS(J518),-ABS(J518)))</f>
        <v>-12</v>
      </c>
      <c r="L518" s="34" t="s">
        <v>632</v>
      </c>
      <c r="M518" s="34"/>
      <c r="N518">
        <v>65186</v>
      </c>
      <c r="O518" s="34" t="s">
        <v>213</v>
      </c>
      <c r="P518">
        <v>1904</v>
      </c>
      <c r="Q518" s="47">
        <v>46269</v>
      </c>
      <c r="R518" s="22" t="str">
        <f>IF(H518="","",H518&amp;I518)</f>
        <v>260617-374SALIDA</v>
      </c>
      <c r="S518" s="22" t="str">
        <f>IF(C518="","",C518&amp;I518)</f>
        <v>semilla maiz DK 72-10 RR2C5 refugioSALIDA</v>
      </c>
      <c r="T518" t="str">
        <f>IF(OR(C518="",I518&lt;&gt;"ENTRADA"),"",TEXT(B518,"AAMMDD")&amp;"-"&amp;TEXT(VALUE(SUBSTITUTE(A518,"MOV-","")),"000"))</f>
        <v/>
      </c>
    </row>
    <row r="519" spans="1:20" hidden="1">
      <c r="A519" s="20" t="s">
        <v>825</v>
      </c>
      <c r="B519" s="47">
        <v>46267</v>
      </c>
      <c r="C519" t="s">
        <v>115</v>
      </c>
      <c r="D519" t="s">
        <v>116</v>
      </c>
      <c r="E519" t="s">
        <v>34</v>
      </c>
      <c r="F519" t="s">
        <v>35</v>
      </c>
      <c r="G519" t="s">
        <v>117</v>
      </c>
      <c r="H519" s="20" t="s">
        <v>668</v>
      </c>
      <c r="I519" t="s">
        <v>65</v>
      </c>
      <c r="J519" s="30">
        <v>700</v>
      </c>
      <c r="K519" s="22">
        <f>IF(I519="","",IF(I519="ENTRADA",ABS(J519),-ABS(J519)))</f>
        <v>-700</v>
      </c>
      <c r="L519" t="s">
        <v>37</v>
      </c>
      <c r="N519">
        <v>65187</v>
      </c>
      <c r="O519" t="s">
        <v>237</v>
      </c>
      <c r="P519">
        <v>1905</v>
      </c>
      <c r="Q519" s="47">
        <v>46269</v>
      </c>
      <c r="R519" s="22" t="str">
        <f>IF(H519="","",H519&amp;I519)</f>
        <v>260727-381SALIDA</v>
      </c>
      <c r="S519" s="22" t="str">
        <f>IF(C519="","",C519&amp;I519)</f>
        <v>AzukaSALIDA</v>
      </c>
      <c r="T519" t="str">
        <f>IF(OR(C519="",I519&lt;&gt;"ENTRADA"),"",TEXT(B519,"AAMMDD")&amp;"-"&amp;TEXT(VALUE(SUBSTITUTE(A519,"MOV-","")),"000"))</f>
        <v/>
      </c>
    </row>
    <row r="520" spans="1:20" hidden="1">
      <c r="A520" s="20" t="s">
        <v>826</v>
      </c>
      <c r="B520" s="47">
        <v>46267</v>
      </c>
      <c r="C520" t="s">
        <v>629</v>
      </c>
      <c r="D520" t="s">
        <v>630</v>
      </c>
      <c r="E520" t="s">
        <v>25</v>
      </c>
      <c r="F520" t="s">
        <v>631</v>
      </c>
      <c r="G520" t="s">
        <v>158</v>
      </c>
      <c r="H520" s="20" t="s">
        <v>822</v>
      </c>
      <c r="I520" t="s">
        <v>65</v>
      </c>
      <c r="J520" s="30">
        <v>190</v>
      </c>
      <c r="K520" s="22">
        <f>IF(I520="","",IF(I520="ENTRADA",ABS(J520),-ABS(J520)))</f>
        <v>-190</v>
      </c>
      <c r="L520" t="s">
        <v>632</v>
      </c>
      <c r="N520">
        <v>65187</v>
      </c>
      <c r="O520" t="s">
        <v>237</v>
      </c>
      <c r="P520">
        <v>1905</v>
      </c>
      <c r="Q520" s="47">
        <v>46269</v>
      </c>
      <c r="R520" s="22" t="str">
        <f>IF(H520="","",H520&amp;I520)</f>
        <v>260617-373SALIDA</v>
      </c>
      <c r="S520" s="22" t="str">
        <f>IF(C520="","",C520&amp;I520)</f>
        <v>semilla maiz DK 69-62 TRESALIDA</v>
      </c>
      <c r="T520" t="str">
        <f>IF(OR(C520="",I520&lt;&gt;"ENTRADA"),"",TEXT(B520,"AAMMDD")&amp;"-"&amp;TEXT(VALUE(SUBSTITUTE(A520,"MOV-","")),"000"))</f>
        <v/>
      </c>
    </row>
    <row r="521" spans="1:20" hidden="1">
      <c r="A521" s="20" t="s">
        <v>827</v>
      </c>
      <c r="B521" s="47">
        <v>46267</v>
      </c>
      <c r="C521" t="s">
        <v>634</v>
      </c>
      <c r="D521" t="s">
        <v>630</v>
      </c>
      <c r="E521" t="s">
        <v>25</v>
      </c>
      <c r="F521" t="s">
        <v>631</v>
      </c>
      <c r="G521" t="s">
        <v>158</v>
      </c>
      <c r="H521" s="20" t="s">
        <v>824</v>
      </c>
      <c r="I521" t="s">
        <v>65</v>
      </c>
      <c r="J521" s="30">
        <v>20</v>
      </c>
      <c r="K521" s="22">
        <f>IF(I521="","",IF(I521="ENTRADA",ABS(J521),-ABS(J521)))</f>
        <v>-20</v>
      </c>
      <c r="L521" t="s">
        <v>632</v>
      </c>
      <c r="N521">
        <v>65187</v>
      </c>
      <c r="O521" t="s">
        <v>237</v>
      </c>
      <c r="P521">
        <v>1905</v>
      </c>
      <c r="Q521" s="47">
        <v>46269</v>
      </c>
      <c r="R521" s="22" t="str">
        <f>IF(H521="","",H521&amp;I521)</f>
        <v>260617-374SALIDA</v>
      </c>
      <c r="S521" s="22" t="str">
        <f>IF(C521="","",C521&amp;I521)</f>
        <v>semilla maiz DK 72-10 RR2C5 refugioSALIDA</v>
      </c>
      <c r="T521" t="str">
        <f>IF(OR(C521="",I521&lt;&gt;"ENTRADA"),"",TEXT(B521,"AAMMDD")&amp;"-"&amp;TEXT(VALUE(SUBSTITUTE(A521,"MOV-","")),"000"))</f>
        <v/>
      </c>
    </row>
    <row r="522" spans="1:20" hidden="1">
      <c r="A522" s="20" t="s">
        <v>828</v>
      </c>
      <c r="B522" s="47">
        <v>46267</v>
      </c>
      <c r="C522" t="s">
        <v>769</v>
      </c>
      <c r="D522" t="s">
        <v>770</v>
      </c>
      <c r="E522" t="s">
        <v>34</v>
      </c>
      <c r="F522" t="s">
        <v>35</v>
      </c>
      <c r="G522" t="s">
        <v>771</v>
      </c>
      <c r="H522" s="20" t="s">
        <v>829</v>
      </c>
      <c r="I522" t="s">
        <v>65</v>
      </c>
      <c r="J522" s="30">
        <v>560</v>
      </c>
      <c r="K522" s="22">
        <f>IF(I522="","",IF(I522="ENTRADA",ABS(J522),-ABS(J522)))</f>
        <v>-560</v>
      </c>
      <c r="L522" t="s">
        <v>37</v>
      </c>
      <c r="N522">
        <v>65187</v>
      </c>
      <c r="O522" t="s">
        <v>237</v>
      </c>
      <c r="P522">
        <v>1905</v>
      </c>
      <c r="Q522" s="47">
        <v>46269</v>
      </c>
      <c r="R522" s="22" t="str">
        <f>IF(H522="","",H522&amp;I522)</f>
        <v>260826-484SALIDA</v>
      </c>
      <c r="S522" s="22" t="str">
        <f>IF(C522="","",C522&amp;I522)</f>
        <v>Paraquat SALIDA</v>
      </c>
      <c r="T522" t="str">
        <f>IF(OR(C522="",I522&lt;&gt;"ENTRADA"),"",TEXT(B522,"AAMMDD")&amp;"-"&amp;TEXT(VALUE(SUBSTITUTE(A522,"MOV-","")),"000"))</f>
        <v/>
      </c>
    </row>
    <row r="523" spans="1:20" hidden="1">
      <c r="A523" s="20" t="s">
        <v>830</v>
      </c>
      <c r="B523" s="47">
        <v>46267</v>
      </c>
      <c r="C523" t="s">
        <v>130</v>
      </c>
      <c r="D523" t="s">
        <v>131</v>
      </c>
      <c r="E523" t="s">
        <v>132</v>
      </c>
      <c r="G523" t="s">
        <v>133</v>
      </c>
      <c r="H523" s="20" t="s">
        <v>221</v>
      </c>
      <c r="I523" t="s">
        <v>65</v>
      </c>
      <c r="J523" s="30">
        <v>40</v>
      </c>
      <c r="K523" s="22">
        <f>IF(I523="","",IF(I523="ENTRADA",ABS(J523),-ABS(J523)))</f>
        <v>-40</v>
      </c>
      <c r="L523" t="s">
        <v>37</v>
      </c>
      <c r="N523">
        <v>65187</v>
      </c>
      <c r="O523" t="s">
        <v>237</v>
      </c>
      <c r="P523">
        <v>1905</v>
      </c>
      <c r="Q523" s="47">
        <v>46269</v>
      </c>
      <c r="R523" s="22" t="str">
        <f>IF(H523="","",H523&amp;I523)</f>
        <v>260414-029SALIDA</v>
      </c>
      <c r="S523" s="22" t="str">
        <f>IF(C523="","",C523&amp;I523)</f>
        <v>HarrierSALIDA</v>
      </c>
      <c r="T523" t="str">
        <f>IF(OR(C523="",I523&lt;&gt;"ENTRADA"),"",TEXT(B523,"AAMMDD")&amp;"-"&amp;TEXT(VALUE(SUBSTITUTE(A523,"MOV-","")),"000"))</f>
        <v/>
      </c>
    </row>
    <row r="524" spans="1:20" hidden="1">
      <c r="A524" s="20" t="s">
        <v>831</v>
      </c>
      <c r="B524" s="47">
        <v>46268</v>
      </c>
      <c r="C524" t="s">
        <v>90</v>
      </c>
      <c r="D524" t="s">
        <v>91</v>
      </c>
      <c r="E524" t="s">
        <v>34</v>
      </c>
      <c r="F524" t="s">
        <v>35</v>
      </c>
      <c r="G524" t="s">
        <v>36</v>
      </c>
      <c r="H524" s="20" t="s">
        <v>375</v>
      </c>
      <c r="I524" t="s">
        <v>65</v>
      </c>
      <c r="J524" s="30">
        <v>60</v>
      </c>
      <c r="K524" s="22">
        <f>IF(I524="","",IF(I524="ENTRADA",ABS(J524),-ABS(J524)))</f>
        <v>-60</v>
      </c>
      <c r="L524" t="s">
        <v>37</v>
      </c>
      <c r="N524">
        <v>65188</v>
      </c>
      <c r="O524" t="s">
        <v>218</v>
      </c>
      <c r="P524">
        <v>1906</v>
      </c>
      <c r="Q524" s="47">
        <v>46269</v>
      </c>
      <c r="R524" s="22" t="str">
        <f>IF(H524="","",H524&amp;I524)</f>
        <v>260405-132SALIDA</v>
      </c>
      <c r="S524" s="22" t="str">
        <f>IF(C524="","",C524&amp;I524)</f>
        <v>PixxaroSALIDA</v>
      </c>
      <c r="T524" t="str">
        <f>IF(OR(C524="",I524&lt;&gt;"ENTRADA"),"",TEXT(B524,"AAMMDD")&amp;"-"&amp;TEXT(VALUE(SUBSTITUTE(A524,"MOV-","")),"000"))</f>
        <v/>
      </c>
    </row>
    <row r="525" spans="1:20" hidden="1">
      <c r="A525" s="20" t="s">
        <v>832</v>
      </c>
      <c r="B525" s="47">
        <v>46268</v>
      </c>
      <c r="C525" t="s">
        <v>122</v>
      </c>
      <c r="D525" t="s">
        <v>123</v>
      </c>
      <c r="E525" t="s">
        <v>34</v>
      </c>
      <c r="F525" t="s">
        <v>35</v>
      </c>
      <c r="G525" t="s">
        <v>117</v>
      </c>
      <c r="H525" s="20" t="s">
        <v>203</v>
      </c>
      <c r="I525" t="s">
        <v>65</v>
      </c>
      <c r="J525" s="30">
        <v>100</v>
      </c>
      <c r="K525" s="22">
        <f>IF(I525="","",IF(I525="ENTRADA",ABS(J525),-ABS(J525)))</f>
        <v>-100</v>
      </c>
      <c r="L525" t="s">
        <v>37</v>
      </c>
      <c r="N525">
        <v>65188</v>
      </c>
      <c r="O525" t="s">
        <v>218</v>
      </c>
      <c r="P525">
        <v>1906</v>
      </c>
      <c r="Q525" s="47">
        <v>46269</v>
      </c>
      <c r="R525" s="22" t="str">
        <f>IF(H525="","",H525&amp;I525)</f>
        <v>260410-027SALIDA</v>
      </c>
      <c r="S525" s="22" t="str">
        <f>IF(C525="","",C525&amp;I525)</f>
        <v>PardoSALIDA</v>
      </c>
      <c r="T525" t="str">
        <f>IF(OR(C525="",I525&lt;&gt;"ENTRADA"),"",TEXT(B525,"AAMMDD")&amp;"-"&amp;TEXT(VALUE(SUBSTITUTE(A525,"MOV-","")),"000"))</f>
        <v/>
      </c>
    </row>
    <row r="526" spans="1:20" hidden="1">
      <c r="A526" s="20" t="s">
        <v>833</v>
      </c>
      <c r="B526" s="47">
        <v>46268</v>
      </c>
      <c r="C526" t="s">
        <v>491</v>
      </c>
      <c r="D526" t="s">
        <v>492</v>
      </c>
      <c r="E526" t="s">
        <v>493</v>
      </c>
      <c r="G526" t="s">
        <v>36</v>
      </c>
      <c r="H526" s="20" t="s">
        <v>495</v>
      </c>
      <c r="I526" t="s">
        <v>65</v>
      </c>
      <c r="J526" s="30">
        <v>100</v>
      </c>
      <c r="K526" s="22">
        <f>IF(I526="","",IF(I526="ENTRADA",ABS(J526),-ABS(J526)))</f>
        <v>-100</v>
      </c>
      <c r="L526" t="s">
        <v>37</v>
      </c>
      <c r="N526">
        <v>65188</v>
      </c>
      <c r="O526" t="s">
        <v>218</v>
      </c>
      <c r="P526">
        <v>1906</v>
      </c>
      <c r="Q526" s="47">
        <v>46269</v>
      </c>
      <c r="R526" s="22" t="str">
        <f>IF(H526="","",H526&amp;I526)</f>
        <v>260610-265SALIDA</v>
      </c>
      <c r="S526" s="22" t="str">
        <f>IF(C526="","",C526&amp;I526)</f>
        <v>Zinc Plus SALIDA</v>
      </c>
      <c r="T526" t="str">
        <f>IF(OR(C526="",I526&lt;&gt;"ENTRADA"),"",TEXT(B526,"AAMMDD")&amp;"-"&amp;TEXT(VALUE(SUBSTITUTE(A526,"MOV-","")),"000"))</f>
        <v/>
      </c>
    </row>
    <row r="527" spans="1:20" hidden="1">
      <c r="A527" s="20" t="s">
        <v>834</v>
      </c>
      <c r="B527" s="47">
        <v>46268</v>
      </c>
      <c r="C527" t="s">
        <v>514</v>
      </c>
      <c r="D527" t="s">
        <v>515</v>
      </c>
      <c r="E527" t="s">
        <v>516</v>
      </c>
      <c r="G527" t="s">
        <v>117</v>
      </c>
      <c r="H527" s="20" t="s">
        <v>664</v>
      </c>
      <c r="I527" t="s">
        <v>65</v>
      </c>
      <c r="J527" s="30">
        <v>50</v>
      </c>
      <c r="K527" s="22">
        <f>IF(I527="","",IF(I527="ENTRADA",ABS(J527),-ABS(J527)))</f>
        <v>-50</v>
      </c>
      <c r="L527" t="s">
        <v>37</v>
      </c>
      <c r="N527">
        <v>65188</v>
      </c>
      <c r="O527" t="s">
        <v>218</v>
      </c>
      <c r="P527">
        <v>1906</v>
      </c>
      <c r="Q527" s="47">
        <v>46269</v>
      </c>
      <c r="R527" s="22" t="str">
        <f>IF(H527="","",H527&amp;I527)</f>
        <v>260730-396SALIDA</v>
      </c>
      <c r="S527" s="22" t="str">
        <f>IF(C527="","",C527&amp;I527)</f>
        <v>Unico MaxSALIDA</v>
      </c>
      <c r="T527" t="str">
        <f>IF(OR(C527="",I527&lt;&gt;"ENTRADA"),"",TEXT(B527,"AAMMDD")&amp;"-"&amp;TEXT(VALUE(SUBSTITUTE(A527,"MOV-","")),"000"))</f>
        <v/>
      </c>
    </row>
    <row r="528" spans="1:20" hidden="1">
      <c r="A528" s="20" t="s">
        <v>835</v>
      </c>
      <c r="B528" s="47">
        <v>46268</v>
      </c>
      <c r="C528" t="s">
        <v>283</v>
      </c>
      <c r="D528" t="s">
        <v>284</v>
      </c>
      <c r="E528" t="s">
        <v>285</v>
      </c>
      <c r="F528" t="s">
        <v>286</v>
      </c>
      <c r="G528" t="s">
        <v>83</v>
      </c>
      <c r="H528" s="20" t="s">
        <v>836</v>
      </c>
      <c r="I528" t="s">
        <v>65</v>
      </c>
      <c r="J528" s="30">
        <v>3000</v>
      </c>
      <c r="K528" s="22">
        <f>IF(I528="","",IF(I528="ENTRADA",ABS(J528),-ABS(J528)))</f>
        <v>-3000</v>
      </c>
      <c r="L528" t="s">
        <v>37</v>
      </c>
      <c r="N528">
        <v>65189</v>
      </c>
      <c r="O528" t="s">
        <v>213</v>
      </c>
      <c r="P528">
        <v>1909</v>
      </c>
      <c r="Q528" s="47">
        <v>46269</v>
      </c>
      <c r="R528" s="22" t="str">
        <f>IF(H528="","",H528&amp;I528)</f>
        <v>260730-399SALIDA</v>
      </c>
      <c r="S528" s="22" t="str">
        <f>IF(C528="","",C528&amp;I528)</f>
        <v>Hydra HumeSALIDA</v>
      </c>
      <c r="T528" t="str">
        <f>IF(OR(C528="",I528&lt;&gt;"ENTRADA"),"",TEXT(B528,"AAMMDD")&amp;"-"&amp;TEXT(VALUE(SUBSTITUTE(A528,"MOV-","")),"000"))</f>
        <v/>
      </c>
    </row>
    <row r="529" spans="1:20" hidden="1">
      <c r="A529" s="20" t="s">
        <v>837</v>
      </c>
      <c r="B529" s="47">
        <v>46268</v>
      </c>
      <c r="C529" s="34" t="s">
        <v>838</v>
      </c>
      <c r="D529" s="34" t="s">
        <v>630</v>
      </c>
      <c r="E529" s="34" t="s">
        <v>25</v>
      </c>
      <c r="F529" s="34" t="s">
        <v>631</v>
      </c>
      <c r="G529" s="34" t="s">
        <v>301</v>
      </c>
      <c r="H529" s="20" t="str">
        <f>+T529</f>
        <v>260903-529</v>
      </c>
      <c r="I529" s="34" t="s">
        <v>28</v>
      </c>
      <c r="J529" s="36">
        <v>96</v>
      </c>
      <c r="K529" s="22">
        <f>IF(I529="","",IF(I529="ENTRADA",ABS(J529),-ABS(J529)))</f>
        <v>96</v>
      </c>
      <c r="L529" s="34" t="s">
        <v>632</v>
      </c>
      <c r="M529" s="34"/>
      <c r="N529">
        <v>14367</v>
      </c>
      <c r="O529" s="34"/>
      <c r="P529" s="34">
        <v>15054</v>
      </c>
      <c r="Q529" s="35"/>
      <c r="R529" s="22" t="str">
        <f>IF(H529="","",H529&amp;I529)</f>
        <v>260903-529ENTRADA</v>
      </c>
      <c r="S529" s="22" t="str">
        <f>IF(C529="","",C529&amp;I529)</f>
        <v>maiz Nk 825 vip3cl ENTRADA</v>
      </c>
      <c r="T529" t="str">
        <f>IF(OR(C529="",I529&lt;&gt;"ENTRADA"),"",TEXT(B529,"AAMMDD")&amp;"-"&amp;TEXT(VALUE(SUBSTITUTE(A529,"MOV-","")),"000"))</f>
        <v>260903-529</v>
      </c>
    </row>
    <row r="530" spans="1:20" hidden="1">
      <c r="A530" s="20" t="s">
        <v>839</v>
      </c>
      <c r="B530" s="47">
        <v>46268</v>
      </c>
      <c r="C530" t="s">
        <v>840</v>
      </c>
      <c r="D530" t="s">
        <v>630</v>
      </c>
      <c r="E530" t="s">
        <v>25</v>
      </c>
      <c r="F530" t="s">
        <v>631</v>
      </c>
      <c r="G530" t="s">
        <v>301</v>
      </c>
      <c r="H530" s="20" t="s">
        <v>841</v>
      </c>
      <c r="I530" t="s">
        <v>28</v>
      </c>
      <c r="J530" s="30">
        <v>4</v>
      </c>
      <c r="K530" s="22">
        <f>IF(I530="","",IF(I530="ENTRADA",ABS(J530),-ABS(J530)))</f>
        <v>4</v>
      </c>
      <c r="L530" t="s">
        <v>632</v>
      </c>
      <c r="N530">
        <v>14370</v>
      </c>
      <c r="P530">
        <v>15057</v>
      </c>
      <c r="R530" s="22" t="str">
        <f>IF(H530="","",H530&amp;I530)</f>
        <v>260903-531ENTRADA</v>
      </c>
      <c r="S530" s="22" t="str">
        <f>IF(C530="","",C530&amp;I530)</f>
        <v>Maiz Nk 800 tgcl refugio ENTRADA</v>
      </c>
      <c r="T530" t="str">
        <f>IF(OR(C530="",I530&lt;&gt;"ENTRADA"),"",TEXT(B530,"AAMMDD")&amp;"-"&amp;TEXT(VALUE(SUBSTITUTE(A530,"MOV-","")),"000"))</f>
        <v>260903-530</v>
      </c>
    </row>
    <row r="531" spans="1:20" hidden="1">
      <c r="A531" s="20" t="s">
        <v>842</v>
      </c>
      <c r="B531" s="47">
        <v>46268</v>
      </c>
      <c r="C531" t="s">
        <v>840</v>
      </c>
      <c r="D531" t="s">
        <v>630</v>
      </c>
      <c r="E531" t="s">
        <v>25</v>
      </c>
      <c r="F531" t="s">
        <v>631</v>
      </c>
      <c r="G531" t="s">
        <v>301</v>
      </c>
      <c r="H531" s="20" t="str">
        <f>+T531</f>
        <v>260903-531</v>
      </c>
      <c r="I531" t="s">
        <v>28</v>
      </c>
      <c r="J531" s="30">
        <v>28</v>
      </c>
      <c r="K531" s="22">
        <f>IF(I531="","",IF(I531="ENTRADA",ABS(J531),-ABS(J531)))</f>
        <v>28</v>
      </c>
      <c r="L531" t="s">
        <v>632</v>
      </c>
      <c r="N531">
        <v>14369</v>
      </c>
      <c r="P531">
        <v>15055</v>
      </c>
      <c r="R531" s="22" t="str">
        <f>IF(H531="","",H531&amp;I531)</f>
        <v>260903-531ENTRADA</v>
      </c>
      <c r="S531" s="22" t="str">
        <f>IF(C531="","",C531&amp;I531)</f>
        <v>Maiz Nk 800 tgcl refugio ENTRADA</v>
      </c>
      <c r="T531" t="str">
        <f>IF(OR(C531="",I531&lt;&gt;"ENTRADA"),"",TEXT(B531,"AAMMDD")&amp;"-"&amp;TEXT(VALUE(SUBSTITUTE(A531,"MOV-","")),"000"))</f>
        <v>260903-531</v>
      </c>
    </row>
    <row r="532" spans="1:20" hidden="1">
      <c r="A532" s="20" t="s">
        <v>843</v>
      </c>
      <c r="B532" s="47">
        <v>46268</v>
      </c>
      <c r="C532" t="s">
        <v>840</v>
      </c>
      <c r="D532" t="s">
        <v>630</v>
      </c>
      <c r="E532" t="s">
        <v>25</v>
      </c>
      <c r="F532" t="s">
        <v>631</v>
      </c>
      <c r="G532" t="s">
        <v>301</v>
      </c>
      <c r="H532" s="20" t="s">
        <v>841</v>
      </c>
      <c r="I532" t="s">
        <v>28</v>
      </c>
      <c r="J532" s="30">
        <v>5</v>
      </c>
      <c r="K532" s="22">
        <f>IF(I532="","",IF(I532="ENTRADA",ABS(J532),-ABS(J532)))</f>
        <v>5</v>
      </c>
      <c r="L532" t="s">
        <v>632</v>
      </c>
      <c r="N532">
        <v>14375</v>
      </c>
      <c r="P532">
        <v>15056</v>
      </c>
      <c r="R532" s="22" t="str">
        <f>IF(H532="","",H532&amp;I532)</f>
        <v>260903-531ENTRADA</v>
      </c>
      <c r="S532" s="22" t="str">
        <f>IF(C532="","",C532&amp;I532)</f>
        <v>Maiz Nk 800 tgcl refugio ENTRADA</v>
      </c>
      <c r="T532" t="str">
        <f>IF(OR(C532="",I532&lt;&gt;"ENTRADA"),"",TEXT(B532,"AAMMDD")&amp;"-"&amp;TEXT(VALUE(SUBSTITUTE(A532,"MOV-","")),"000"))</f>
        <v>260903-532</v>
      </c>
    </row>
    <row r="533" spans="1:20" hidden="1">
      <c r="A533" s="20" t="s">
        <v>844</v>
      </c>
      <c r="B533" s="47">
        <v>46262</v>
      </c>
      <c r="C533" t="s">
        <v>115</v>
      </c>
      <c r="D533" t="s">
        <v>116</v>
      </c>
      <c r="E533" t="s">
        <v>34</v>
      </c>
      <c r="F533" t="s">
        <v>35</v>
      </c>
      <c r="G533" t="s">
        <v>117</v>
      </c>
      <c r="H533" s="20" t="s">
        <v>668</v>
      </c>
      <c r="I533" t="s">
        <v>65</v>
      </c>
      <c r="J533" s="30">
        <v>840</v>
      </c>
      <c r="K533" s="22">
        <f>IF(I533="","",IF(I533="ENTRADA",ABS(J533),-ABS(J533)))</f>
        <v>-840</v>
      </c>
      <c r="L533" t="s">
        <v>37</v>
      </c>
      <c r="N533">
        <v>65192</v>
      </c>
      <c r="O533" t="s">
        <v>213</v>
      </c>
      <c r="P533">
        <v>1907</v>
      </c>
      <c r="Q533" s="47">
        <v>46269</v>
      </c>
      <c r="R533" s="22" t="str">
        <f>IF(H533="","",H533&amp;I533)</f>
        <v>260727-381SALIDA</v>
      </c>
      <c r="S533" s="22" t="str">
        <f>IF(C533="","",C533&amp;I533)</f>
        <v>AzukaSALIDA</v>
      </c>
      <c r="T533" t="str">
        <f>IF(OR(C533="",I533&lt;&gt;"ENTRADA"),"",TEXT(B533,"AAMMDD")&amp;"-"&amp;TEXT(VALUE(SUBSTITUTE(A533,"MOV-","")),"000"))</f>
        <v/>
      </c>
    </row>
    <row r="534" spans="1:20" hidden="1">
      <c r="A534" s="20" t="s">
        <v>845</v>
      </c>
      <c r="B534" s="47">
        <v>46262</v>
      </c>
      <c r="C534" t="s">
        <v>122</v>
      </c>
      <c r="D534" t="s">
        <v>123</v>
      </c>
      <c r="E534" t="s">
        <v>34</v>
      </c>
      <c r="F534" t="s">
        <v>35</v>
      </c>
      <c r="G534" t="s">
        <v>117</v>
      </c>
      <c r="H534" s="20" t="s">
        <v>203</v>
      </c>
      <c r="I534" t="s">
        <v>65</v>
      </c>
      <c r="J534" s="30">
        <v>240</v>
      </c>
      <c r="K534" s="22">
        <f>IF(I534="","",IF(I534="ENTRADA",ABS(J534),-ABS(J534)))</f>
        <v>-240</v>
      </c>
      <c r="L534" t="s">
        <v>37</v>
      </c>
      <c r="N534">
        <v>65192</v>
      </c>
      <c r="O534" t="s">
        <v>213</v>
      </c>
      <c r="P534">
        <v>1907</v>
      </c>
      <c r="Q534" s="47">
        <v>46269</v>
      </c>
      <c r="R534" s="22" t="str">
        <f>IF(H534="","",H534&amp;I534)</f>
        <v>260410-027SALIDA</v>
      </c>
      <c r="S534" s="22" t="str">
        <f>IF(C534="","",C534&amp;I534)</f>
        <v>PardoSALIDA</v>
      </c>
      <c r="T534" t="str">
        <f>IF(OR(C534="",I534&lt;&gt;"ENTRADA"),"",TEXT(B534,"AAMMDD")&amp;"-"&amp;TEXT(VALUE(SUBSTITUTE(A534,"MOV-","")),"000"))</f>
        <v/>
      </c>
    </row>
    <row r="535" spans="1:20" hidden="1">
      <c r="A535" s="20" t="s">
        <v>846</v>
      </c>
      <c r="B535" s="47">
        <v>46262</v>
      </c>
      <c r="C535" t="s">
        <v>130</v>
      </c>
      <c r="D535" t="s">
        <v>131</v>
      </c>
      <c r="E535" t="s">
        <v>132</v>
      </c>
      <c r="G535" t="s">
        <v>133</v>
      </c>
      <c r="H535" s="20" t="s">
        <v>221</v>
      </c>
      <c r="I535" t="s">
        <v>65</v>
      </c>
      <c r="J535" s="30">
        <v>30</v>
      </c>
      <c r="K535" s="22">
        <f>IF(I535="","",IF(I535="ENTRADA",ABS(J535),-ABS(J535)))</f>
        <v>-30</v>
      </c>
      <c r="L535" t="s">
        <v>37</v>
      </c>
      <c r="N535">
        <v>65192</v>
      </c>
      <c r="O535" t="s">
        <v>213</v>
      </c>
      <c r="P535">
        <v>1907</v>
      </c>
      <c r="Q535" s="47">
        <v>46269</v>
      </c>
      <c r="R535" s="22" t="str">
        <f>IF(H535="","",H535&amp;I535)</f>
        <v>260414-029SALIDA</v>
      </c>
      <c r="S535" s="22" t="str">
        <f>IF(C535="","",C535&amp;I535)</f>
        <v>HarrierSALIDA</v>
      </c>
      <c r="T535" t="str">
        <f>IF(OR(C535="",I535&lt;&gt;"ENTRADA"),"",TEXT(B535,"AAMMDD")&amp;"-"&amp;TEXT(VALUE(SUBSTITUTE(A535,"MOV-","")),"000"))</f>
        <v/>
      </c>
    </row>
    <row r="536" spans="1:20" hidden="1">
      <c r="A536" s="20" t="s">
        <v>847</v>
      </c>
      <c r="B536" s="47">
        <v>46262</v>
      </c>
      <c r="C536" t="s">
        <v>137</v>
      </c>
      <c r="D536" t="s">
        <v>138</v>
      </c>
      <c r="E536" t="s">
        <v>132</v>
      </c>
      <c r="G536" t="s">
        <v>133</v>
      </c>
      <c r="H536" s="20" t="s">
        <v>793</v>
      </c>
      <c r="I536" t="s">
        <v>65</v>
      </c>
      <c r="J536" s="30">
        <v>5</v>
      </c>
      <c r="K536" s="22">
        <f>IF(I536="","",IF(I536="ENTRADA",ABS(J536),-ABS(J536)))</f>
        <v>-5</v>
      </c>
      <c r="L536" t="s">
        <v>37</v>
      </c>
      <c r="N536">
        <v>65192</v>
      </c>
      <c r="O536" t="s">
        <v>213</v>
      </c>
      <c r="P536">
        <v>1907</v>
      </c>
      <c r="Q536" s="47">
        <v>46269</v>
      </c>
      <c r="R536" s="22" t="str">
        <f>IF(H536="","",H536&amp;I536)</f>
        <v>260827-472SALIDA</v>
      </c>
      <c r="S536" s="22" t="str">
        <f>IF(C536="","",C536&amp;I536)</f>
        <v>Full controlSALIDA</v>
      </c>
      <c r="T536" t="str">
        <f>IF(OR(C536="",I536&lt;&gt;"ENTRADA"),"",TEXT(B536,"AAMMDD")&amp;"-"&amp;TEXT(VALUE(SUBSTITUTE(A536,"MOV-","")),"000"))</f>
        <v/>
      </c>
    </row>
    <row r="537" spans="1:20" hidden="1">
      <c r="A537" s="20" t="s">
        <v>848</v>
      </c>
      <c r="B537" s="47">
        <v>46262</v>
      </c>
      <c r="C537" t="s">
        <v>115</v>
      </c>
      <c r="D537" t="s">
        <v>116</v>
      </c>
      <c r="E537" t="s">
        <v>34</v>
      </c>
      <c r="F537" t="s">
        <v>35</v>
      </c>
      <c r="G537" t="s">
        <v>117</v>
      </c>
      <c r="H537" s="20" t="s">
        <v>668</v>
      </c>
      <c r="I537" t="s">
        <v>65</v>
      </c>
      <c r="J537" s="30">
        <v>1080</v>
      </c>
      <c r="K537" s="22">
        <f>IF(I537="","",IF(I537="ENTRADA",ABS(J537),-ABS(J537)))</f>
        <v>-1080</v>
      </c>
      <c r="L537" t="s">
        <v>37</v>
      </c>
      <c r="N537">
        <v>65193</v>
      </c>
      <c r="O537" t="s">
        <v>218</v>
      </c>
      <c r="P537">
        <v>1908</v>
      </c>
      <c r="Q537" s="47">
        <v>46269</v>
      </c>
      <c r="R537" s="22" t="str">
        <f>IF(H537="","",H537&amp;I537)</f>
        <v>260727-381SALIDA</v>
      </c>
      <c r="S537" s="22" t="str">
        <f>IF(C537="","",C537&amp;I537)</f>
        <v>AzukaSALIDA</v>
      </c>
      <c r="T537" t="str">
        <f>IF(OR(C537="",I537&lt;&gt;"ENTRADA"),"",TEXT(B537,"AAMMDD")&amp;"-"&amp;TEXT(VALUE(SUBSTITUTE(A537,"MOV-","")),"000"))</f>
        <v/>
      </c>
    </row>
    <row r="538" spans="1:20" hidden="1">
      <c r="A538" s="20" t="s">
        <v>849</v>
      </c>
      <c r="B538" s="47">
        <v>46262</v>
      </c>
      <c r="C538" t="s">
        <v>122</v>
      </c>
      <c r="D538" t="s">
        <v>123</v>
      </c>
      <c r="E538" t="s">
        <v>34</v>
      </c>
      <c r="F538" t="s">
        <v>35</v>
      </c>
      <c r="G538" t="s">
        <v>117</v>
      </c>
      <c r="H538" s="20" t="s">
        <v>203</v>
      </c>
      <c r="I538" t="s">
        <v>65</v>
      </c>
      <c r="J538" s="30">
        <v>260</v>
      </c>
      <c r="K538" s="22">
        <f>IF(I538="","",IF(I538="ENTRADA",ABS(J538),-ABS(J538)))</f>
        <v>-260</v>
      </c>
      <c r="L538" t="s">
        <v>37</v>
      </c>
      <c r="N538">
        <v>65193</v>
      </c>
      <c r="O538" t="s">
        <v>218</v>
      </c>
      <c r="P538">
        <v>1908</v>
      </c>
      <c r="Q538" s="47">
        <v>46269</v>
      </c>
      <c r="R538" s="22" t="str">
        <f>IF(H538="","",H538&amp;I538)</f>
        <v>260410-027SALIDA</v>
      </c>
      <c r="S538" s="22" t="str">
        <f>IF(C538="","",C538&amp;I538)</f>
        <v>PardoSALIDA</v>
      </c>
      <c r="T538" t="str">
        <f>IF(OR(C538="",I538&lt;&gt;"ENTRADA"),"",TEXT(B538,"AAMMDD")&amp;"-"&amp;TEXT(VALUE(SUBSTITUTE(A538,"MOV-","")),"000"))</f>
        <v/>
      </c>
    </row>
    <row r="539" spans="1:20" hidden="1">
      <c r="A539" s="20" t="s">
        <v>850</v>
      </c>
      <c r="B539" s="47">
        <v>46262</v>
      </c>
      <c r="C539" t="s">
        <v>130</v>
      </c>
      <c r="D539" t="s">
        <v>131</v>
      </c>
      <c r="E539" t="s">
        <v>132</v>
      </c>
      <c r="G539" t="s">
        <v>133</v>
      </c>
      <c r="H539" s="20" t="s">
        <v>221</v>
      </c>
      <c r="I539" t="s">
        <v>65</v>
      </c>
      <c r="J539" s="30">
        <v>50</v>
      </c>
      <c r="K539" s="22">
        <f>IF(I539="","",IF(I539="ENTRADA",ABS(J539),-ABS(J539)))</f>
        <v>-50</v>
      </c>
      <c r="L539" t="s">
        <v>37</v>
      </c>
      <c r="N539">
        <v>65193</v>
      </c>
      <c r="O539" t="s">
        <v>218</v>
      </c>
      <c r="P539">
        <v>1908</v>
      </c>
      <c r="Q539" s="47">
        <v>46269</v>
      </c>
      <c r="R539" s="22" t="str">
        <f>IF(H539="","",H539&amp;I539)</f>
        <v>260414-029SALIDA</v>
      </c>
      <c r="S539" s="22" t="str">
        <f>IF(C539="","",C539&amp;I539)</f>
        <v>HarrierSALIDA</v>
      </c>
      <c r="T539" t="str">
        <f>IF(OR(C539="",I539&lt;&gt;"ENTRADA"),"",TEXT(B539,"AAMMDD")&amp;"-"&amp;TEXT(VALUE(SUBSTITUTE(A539,"MOV-","")),"000"))</f>
        <v/>
      </c>
    </row>
    <row r="540" spans="1:20" hidden="1">
      <c r="A540" s="20" t="s">
        <v>851</v>
      </c>
      <c r="B540" s="47">
        <v>46262</v>
      </c>
      <c r="C540" s="34" t="s">
        <v>137</v>
      </c>
      <c r="D540" s="34" t="s">
        <v>138</v>
      </c>
      <c r="E540" s="34" t="s">
        <v>132</v>
      </c>
      <c r="F540" s="34"/>
      <c r="G540" s="34" t="s">
        <v>133</v>
      </c>
      <c r="H540" s="20" t="s">
        <v>793</v>
      </c>
      <c r="I540" s="34" t="s">
        <v>65</v>
      </c>
      <c r="J540" s="36">
        <v>10</v>
      </c>
      <c r="K540" s="22">
        <f>IF(I540="","",IF(I540="ENTRADA",ABS(J540),-ABS(J540)))</f>
        <v>-10</v>
      </c>
      <c r="L540" s="34" t="s">
        <v>37</v>
      </c>
      <c r="M540" s="34"/>
      <c r="N540">
        <v>65193</v>
      </c>
      <c r="O540" s="34" t="s">
        <v>218</v>
      </c>
      <c r="P540">
        <v>1908</v>
      </c>
      <c r="Q540" s="47">
        <v>46269</v>
      </c>
      <c r="R540" s="22" t="str">
        <f>IF(H540="","",H540&amp;I540)</f>
        <v>260827-472SALIDA</v>
      </c>
      <c r="S540" s="22" t="str">
        <f>IF(C540="","",C540&amp;I540)</f>
        <v>Full controlSALIDA</v>
      </c>
      <c r="T540" t="str">
        <f>IF(OR(C540="",I540&lt;&gt;"ENTRADA"),"",TEXT(B540,"AAMMDD")&amp;"-"&amp;TEXT(VALUE(SUBSTITUTE(A540,"MOV-","")),"000"))</f>
        <v/>
      </c>
    </row>
    <row r="541" spans="1:20" hidden="1">
      <c r="A541" s="20" t="s">
        <v>852</v>
      </c>
      <c r="B541" s="47">
        <v>46262</v>
      </c>
      <c r="C541" t="s">
        <v>90</v>
      </c>
      <c r="D541" t="s">
        <v>91</v>
      </c>
      <c r="E541" t="s">
        <v>34</v>
      </c>
      <c r="F541" t="s">
        <v>35</v>
      </c>
      <c r="G541" t="s">
        <v>36</v>
      </c>
      <c r="H541" s="20" t="s">
        <v>375</v>
      </c>
      <c r="I541" t="s">
        <v>65</v>
      </c>
      <c r="J541" s="30">
        <v>200</v>
      </c>
      <c r="K541" s="22">
        <f>IF(I541="","",IF(I541="ENTRADA",ABS(J541),-ABS(J541)))</f>
        <v>-200</v>
      </c>
      <c r="L541" t="s">
        <v>37</v>
      </c>
      <c r="N541">
        <v>65193</v>
      </c>
      <c r="O541" t="s">
        <v>218</v>
      </c>
      <c r="P541">
        <v>1908</v>
      </c>
      <c r="Q541" s="47">
        <v>46269</v>
      </c>
      <c r="R541" s="22" t="str">
        <f>IF(H541="","",H541&amp;I541)</f>
        <v>260405-132SALIDA</v>
      </c>
      <c r="S541" s="22" t="str">
        <f>IF(C541="","",C541&amp;I541)</f>
        <v>PixxaroSALIDA</v>
      </c>
      <c r="T541" t="str">
        <f>IF(OR(C541="",I541&lt;&gt;"ENTRADA"),"",TEXT(B541,"AAMMDD")&amp;"-"&amp;TEXT(VALUE(SUBSTITUTE(A541,"MOV-","")),"000"))</f>
        <v/>
      </c>
    </row>
    <row r="542" spans="1:20" hidden="1">
      <c r="A542" s="20" t="s">
        <v>853</v>
      </c>
      <c r="B542" s="47">
        <v>46268</v>
      </c>
      <c r="C542" t="s">
        <v>775</v>
      </c>
      <c r="D542" t="s">
        <v>776</v>
      </c>
      <c r="E542" t="s">
        <v>34</v>
      </c>
      <c r="F542" t="s">
        <v>46</v>
      </c>
      <c r="G542" t="s">
        <v>777</v>
      </c>
      <c r="H542" s="20" t="s">
        <v>854</v>
      </c>
      <c r="I542" t="s">
        <v>65</v>
      </c>
      <c r="J542" s="30">
        <v>1000</v>
      </c>
      <c r="K542" s="22">
        <f>IF(I542="","",IF(I542="ENTRADA",ABS(J542),-ABS(J542)))</f>
        <v>-1000</v>
      </c>
      <c r="L542" t="s">
        <v>37</v>
      </c>
      <c r="M542" s="47"/>
      <c r="N542">
        <v>65190</v>
      </c>
      <c r="O542" t="s">
        <v>213</v>
      </c>
      <c r="P542">
        <v>1917</v>
      </c>
      <c r="Q542" s="47">
        <v>46279</v>
      </c>
      <c r="R542" s="22" t="str">
        <f>IF(H542="","",H542&amp;I542)</f>
        <v>260902-487SALIDA</v>
      </c>
      <c r="S542" s="22" t="str">
        <f>IF(C542="","",C542&amp;I542)</f>
        <v>Acuron unoSALIDA</v>
      </c>
      <c r="T542" t="str">
        <f>IF(OR(C542="",I542&lt;&gt;"ENTRADA"),"",TEXT(B542,"AAMMDD")&amp;"-"&amp;TEXT(VALUE(SUBSTITUTE(A542,"MOV-","")),"000"))</f>
        <v/>
      </c>
    </row>
    <row r="543" spans="1:20" hidden="1">
      <c r="A543" s="20" t="s">
        <v>855</v>
      </c>
      <c r="B543" s="47">
        <v>46269</v>
      </c>
      <c r="C543" t="s">
        <v>44</v>
      </c>
      <c r="D543" t="s">
        <v>63</v>
      </c>
      <c r="E543" t="s">
        <v>34</v>
      </c>
      <c r="F543" t="s">
        <v>46</v>
      </c>
      <c r="G543" t="s">
        <v>36</v>
      </c>
      <c r="H543" s="20" t="s">
        <v>64</v>
      </c>
      <c r="I543" t="s">
        <v>65</v>
      </c>
      <c r="J543" s="30">
        <v>40</v>
      </c>
      <c r="K543" s="22">
        <f>IF(I543="","",IF(I543="ENTRADA",ABS(J543),-ABS(J543)))</f>
        <v>-40</v>
      </c>
      <c r="L543" t="s">
        <v>37</v>
      </c>
      <c r="N543">
        <v>65191</v>
      </c>
      <c r="O543" t="s">
        <v>218</v>
      </c>
      <c r="P543">
        <v>1918</v>
      </c>
      <c r="Q543" s="47">
        <v>46279</v>
      </c>
      <c r="R543" s="22" t="str">
        <f>IF(H543="","",H543&amp;I543)</f>
        <v>260401-004SALIDA</v>
      </c>
      <c r="S543" s="22" t="str">
        <f>IF(C543="","",C543&amp;I543)</f>
        <v>PresideSALIDA</v>
      </c>
      <c r="T543" t="str">
        <f>IF(OR(C543="",I543&lt;&gt;"ENTRADA"),"",TEXT(B543,"AAMMDD")&amp;"-"&amp;TEXT(VALUE(SUBSTITUTE(A543,"MOV-","")),"000"))</f>
        <v/>
      </c>
    </row>
    <row r="544" spans="1:20" hidden="1">
      <c r="A544" s="20" t="s">
        <v>856</v>
      </c>
      <c r="B544" s="47">
        <v>46269</v>
      </c>
      <c r="C544" t="s">
        <v>59</v>
      </c>
      <c r="D544" t="s">
        <v>60</v>
      </c>
      <c r="E544" t="s">
        <v>34</v>
      </c>
      <c r="F544" t="s">
        <v>35</v>
      </c>
      <c r="H544" s="20" t="s">
        <v>68</v>
      </c>
      <c r="I544" t="s">
        <v>65</v>
      </c>
      <c r="J544" s="30">
        <v>80</v>
      </c>
      <c r="K544" s="22">
        <f>IF(I544="","",IF(I544="ENTRADA",ABS(J544),-ABS(J544)))</f>
        <v>-80</v>
      </c>
      <c r="L544" t="s">
        <v>37</v>
      </c>
      <c r="N544">
        <v>65191</v>
      </c>
      <c r="O544" t="s">
        <v>218</v>
      </c>
      <c r="P544">
        <v>1918</v>
      </c>
      <c r="Q544" s="47">
        <v>46279</v>
      </c>
      <c r="R544" s="22" t="str">
        <f>IF(H544="","",H544&amp;I544)</f>
        <v>260401-008SALIDA</v>
      </c>
      <c r="S544" s="22" t="str">
        <f>IF(C544="","",C544&amp;I544)</f>
        <v>Venceweed extraSALIDA</v>
      </c>
      <c r="T544" t="str">
        <f>IF(OR(C544="",I544&lt;&gt;"ENTRADA"),"",TEXT(B544,"AAMMDD")&amp;"-"&amp;TEXT(VALUE(SUBSTITUTE(A544,"MOV-","")),"000"))</f>
        <v/>
      </c>
    </row>
    <row r="545" spans="1:20" hidden="1">
      <c r="A545" s="20" t="s">
        <v>857</v>
      </c>
      <c r="B545" s="47">
        <v>46269</v>
      </c>
      <c r="C545" t="s">
        <v>130</v>
      </c>
      <c r="D545" t="s">
        <v>131</v>
      </c>
      <c r="E545" t="s">
        <v>132</v>
      </c>
      <c r="G545" t="s">
        <v>133</v>
      </c>
      <c r="H545" s="20" t="s">
        <v>221</v>
      </c>
      <c r="I545" t="s">
        <v>65</v>
      </c>
      <c r="J545" s="30">
        <v>20</v>
      </c>
      <c r="K545" s="22">
        <f>IF(I545="","",IF(I545="ENTRADA",ABS(J545),-ABS(J545)))</f>
        <v>-20</v>
      </c>
      <c r="L545" t="s">
        <v>37</v>
      </c>
      <c r="N545">
        <v>65191</v>
      </c>
      <c r="O545" t="s">
        <v>218</v>
      </c>
      <c r="P545">
        <v>1918</v>
      </c>
      <c r="Q545" s="47">
        <v>46279</v>
      </c>
      <c r="R545" s="22" t="str">
        <f>IF(H545="","",H545&amp;I545)</f>
        <v>260414-029SALIDA</v>
      </c>
      <c r="S545" s="22" t="str">
        <f>IF(C545="","",C545&amp;I545)</f>
        <v>HarrierSALIDA</v>
      </c>
      <c r="T545" t="str">
        <f>IF(OR(C545="",I545&lt;&gt;"ENTRADA"),"",TEXT(B545,"AAMMDD")&amp;"-"&amp;TEXT(VALUE(SUBSTITUTE(A545,"MOV-","")),"000"))</f>
        <v/>
      </c>
    </row>
    <row r="546" spans="1:20" hidden="1">
      <c r="A546" s="20" t="s">
        <v>858</v>
      </c>
      <c r="B546" s="47">
        <v>46269</v>
      </c>
      <c r="C546" t="s">
        <v>137</v>
      </c>
      <c r="D546" t="s">
        <v>138</v>
      </c>
      <c r="E546" t="s">
        <v>132</v>
      </c>
      <c r="G546" t="s">
        <v>133</v>
      </c>
      <c r="H546" s="20" t="s">
        <v>793</v>
      </c>
      <c r="I546" t="s">
        <v>65</v>
      </c>
      <c r="J546" s="30">
        <v>3</v>
      </c>
      <c r="K546" s="22">
        <f>IF(I546="","",IF(I546="ENTRADA",ABS(J546),-ABS(J546)))</f>
        <v>-3</v>
      </c>
      <c r="L546" t="s">
        <v>37</v>
      </c>
      <c r="N546">
        <v>65191</v>
      </c>
      <c r="O546" t="s">
        <v>218</v>
      </c>
      <c r="P546">
        <v>1918</v>
      </c>
      <c r="Q546" s="47">
        <v>46279</v>
      </c>
      <c r="R546" s="22" t="str">
        <f>IF(H546="","",H546&amp;I546)</f>
        <v>260827-472SALIDA</v>
      </c>
      <c r="S546" s="22" t="str">
        <f>IF(C546="","",C546&amp;I546)</f>
        <v>Full controlSALIDA</v>
      </c>
      <c r="T546" t="str">
        <f>IF(OR(C546="",I546&lt;&gt;"ENTRADA"),"",TEXT(B546,"AAMMDD")&amp;"-"&amp;TEXT(VALUE(SUBSTITUTE(A546,"MOV-","")),"000"))</f>
        <v/>
      </c>
    </row>
    <row r="547" spans="1:20" hidden="1">
      <c r="A547" s="20" t="s">
        <v>859</v>
      </c>
      <c r="B547" s="47">
        <v>46269</v>
      </c>
      <c r="C547" t="s">
        <v>757</v>
      </c>
      <c r="D547" t="s">
        <v>758</v>
      </c>
      <c r="E547" t="s">
        <v>25</v>
      </c>
      <c r="F547" t="s">
        <v>631</v>
      </c>
      <c r="G547" t="s">
        <v>27</v>
      </c>
      <c r="H547" s="20" t="s">
        <v>810</v>
      </c>
      <c r="I547" t="s">
        <v>65</v>
      </c>
      <c r="J547" s="30">
        <v>275</v>
      </c>
      <c r="K547" s="22">
        <f>IF(I547="","",IF(I547="ENTRADA",ABS(J547),-ABS(J547)))</f>
        <v>-275</v>
      </c>
      <c r="L547" t="s">
        <v>632</v>
      </c>
      <c r="N547">
        <v>65194</v>
      </c>
      <c r="O547" t="s">
        <v>213</v>
      </c>
      <c r="P547">
        <v>1919</v>
      </c>
      <c r="Q547" s="47">
        <v>46279</v>
      </c>
      <c r="R547" s="22" t="str">
        <f>IF(H547="","",H547&amp;I547)</f>
        <v>260821-480SALIDA</v>
      </c>
      <c r="S547" s="22" t="str">
        <f>IF(C547="","",C547&amp;I547)</f>
        <v>semilla comprada maiz illinois 2773SALIDA</v>
      </c>
      <c r="T547" t="str">
        <f>IF(OR(C547="",I547&lt;&gt;"ENTRADA"),"",TEXT(B547,"AAMMDD")&amp;"-"&amp;TEXT(VALUE(SUBSTITUTE(A547,"MOV-","")),"000"))</f>
        <v/>
      </c>
    </row>
    <row r="548" spans="1:20" hidden="1">
      <c r="A548" s="20" t="s">
        <v>860</v>
      </c>
      <c r="B548" s="47">
        <v>46269</v>
      </c>
      <c r="C548" t="s">
        <v>763</v>
      </c>
      <c r="D548" t="s">
        <v>764</v>
      </c>
      <c r="E548" t="s">
        <v>25</v>
      </c>
      <c r="F548" t="s">
        <v>631</v>
      </c>
      <c r="G548" t="s">
        <v>27</v>
      </c>
      <c r="H548" s="20" t="s">
        <v>808</v>
      </c>
      <c r="I548" t="s">
        <v>65</v>
      </c>
      <c r="J548" s="30">
        <v>8</v>
      </c>
      <c r="K548" s="22">
        <f>IF(I548="","",IF(I548="ENTRADA",ABS(J548),-ABS(J548)))</f>
        <v>-8</v>
      </c>
      <c r="L548" t="s">
        <v>632</v>
      </c>
      <c r="N548">
        <v>65194</v>
      </c>
      <c r="O548" t="s">
        <v>213</v>
      </c>
      <c r="P548">
        <v>1919</v>
      </c>
      <c r="Q548" s="47">
        <v>46279</v>
      </c>
      <c r="R548" s="22" t="str">
        <f>IF(H548="","",H548&amp;I548)</f>
        <v>260821-482SALIDA</v>
      </c>
      <c r="S548" s="22" t="str">
        <f>IF(C548="","",C548&amp;I548)</f>
        <v>refugio semilla maiz illinois SALIDA</v>
      </c>
      <c r="T548" t="str">
        <f>IF(OR(C548="",I548&lt;&gt;"ENTRADA"),"",TEXT(B548,"AAMMDD")&amp;"-"&amp;TEXT(VALUE(SUBSTITUTE(A548,"MOV-","")),"000"))</f>
        <v/>
      </c>
    </row>
    <row r="549" spans="1:20" hidden="1">
      <c r="A549" s="20" t="s">
        <v>861</v>
      </c>
      <c r="B549" s="47">
        <v>46269</v>
      </c>
      <c r="C549" t="s">
        <v>629</v>
      </c>
      <c r="D549" t="s">
        <v>630</v>
      </c>
      <c r="E549" t="s">
        <v>25</v>
      </c>
      <c r="F549" t="s">
        <v>631</v>
      </c>
      <c r="G549" t="s">
        <v>158</v>
      </c>
      <c r="H549" s="20" t="s">
        <v>822</v>
      </c>
      <c r="I549" t="s">
        <v>65</v>
      </c>
      <c r="J549" s="30">
        <v>128</v>
      </c>
      <c r="K549" s="22">
        <f>IF(I549="","",IF(I549="ENTRADA",ABS(J549),-ABS(J549)))</f>
        <v>-128</v>
      </c>
      <c r="L549" t="s">
        <v>632</v>
      </c>
      <c r="N549">
        <v>65194</v>
      </c>
      <c r="O549" t="s">
        <v>213</v>
      </c>
      <c r="P549">
        <v>1919</v>
      </c>
      <c r="Q549" s="47">
        <v>46279</v>
      </c>
      <c r="R549" s="22" t="str">
        <f>IF(H549="","",H549&amp;I549)</f>
        <v>260617-373SALIDA</v>
      </c>
      <c r="S549" s="22" t="str">
        <f>IF(C549="","",C549&amp;I549)</f>
        <v>semilla maiz DK 69-62 TRESALIDA</v>
      </c>
      <c r="T549" t="str">
        <f>IF(OR(C549="",I549&lt;&gt;"ENTRADA"),"",TEXT(B549,"AAMMDD")&amp;"-"&amp;TEXT(VALUE(SUBSTITUTE(A549,"MOV-","")),"000"))</f>
        <v/>
      </c>
    </row>
    <row r="550" spans="1:20" hidden="1">
      <c r="A550" s="20" t="s">
        <v>862</v>
      </c>
      <c r="B550" s="47">
        <v>46269</v>
      </c>
      <c r="C550" t="s">
        <v>763</v>
      </c>
      <c r="D550" t="s">
        <v>764</v>
      </c>
      <c r="E550" t="s">
        <v>25</v>
      </c>
      <c r="F550" t="s">
        <v>631</v>
      </c>
      <c r="G550" t="s">
        <v>27</v>
      </c>
      <c r="H550" s="20" t="s">
        <v>808</v>
      </c>
      <c r="I550" t="s">
        <v>65</v>
      </c>
      <c r="J550" s="30">
        <v>16</v>
      </c>
      <c r="K550" s="22">
        <f>IF(I550="","",IF(I550="ENTRADA",ABS(J550),-ABS(J550)))</f>
        <v>-16</v>
      </c>
      <c r="L550" t="s">
        <v>632</v>
      </c>
      <c r="N550">
        <v>65194</v>
      </c>
      <c r="O550" t="s">
        <v>213</v>
      </c>
      <c r="P550">
        <v>1919</v>
      </c>
      <c r="Q550" s="47">
        <v>46279</v>
      </c>
      <c r="R550" s="22" t="str">
        <f>IF(H550="","",H550&amp;I550)</f>
        <v>260821-482SALIDA</v>
      </c>
      <c r="S550" s="22" t="str">
        <f>IF(C550="","",C550&amp;I550)</f>
        <v>refugio semilla maiz illinois SALIDA</v>
      </c>
      <c r="T550" t="str">
        <f>IF(OR(C550="",I550&lt;&gt;"ENTRADA"),"",TEXT(B550,"AAMMDD")&amp;"-"&amp;TEXT(VALUE(SUBSTITUTE(A550,"MOV-","")),"000"))</f>
        <v/>
      </c>
    </row>
    <row r="551" spans="1:20" hidden="1">
      <c r="A551" s="20" t="s">
        <v>863</v>
      </c>
      <c r="B551" s="47">
        <v>46269</v>
      </c>
      <c r="C551" s="34" t="s">
        <v>634</v>
      </c>
      <c r="D551" s="34" t="s">
        <v>630</v>
      </c>
      <c r="E551" s="34" t="s">
        <v>25</v>
      </c>
      <c r="F551" s="34" t="s">
        <v>631</v>
      </c>
      <c r="G551" s="34" t="s">
        <v>158</v>
      </c>
      <c r="H551" s="20" t="s">
        <v>824</v>
      </c>
      <c r="I551" s="34" t="s">
        <v>65</v>
      </c>
      <c r="J551" s="36">
        <v>16</v>
      </c>
      <c r="K551" s="22">
        <f>IF(I551="","",IF(I551="ENTRADA",ABS(J551),-ABS(J551)))</f>
        <v>-16</v>
      </c>
      <c r="L551" s="34" t="s">
        <v>632</v>
      </c>
      <c r="M551" s="34"/>
      <c r="N551">
        <v>65194</v>
      </c>
      <c r="O551" s="34" t="s">
        <v>213</v>
      </c>
      <c r="P551">
        <v>1919</v>
      </c>
      <c r="Q551" s="47">
        <v>46279</v>
      </c>
      <c r="R551" s="22" t="str">
        <f>IF(H551="","",H551&amp;I551)</f>
        <v>260617-374SALIDA</v>
      </c>
      <c r="S551" s="22" t="str">
        <f>IF(C551="","",C551&amp;I551)</f>
        <v>semilla maiz DK 72-10 RR2C5 refugioSALIDA</v>
      </c>
      <c r="T551" t="str">
        <f>IF(OR(C551="",I551&lt;&gt;"ENTRADA"),"",TEXT(B551,"AAMMDD")&amp;"-"&amp;TEXT(VALUE(SUBSTITUTE(A551,"MOV-","")),"000"))</f>
        <v/>
      </c>
    </row>
    <row r="552" spans="1:20" hidden="1">
      <c r="A552" s="20" t="s">
        <v>864</v>
      </c>
      <c r="B552" s="47">
        <v>46269</v>
      </c>
      <c r="C552" t="s">
        <v>115</v>
      </c>
      <c r="D552" t="s">
        <v>116</v>
      </c>
      <c r="E552" t="s">
        <v>34</v>
      </c>
      <c r="F552" t="s">
        <v>35</v>
      </c>
      <c r="G552" t="s">
        <v>117</v>
      </c>
      <c r="H552" s="20" t="s">
        <v>668</v>
      </c>
      <c r="I552" t="s">
        <v>65</v>
      </c>
      <c r="J552" s="30">
        <v>2700</v>
      </c>
      <c r="K552" s="22">
        <f>IF(I552="","",IF(I552="ENTRADA",ABS(J552),-ABS(J552)))</f>
        <v>-2700</v>
      </c>
      <c r="L552" t="s">
        <v>37</v>
      </c>
      <c r="N552">
        <v>65195</v>
      </c>
      <c r="O552" t="s">
        <v>382</v>
      </c>
      <c r="P552">
        <v>1920</v>
      </c>
      <c r="Q552" s="47">
        <v>46279</v>
      </c>
      <c r="R552" s="22" t="str">
        <f>IF(H552="","",H552&amp;I552)</f>
        <v>260727-381SALIDA</v>
      </c>
      <c r="S552" s="22" t="str">
        <f>IF(C552="","",C552&amp;I552)</f>
        <v>AzukaSALIDA</v>
      </c>
      <c r="T552" t="str">
        <f>IF(OR(C552="",I552&lt;&gt;"ENTRADA"),"",TEXT(B552,"AAMMDD")&amp;"-"&amp;TEXT(VALUE(SUBSTITUTE(A552,"MOV-","")),"000"))</f>
        <v/>
      </c>
    </row>
    <row r="553" spans="1:20" hidden="1">
      <c r="A553" s="20" t="s">
        <v>865</v>
      </c>
      <c r="B553" s="47">
        <v>46269</v>
      </c>
      <c r="C553" t="s">
        <v>782</v>
      </c>
      <c r="D553" t="s">
        <v>783</v>
      </c>
      <c r="E553" t="s">
        <v>34</v>
      </c>
      <c r="F553" t="s">
        <v>46</v>
      </c>
      <c r="G553" t="s">
        <v>27</v>
      </c>
      <c r="H553" s="20" t="s">
        <v>797</v>
      </c>
      <c r="I553" t="s">
        <v>65</v>
      </c>
      <c r="J553" s="30">
        <v>150</v>
      </c>
      <c r="K553" s="22">
        <f>IF(I553="","",IF(I553="ENTRADA",ABS(J553),-ABS(J553)))</f>
        <v>-150</v>
      </c>
      <c r="L553" t="s">
        <v>29</v>
      </c>
      <c r="N553">
        <v>65195</v>
      </c>
      <c r="O553" t="s">
        <v>382</v>
      </c>
      <c r="P553">
        <v>1920</v>
      </c>
      <c r="Q553" s="47">
        <v>46279</v>
      </c>
      <c r="R553" s="22" t="str">
        <f>IF(H553="","",H553&amp;I553)</f>
        <v>260801-489SALIDA</v>
      </c>
      <c r="S553" s="22" t="str">
        <f>IF(C553="","",C553&amp;I553)</f>
        <v>PyroxateSALIDA</v>
      </c>
      <c r="T553" t="str">
        <f>IF(OR(C553="",I553&lt;&gt;"ENTRADA"),"",TEXT(B553,"AAMMDD")&amp;"-"&amp;TEXT(VALUE(SUBSTITUTE(A553,"MOV-","")),"000"))</f>
        <v/>
      </c>
    </row>
    <row r="554" spans="1:20" hidden="1">
      <c r="A554" s="20" t="s">
        <v>866</v>
      </c>
      <c r="B554" s="47">
        <v>46269</v>
      </c>
      <c r="C554" t="s">
        <v>130</v>
      </c>
      <c r="D554" t="s">
        <v>131</v>
      </c>
      <c r="E554" t="s">
        <v>132</v>
      </c>
      <c r="G554" t="s">
        <v>133</v>
      </c>
      <c r="H554" s="20" t="s">
        <v>221</v>
      </c>
      <c r="I554" t="s">
        <v>65</v>
      </c>
      <c r="J554" s="30">
        <v>110</v>
      </c>
      <c r="K554" s="22">
        <f>IF(I554="","",IF(I554="ENTRADA",ABS(J554),-ABS(J554)))</f>
        <v>-110</v>
      </c>
      <c r="L554" t="s">
        <v>37</v>
      </c>
      <c r="N554">
        <v>65195</v>
      </c>
      <c r="O554" t="s">
        <v>382</v>
      </c>
      <c r="P554">
        <v>1920</v>
      </c>
      <c r="Q554" s="47">
        <v>46279</v>
      </c>
      <c r="R554" s="22" t="str">
        <f>IF(H554="","",H554&amp;I554)</f>
        <v>260414-029SALIDA</v>
      </c>
      <c r="S554" s="22" t="str">
        <f>IF(C554="","",C554&amp;I554)</f>
        <v>HarrierSALIDA</v>
      </c>
      <c r="T554" t="str">
        <f>IF(OR(C554="",I554&lt;&gt;"ENTRADA"),"",TEXT(B554,"AAMMDD")&amp;"-"&amp;TEXT(VALUE(SUBSTITUTE(A554,"MOV-","")),"000"))</f>
        <v/>
      </c>
    </row>
    <row r="555" spans="1:20" hidden="1">
      <c r="A555" s="20" t="s">
        <v>867</v>
      </c>
      <c r="B555" s="47">
        <v>46269</v>
      </c>
      <c r="C555" t="s">
        <v>137</v>
      </c>
      <c r="D555" t="s">
        <v>138</v>
      </c>
      <c r="E555" t="s">
        <v>132</v>
      </c>
      <c r="G555" t="s">
        <v>133</v>
      </c>
      <c r="H555" s="20" t="s">
        <v>793</v>
      </c>
      <c r="I555" t="s">
        <v>65</v>
      </c>
      <c r="J555" s="30">
        <v>18</v>
      </c>
      <c r="K555" s="22">
        <f>IF(I555="","",IF(I555="ENTRADA",ABS(J555),-ABS(J555)))</f>
        <v>-18</v>
      </c>
      <c r="L555" t="s">
        <v>37</v>
      </c>
      <c r="N555">
        <v>65195</v>
      </c>
      <c r="O555" t="s">
        <v>382</v>
      </c>
      <c r="P555">
        <v>1920</v>
      </c>
      <c r="Q555" s="47">
        <v>46279</v>
      </c>
      <c r="R555" s="22" t="str">
        <f>IF(H555="","",H555&amp;I555)</f>
        <v>260827-472SALIDA</v>
      </c>
      <c r="S555" s="22" t="str">
        <f>IF(C555="","",C555&amp;I555)</f>
        <v>Full controlSALIDA</v>
      </c>
      <c r="T555" t="str">
        <f>IF(OR(C555="",I555&lt;&gt;"ENTRADA"),"",TEXT(B555,"AAMMDD")&amp;"-"&amp;TEXT(VALUE(SUBSTITUTE(A555,"MOV-","")),"000"))</f>
        <v/>
      </c>
    </row>
    <row r="556" spans="1:20" hidden="1">
      <c r="A556" s="20" t="s">
        <v>868</v>
      </c>
      <c r="B556" s="47">
        <v>46269</v>
      </c>
      <c r="C556" t="s">
        <v>775</v>
      </c>
      <c r="D556" t="s">
        <v>776</v>
      </c>
      <c r="E556" t="s">
        <v>34</v>
      </c>
      <c r="F556" t="s">
        <v>46</v>
      </c>
      <c r="G556" t="s">
        <v>777</v>
      </c>
      <c r="H556" s="20" t="s">
        <v>854</v>
      </c>
      <c r="I556" t="s">
        <v>65</v>
      </c>
      <c r="J556" s="30">
        <v>900</v>
      </c>
      <c r="K556" s="22">
        <f>IF(I556="","",IF(I556="ENTRADA",ABS(J556),-ABS(J556)))</f>
        <v>-900</v>
      </c>
      <c r="L556" t="s">
        <v>37</v>
      </c>
      <c r="N556">
        <v>65195</v>
      </c>
      <c r="O556" t="s">
        <v>382</v>
      </c>
      <c r="P556">
        <v>1920</v>
      </c>
      <c r="Q556" s="47">
        <v>46279</v>
      </c>
      <c r="R556" s="22" t="str">
        <f>IF(H556="","",H556&amp;I556)</f>
        <v>260902-487SALIDA</v>
      </c>
      <c r="S556" s="22" t="str">
        <f>IF(C556="","",C556&amp;I556)</f>
        <v>Acuron unoSALIDA</v>
      </c>
      <c r="T556" t="str">
        <f>IF(OR(C556="",I556&lt;&gt;"ENTRADA"),"",TEXT(B556,"AAMMDD")&amp;"-"&amp;TEXT(VALUE(SUBSTITUTE(A556,"MOV-","")),"000"))</f>
        <v/>
      </c>
    </row>
    <row r="557" spans="1:20" hidden="1">
      <c r="A557" s="20" t="s">
        <v>869</v>
      </c>
      <c r="B557" s="47">
        <v>46269</v>
      </c>
      <c r="C557" t="s">
        <v>75</v>
      </c>
      <c r="D557" t="s">
        <v>76</v>
      </c>
      <c r="E557" t="s">
        <v>34</v>
      </c>
      <c r="F557" t="s">
        <v>35</v>
      </c>
      <c r="G557" t="s">
        <v>77</v>
      </c>
      <c r="H557" s="20" t="s">
        <v>94</v>
      </c>
      <c r="I557" t="s">
        <v>65</v>
      </c>
      <c r="J557" s="30">
        <v>160</v>
      </c>
      <c r="K557" s="22">
        <f>IF(I557="","",IF(I557="ENTRADA",ABS(J557),-ABS(J557)))</f>
        <v>-160</v>
      </c>
      <c r="L557" t="s">
        <v>37</v>
      </c>
      <c r="N557">
        <v>65196</v>
      </c>
      <c r="O557" t="s">
        <v>218</v>
      </c>
      <c r="P557">
        <v>1921</v>
      </c>
      <c r="Q557" s="47">
        <v>46279</v>
      </c>
      <c r="R557" s="22" t="str">
        <f>IF(H557="","",H557&amp;I557)</f>
        <v>260407-012SALIDA</v>
      </c>
      <c r="S557" s="22" t="str">
        <f>IF(C557="","",C557&amp;I557)</f>
        <v>Dedalo eliteSALIDA</v>
      </c>
      <c r="T557" t="str">
        <f>IF(OR(C557="",I557&lt;&gt;"ENTRADA"),"",TEXT(B557,"AAMMDD")&amp;"-"&amp;TEXT(VALUE(SUBSTITUTE(A557,"MOV-","")),"000"))</f>
        <v/>
      </c>
    </row>
    <row r="558" spans="1:20" hidden="1">
      <c r="A558" s="20" t="s">
        <v>870</v>
      </c>
      <c r="B558" s="47">
        <v>46269</v>
      </c>
      <c r="C558" t="s">
        <v>115</v>
      </c>
      <c r="D558" t="s">
        <v>116</v>
      </c>
      <c r="E558" t="s">
        <v>34</v>
      </c>
      <c r="F558" t="s">
        <v>35</v>
      </c>
      <c r="G558" t="s">
        <v>117</v>
      </c>
      <c r="H558" s="20" t="s">
        <v>668</v>
      </c>
      <c r="I558" t="s">
        <v>65</v>
      </c>
      <c r="J558" s="30">
        <v>1040</v>
      </c>
      <c r="K558" s="22">
        <f>IF(I558="","",IF(I558="ENTRADA",ABS(J558),-ABS(J558)))</f>
        <v>-1040</v>
      </c>
      <c r="L558" t="s">
        <v>37</v>
      </c>
      <c r="N558">
        <v>65197</v>
      </c>
      <c r="O558" t="s">
        <v>213</v>
      </c>
      <c r="P558">
        <v>1922</v>
      </c>
      <c r="Q558" s="47">
        <v>46279</v>
      </c>
      <c r="R558" s="22" t="str">
        <f>IF(H558="","",H558&amp;I558)</f>
        <v>260727-381SALIDA</v>
      </c>
      <c r="S558" s="22" t="str">
        <f>IF(C558="","",C558&amp;I558)</f>
        <v>AzukaSALIDA</v>
      </c>
      <c r="T558" t="str">
        <f>IF(OR(C558="",I558&lt;&gt;"ENTRADA"),"",TEXT(B558,"AAMMDD")&amp;"-"&amp;TEXT(VALUE(SUBSTITUTE(A558,"MOV-","")),"000"))</f>
        <v/>
      </c>
    </row>
    <row r="559" spans="1:20" hidden="1">
      <c r="A559" s="20" t="s">
        <v>871</v>
      </c>
      <c r="B559" s="47">
        <v>46269</v>
      </c>
      <c r="C559" t="s">
        <v>769</v>
      </c>
      <c r="D559" t="s">
        <v>770</v>
      </c>
      <c r="E559" t="s">
        <v>34</v>
      </c>
      <c r="F559" t="s">
        <v>35</v>
      </c>
      <c r="G559" t="s">
        <v>771</v>
      </c>
      <c r="H559" s="20" t="s">
        <v>829</v>
      </c>
      <c r="I559" t="s">
        <v>65</v>
      </c>
      <c r="J559" s="30">
        <v>500</v>
      </c>
      <c r="K559" s="22">
        <f>IF(I559="","",IF(I559="ENTRADA",ABS(J559),-ABS(J559)))</f>
        <v>-500</v>
      </c>
      <c r="L559" t="s">
        <v>37</v>
      </c>
      <c r="N559">
        <v>65197</v>
      </c>
      <c r="O559" t="s">
        <v>213</v>
      </c>
      <c r="P559">
        <v>1922</v>
      </c>
      <c r="Q559" s="47">
        <v>46279</v>
      </c>
      <c r="R559" s="22" t="str">
        <f>IF(H559="","",H559&amp;I559)</f>
        <v>260826-484SALIDA</v>
      </c>
      <c r="S559" s="22" t="str">
        <f>IF(C559="","",C559&amp;I559)</f>
        <v>Paraquat SALIDA</v>
      </c>
      <c r="T559" t="str">
        <f>IF(OR(C559="",I559&lt;&gt;"ENTRADA"),"",TEXT(B559,"AAMMDD")&amp;"-"&amp;TEXT(VALUE(SUBSTITUTE(A559,"MOV-","")),"000"))</f>
        <v/>
      </c>
    </row>
    <row r="560" spans="1:20" hidden="1">
      <c r="A560" s="20" t="s">
        <v>872</v>
      </c>
      <c r="B560" s="47">
        <v>46269</v>
      </c>
      <c r="C560" t="s">
        <v>130</v>
      </c>
      <c r="D560" t="s">
        <v>131</v>
      </c>
      <c r="E560" t="s">
        <v>132</v>
      </c>
      <c r="G560" t="s">
        <v>133</v>
      </c>
      <c r="H560" s="20" t="s">
        <v>221</v>
      </c>
      <c r="I560" t="s">
        <v>65</v>
      </c>
      <c r="J560" s="30">
        <v>80</v>
      </c>
      <c r="K560" s="22">
        <f>IF(I560="","",IF(I560="ENTRADA",ABS(J560),-ABS(J560)))</f>
        <v>-80</v>
      </c>
      <c r="L560" t="s">
        <v>37</v>
      </c>
      <c r="N560">
        <v>65197</v>
      </c>
      <c r="O560" t="s">
        <v>213</v>
      </c>
      <c r="P560">
        <v>1922</v>
      </c>
      <c r="Q560" s="47">
        <v>46279</v>
      </c>
      <c r="R560" s="22" t="str">
        <f>IF(H560="","",H560&amp;I560)</f>
        <v>260414-029SALIDA</v>
      </c>
      <c r="S560" s="22" t="str">
        <f>IF(C560="","",C560&amp;I560)</f>
        <v>HarrierSALIDA</v>
      </c>
      <c r="T560" t="str">
        <f>IF(OR(C560="",I560&lt;&gt;"ENTRADA"),"",TEXT(B560,"AAMMDD")&amp;"-"&amp;TEXT(VALUE(SUBSTITUTE(A560,"MOV-","")),"000"))</f>
        <v/>
      </c>
    </row>
    <row r="561" spans="1:20" hidden="1">
      <c r="A561" s="20" t="s">
        <v>873</v>
      </c>
      <c r="B561" s="47">
        <v>46269</v>
      </c>
      <c r="C561" t="s">
        <v>782</v>
      </c>
      <c r="D561" t="s">
        <v>783</v>
      </c>
      <c r="E561" t="s">
        <v>34</v>
      </c>
      <c r="F561" t="s">
        <v>46</v>
      </c>
      <c r="G561" t="s">
        <v>27</v>
      </c>
      <c r="H561" s="20" t="s">
        <v>797</v>
      </c>
      <c r="I561" t="s">
        <v>65</v>
      </c>
      <c r="J561" s="30">
        <v>40</v>
      </c>
      <c r="K561" s="22">
        <f>IF(I561="","",IF(I561="ENTRADA",ABS(J561),-ABS(J561)))</f>
        <v>-40</v>
      </c>
      <c r="L561" t="s">
        <v>29</v>
      </c>
      <c r="N561">
        <v>65197</v>
      </c>
      <c r="O561" t="s">
        <v>213</v>
      </c>
      <c r="P561">
        <v>1922</v>
      </c>
      <c r="Q561" s="47">
        <v>46279</v>
      </c>
      <c r="R561" s="22" t="str">
        <f>IF(H561="","",H561&amp;I561)</f>
        <v>260801-489SALIDA</v>
      </c>
      <c r="S561" s="22" t="str">
        <f>IF(C561="","",C561&amp;I561)</f>
        <v>PyroxateSALIDA</v>
      </c>
      <c r="T561" t="str">
        <f>IF(OR(C561="",I561&lt;&gt;"ENTRADA"),"",TEXT(B561,"AAMMDD")&amp;"-"&amp;TEXT(VALUE(SUBSTITUTE(A561,"MOV-","")),"000"))</f>
        <v/>
      </c>
    </row>
    <row r="562" spans="1:20" hidden="1">
      <c r="A562" s="20" t="s">
        <v>874</v>
      </c>
      <c r="B562" s="47">
        <v>46269</v>
      </c>
      <c r="C562" s="34" t="s">
        <v>775</v>
      </c>
      <c r="D562" s="34" t="s">
        <v>776</v>
      </c>
      <c r="E562" s="34" t="s">
        <v>34</v>
      </c>
      <c r="F562" s="34" t="s">
        <v>46</v>
      </c>
      <c r="G562" s="34" t="s">
        <v>777</v>
      </c>
      <c r="H562" s="20" t="s">
        <v>854</v>
      </c>
      <c r="I562" s="34" t="s">
        <v>65</v>
      </c>
      <c r="J562" s="36">
        <v>200</v>
      </c>
      <c r="K562" s="22">
        <f>IF(I562="","",IF(I562="ENTRADA",ABS(J562),-ABS(J562)))</f>
        <v>-200</v>
      </c>
      <c r="L562" s="34" t="s">
        <v>37</v>
      </c>
      <c r="M562" s="34"/>
      <c r="N562">
        <v>65197</v>
      </c>
      <c r="O562" s="34" t="s">
        <v>213</v>
      </c>
      <c r="P562">
        <v>1922</v>
      </c>
      <c r="Q562" s="47">
        <v>46279</v>
      </c>
      <c r="R562" s="22" t="str">
        <f>IF(H562="","",H562&amp;I562)</f>
        <v>260902-487SALIDA</v>
      </c>
      <c r="S562" s="22" t="str">
        <f>IF(C562="","",C562&amp;I562)</f>
        <v>Acuron unoSALIDA</v>
      </c>
      <c r="T562" t="str">
        <f>IF(OR(C562="",I562&lt;&gt;"ENTRADA"),"",TEXT(B562,"AAMMDD")&amp;"-"&amp;TEXT(VALUE(SUBSTITUTE(A562,"MOV-","")),"000"))</f>
        <v/>
      </c>
    </row>
    <row r="563" spans="1:20" hidden="1">
      <c r="A563" s="20" t="s">
        <v>875</v>
      </c>
      <c r="B563" s="47">
        <v>46269</v>
      </c>
      <c r="C563" t="s">
        <v>90</v>
      </c>
      <c r="D563" t="s">
        <v>91</v>
      </c>
      <c r="E563" t="s">
        <v>34</v>
      </c>
      <c r="F563" t="s">
        <v>35</v>
      </c>
      <c r="G563" t="s">
        <v>36</v>
      </c>
      <c r="H563" s="20" t="s">
        <v>375</v>
      </c>
      <c r="I563" t="s">
        <v>65</v>
      </c>
      <c r="J563" s="30">
        <v>80</v>
      </c>
      <c r="K563" s="22">
        <f>IF(I563="","",IF(I563="ENTRADA",ABS(J563),-ABS(J563)))</f>
        <v>-80</v>
      </c>
      <c r="L563" t="s">
        <v>37</v>
      </c>
      <c r="N563">
        <v>65197</v>
      </c>
      <c r="O563" t="s">
        <v>213</v>
      </c>
      <c r="P563">
        <v>1922</v>
      </c>
      <c r="Q563" s="47">
        <v>46279</v>
      </c>
      <c r="R563" s="22" t="str">
        <f>IF(H563="","",H563&amp;I563)</f>
        <v>260405-132SALIDA</v>
      </c>
      <c r="S563" s="22" t="str">
        <f>IF(C563="","",C563&amp;I563)</f>
        <v>PixxaroSALIDA</v>
      </c>
      <c r="T563" t="str">
        <f>IF(OR(C563="",I563&lt;&gt;"ENTRADA"),"",TEXT(B563,"AAMMDD")&amp;"-"&amp;TEXT(VALUE(SUBSTITUTE(A563,"MOV-","")),"000"))</f>
        <v/>
      </c>
    </row>
    <row r="564" spans="1:20" hidden="1">
      <c r="A564" s="20" t="s">
        <v>876</v>
      </c>
      <c r="B564" s="47">
        <v>46269</v>
      </c>
      <c r="C564" t="s">
        <v>122</v>
      </c>
      <c r="D564" t="s">
        <v>123</v>
      </c>
      <c r="E564" t="s">
        <v>34</v>
      </c>
      <c r="F564" t="s">
        <v>35</v>
      </c>
      <c r="G564" t="s">
        <v>117</v>
      </c>
      <c r="H564" s="20" t="s">
        <v>203</v>
      </c>
      <c r="I564" t="s">
        <v>65</v>
      </c>
      <c r="J564" s="30">
        <v>330</v>
      </c>
      <c r="K564" s="22">
        <f>IF(I564="","",IF(I564="ENTRADA",ABS(J564),-ABS(J564)))</f>
        <v>-330</v>
      </c>
      <c r="L564" t="s">
        <v>37</v>
      </c>
      <c r="N564">
        <v>65197</v>
      </c>
      <c r="O564" t="s">
        <v>213</v>
      </c>
      <c r="P564">
        <v>1922</v>
      </c>
      <c r="Q564" s="47">
        <v>46279</v>
      </c>
      <c r="R564" s="22" t="str">
        <f>IF(H564="","",H564&amp;I564)</f>
        <v>260410-027SALIDA</v>
      </c>
      <c r="S564" s="22" t="str">
        <f>IF(C564="","",C564&amp;I564)</f>
        <v>PardoSALIDA</v>
      </c>
      <c r="T564" t="str">
        <f>IF(OR(C564="",I564&lt;&gt;"ENTRADA"),"",TEXT(B564,"AAMMDD")&amp;"-"&amp;TEXT(VALUE(SUBSTITUTE(A564,"MOV-","")),"000"))</f>
        <v/>
      </c>
    </row>
    <row r="565" spans="1:20" hidden="1">
      <c r="A565" s="20" t="s">
        <v>877</v>
      </c>
      <c r="B565" s="47">
        <v>46269</v>
      </c>
      <c r="C565" t="s">
        <v>137</v>
      </c>
      <c r="D565" t="s">
        <v>138</v>
      </c>
      <c r="E565" t="s">
        <v>132</v>
      </c>
      <c r="G565" t="s">
        <v>133</v>
      </c>
      <c r="H565" s="20" t="s">
        <v>793</v>
      </c>
      <c r="I565" t="s">
        <v>65</v>
      </c>
      <c r="J565" s="30">
        <v>15</v>
      </c>
      <c r="K565" s="22">
        <f>IF(I565="","",IF(I565="ENTRADA",ABS(J565),-ABS(J565)))</f>
        <v>-15</v>
      </c>
      <c r="L565" t="s">
        <v>37</v>
      </c>
      <c r="N565">
        <v>65197</v>
      </c>
      <c r="O565" t="s">
        <v>213</v>
      </c>
      <c r="P565">
        <v>1922</v>
      </c>
      <c r="Q565" s="47">
        <v>46279</v>
      </c>
      <c r="R565" s="22" t="str">
        <f>IF(H565="","",H565&amp;I565)</f>
        <v>260827-472SALIDA</v>
      </c>
      <c r="S565" s="22" t="str">
        <f>IF(C565="","",C565&amp;I565)</f>
        <v>Full controlSALIDA</v>
      </c>
      <c r="T565" t="str">
        <f>IF(OR(C565="",I565&lt;&gt;"ENTRADA"),"",TEXT(B565,"AAMMDD")&amp;"-"&amp;TEXT(VALUE(SUBSTITUTE(A565,"MOV-","")),"000"))</f>
        <v/>
      </c>
    </row>
    <row r="566" spans="1:20" hidden="1">
      <c r="A566" s="20" t="s">
        <v>878</v>
      </c>
      <c r="B566" s="47">
        <v>46273</v>
      </c>
      <c r="C566" t="s">
        <v>782</v>
      </c>
      <c r="D566" t="s">
        <v>783</v>
      </c>
      <c r="E566" t="s">
        <v>34</v>
      </c>
      <c r="F566" t="s">
        <v>46</v>
      </c>
      <c r="G566" t="s">
        <v>27</v>
      </c>
      <c r="H566" s="20" t="s">
        <v>797</v>
      </c>
      <c r="I566" t="s">
        <v>65</v>
      </c>
      <c r="J566" s="30">
        <v>140</v>
      </c>
      <c r="K566" s="22">
        <f>IF(I566="","",IF(I566="ENTRADA",ABS(J566),-ABS(J566)))</f>
        <v>-140</v>
      </c>
      <c r="L566" t="s">
        <v>29</v>
      </c>
      <c r="N566">
        <v>65198</v>
      </c>
      <c r="O566" t="s">
        <v>66</v>
      </c>
      <c r="P566">
        <v>1923</v>
      </c>
      <c r="Q566" s="47">
        <v>46279</v>
      </c>
      <c r="R566" s="22" t="str">
        <f>IF(H566="","",H566&amp;I566)</f>
        <v>260801-489SALIDA</v>
      </c>
      <c r="S566" s="22" t="str">
        <f>IF(C566="","",C566&amp;I566)</f>
        <v>PyroxateSALIDA</v>
      </c>
      <c r="T566" t="str">
        <f>IF(OR(C566="",I566&lt;&gt;"ENTRADA"),"",TEXT(B566,"AAMMDD")&amp;"-"&amp;TEXT(VALUE(SUBSTITUTE(A566,"MOV-","")),"000"))</f>
        <v/>
      </c>
    </row>
    <row r="567" spans="1:20" hidden="1">
      <c r="A567" s="20" t="s">
        <v>879</v>
      </c>
      <c r="B567" s="47">
        <v>46273</v>
      </c>
      <c r="C567" t="s">
        <v>115</v>
      </c>
      <c r="D567" t="s">
        <v>116</v>
      </c>
      <c r="E567" t="s">
        <v>34</v>
      </c>
      <c r="F567" t="s">
        <v>35</v>
      </c>
      <c r="G567" t="s">
        <v>117</v>
      </c>
      <c r="H567" s="20" t="s">
        <v>668</v>
      </c>
      <c r="I567" t="s">
        <v>65</v>
      </c>
      <c r="J567" s="30">
        <v>2500</v>
      </c>
      <c r="K567" s="22">
        <f>IF(I567="","",IF(I567="ENTRADA",ABS(J567),-ABS(J567)))</f>
        <v>-2500</v>
      </c>
      <c r="L567" t="s">
        <v>37</v>
      </c>
      <c r="N567">
        <v>65198</v>
      </c>
      <c r="O567" t="s">
        <v>66</v>
      </c>
      <c r="P567">
        <v>1923</v>
      </c>
      <c r="Q567" s="47">
        <v>46279</v>
      </c>
      <c r="R567" s="22" t="str">
        <f>IF(H567="","",H567&amp;I567)</f>
        <v>260727-381SALIDA</v>
      </c>
      <c r="S567" s="22" t="str">
        <f>IF(C567="","",C567&amp;I567)</f>
        <v>AzukaSALIDA</v>
      </c>
      <c r="T567" t="str">
        <f>IF(OR(C567="",I567&lt;&gt;"ENTRADA"),"",TEXT(B567,"AAMMDD")&amp;"-"&amp;TEXT(VALUE(SUBSTITUTE(A567,"MOV-","")),"000"))</f>
        <v/>
      </c>
    </row>
    <row r="568" spans="1:20" hidden="1">
      <c r="A568" s="20" t="s">
        <v>880</v>
      </c>
      <c r="B568" s="47">
        <v>46273</v>
      </c>
      <c r="C568" t="s">
        <v>75</v>
      </c>
      <c r="D568" t="s">
        <v>76</v>
      </c>
      <c r="E568" t="s">
        <v>34</v>
      </c>
      <c r="F568" t="s">
        <v>35</v>
      </c>
      <c r="G568" t="s">
        <v>77</v>
      </c>
      <c r="H568" s="20" t="s">
        <v>94</v>
      </c>
      <c r="I568" t="s">
        <v>65</v>
      </c>
      <c r="J568" s="30">
        <v>1000</v>
      </c>
      <c r="K568" s="22">
        <f>IF(I568="","",IF(I568="ENTRADA",ABS(J568),-ABS(J568)))</f>
        <v>-1000</v>
      </c>
      <c r="L568" t="s">
        <v>37</v>
      </c>
      <c r="N568">
        <v>65198</v>
      </c>
      <c r="O568" t="s">
        <v>66</v>
      </c>
      <c r="P568">
        <v>1923</v>
      </c>
      <c r="Q568" s="47">
        <v>46279</v>
      </c>
      <c r="R568" s="22" t="str">
        <f>IF(H568="","",H568&amp;I568)</f>
        <v>260407-012SALIDA</v>
      </c>
      <c r="S568" s="22" t="str">
        <f>IF(C568="","",C568&amp;I568)</f>
        <v>Dedalo eliteSALIDA</v>
      </c>
      <c r="T568" t="str">
        <f>IF(OR(C568="",I568&lt;&gt;"ENTRADA"),"",TEXT(B568,"AAMMDD")&amp;"-"&amp;TEXT(VALUE(SUBSTITUTE(A568,"MOV-","")),"000"))</f>
        <v/>
      </c>
    </row>
    <row r="569" spans="1:20" hidden="1">
      <c r="A569" s="20" t="s">
        <v>881</v>
      </c>
      <c r="B569" s="47">
        <v>46273</v>
      </c>
      <c r="C569" t="s">
        <v>137</v>
      </c>
      <c r="D569" t="s">
        <v>138</v>
      </c>
      <c r="E569" t="s">
        <v>132</v>
      </c>
      <c r="G569" t="s">
        <v>133</v>
      </c>
      <c r="H569" s="20" t="s">
        <v>793</v>
      </c>
      <c r="I569" t="s">
        <v>65</v>
      </c>
      <c r="J569" s="30">
        <v>60</v>
      </c>
      <c r="K569" s="22">
        <f>IF(I569="","",IF(I569="ENTRADA",ABS(J569),-ABS(J569)))</f>
        <v>-60</v>
      </c>
      <c r="L569" t="s">
        <v>37</v>
      </c>
      <c r="N569">
        <v>65198</v>
      </c>
      <c r="O569" t="s">
        <v>66</v>
      </c>
      <c r="P569">
        <v>1923</v>
      </c>
      <c r="Q569" s="47">
        <v>46279</v>
      </c>
      <c r="R569" s="22" t="str">
        <f>IF(H569="","",H569&amp;I569)</f>
        <v>260827-472SALIDA</v>
      </c>
      <c r="S569" s="22" t="str">
        <f>IF(C569="","",C569&amp;I569)</f>
        <v>Full controlSALIDA</v>
      </c>
      <c r="T569" t="str">
        <f>IF(OR(C569="",I569&lt;&gt;"ENTRADA"),"",TEXT(B569,"AAMMDD")&amp;"-"&amp;TEXT(VALUE(SUBSTITUTE(A569,"MOV-","")),"000"))</f>
        <v/>
      </c>
    </row>
    <row r="570" spans="1:20" hidden="1">
      <c r="A570" s="20" t="s">
        <v>882</v>
      </c>
      <c r="B570" s="47">
        <v>46273</v>
      </c>
      <c r="C570" t="s">
        <v>656</v>
      </c>
      <c r="D570" t="s">
        <v>657</v>
      </c>
      <c r="E570" t="s">
        <v>132</v>
      </c>
      <c r="G570" t="s">
        <v>133</v>
      </c>
      <c r="H570" s="20" t="s">
        <v>659</v>
      </c>
      <c r="I570" t="s">
        <v>65</v>
      </c>
      <c r="J570" s="30">
        <v>60</v>
      </c>
      <c r="K570" s="22">
        <f>IF(I570="","",IF(I570="ENTRADA",ABS(J570),-ABS(J570)))</f>
        <v>-60</v>
      </c>
      <c r="L570" t="s">
        <v>37</v>
      </c>
      <c r="N570">
        <v>65198</v>
      </c>
      <c r="O570" t="s">
        <v>66</v>
      </c>
      <c r="P570">
        <v>1923</v>
      </c>
      <c r="Q570" s="47">
        <v>46279</v>
      </c>
      <c r="R570" s="22" t="str">
        <f>IF(H570="","",H570&amp;I570)</f>
        <v>260729-393SALIDA</v>
      </c>
      <c r="S570" s="22" t="str">
        <f>IF(C570="","",C570&amp;I570)</f>
        <v>Harrier Drone SALIDA</v>
      </c>
      <c r="T570" t="str">
        <f>IF(OR(C570="",I570&lt;&gt;"ENTRADA"),"",TEXT(B570,"AAMMDD")&amp;"-"&amp;TEXT(VALUE(SUBSTITUTE(A570,"MOV-","")),"000"))</f>
        <v/>
      </c>
    </row>
    <row r="571" spans="1:20" hidden="1">
      <c r="A571" s="20" t="s">
        <v>883</v>
      </c>
      <c r="B571" s="47">
        <v>46273</v>
      </c>
      <c r="C571" t="s">
        <v>130</v>
      </c>
      <c r="D571" t="s">
        <v>131</v>
      </c>
      <c r="E571" t="s">
        <v>132</v>
      </c>
      <c r="G571" t="s">
        <v>133</v>
      </c>
      <c r="H571" s="20" t="s">
        <v>221</v>
      </c>
      <c r="I571" t="s">
        <v>65</v>
      </c>
      <c r="J571" s="30">
        <v>60</v>
      </c>
      <c r="K571" s="22">
        <f>IF(I571="","",IF(I571="ENTRADA",ABS(J571),-ABS(J571)))</f>
        <v>-60</v>
      </c>
      <c r="L571" t="s">
        <v>37</v>
      </c>
      <c r="N571">
        <v>65198</v>
      </c>
      <c r="O571" t="s">
        <v>66</v>
      </c>
      <c r="P571">
        <v>1923</v>
      </c>
      <c r="Q571" s="47">
        <v>46279</v>
      </c>
      <c r="R571" s="22" t="str">
        <f>IF(H571="","",H571&amp;I571)</f>
        <v>260414-029SALIDA</v>
      </c>
      <c r="S571" s="22" t="str">
        <f>IF(C571="","",C571&amp;I571)</f>
        <v>HarrierSALIDA</v>
      </c>
      <c r="T571" t="str">
        <f>IF(OR(C571="",I571&lt;&gt;"ENTRADA"),"",TEXT(B571,"AAMMDD")&amp;"-"&amp;TEXT(VALUE(SUBSTITUTE(A571,"MOV-","")),"000"))</f>
        <v/>
      </c>
    </row>
    <row r="572" spans="1:20" hidden="1">
      <c r="A572" s="20" t="s">
        <v>884</v>
      </c>
      <c r="B572" s="47">
        <v>46273</v>
      </c>
      <c r="C572" t="s">
        <v>775</v>
      </c>
      <c r="D572" t="s">
        <v>776</v>
      </c>
      <c r="E572" t="s">
        <v>34</v>
      </c>
      <c r="F572" t="s">
        <v>46</v>
      </c>
      <c r="G572" t="s">
        <v>777</v>
      </c>
      <c r="H572" s="20" t="s">
        <v>854</v>
      </c>
      <c r="I572" t="s">
        <v>65</v>
      </c>
      <c r="J572" s="30">
        <v>60</v>
      </c>
      <c r="K572" s="22">
        <f>IF(I572="","",IF(I572="ENTRADA",ABS(J572),-ABS(J572)))</f>
        <v>-60</v>
      </c>
      <c r="L572" t="s">
        <v>37</v>
      </c>
      <c r="N572">
        <v>65198</v>
      </c>
      <c r="O572" t="s">
        <v>66</v>
      </c>
      <c r="P572">
        <v>1923</v>
      </c>
      <c r="Q572" s="47">
        <v>46279</v>
      </c>
      <c r="R572" s="22" t="str">
        <f>IF(H572="","",H572&amp;I572)</f>
        <v>260902-487SALIDA</v>
      </c>
      <c r="S572" s="22" t="str">
        <f>IF(C572="","",C572&amp;I572)</f>
        <v>Acuron unoSALIDA</v>
      </c>
      <c r="T572" t="str">
        <f>IF(OR(C572="",I572&lt;&gt;"ENTRADA"),"",TEXT(B572,"AAMMDD")&amp;"-"&amp;TEXT(VALUE(SUBSTITUTE(A572,"MOV-","")),"000"))</f>
        <v/>
      </c>
    </row>
    <row r="573" spans="1:20" hidden="1">
      <c r="A573" s="20" t="s">
        <v>885</v>
      </c>
      <c r="B573" s="47">
        <v>46272</v>
      </c>
      <c r="C573" s="34" t="s">
        <v>634</v>
      </c>
      <c r="D573" s="34" t="s">
        <v>630</v>
      </c>
      <c r="E573" s="34" t="s">
        <v>25</v>
      </c>
      <c r="F573" s="34" t="s">
        <v>631</v>
      </c>
      <c r="G573" s="34" t="s">
        <v>158</v>
      </c>
      <c r="H573" s="20" t="s">
        <v>824</v>
      </c>
      <c r="I573" s="34" t="s">
        <v>65</v>
      </c>
      <c r="J573" s="36">
        <v>12</v>
      </c>
      <c r="K573" s="22">
        <f>IF(I573="","",IF(I573="ENTRADA",ABS(J573),-ABS(J573)))</f>
        <v>-12</v>
      </c>
      <c r="L573" s="34" t="s">
        <v>632</v>
      </c>
      <c r="M573" s="34"/>
      <c r="N573">
        <v>65199</v>
      </c>
      <c r="O573" s="34" t="s">
        <v>382</v>
      </c>
      <c r="P573">
        <v>1924</v>
      </c>
      <c r="Q573" s="47">
        <v>46279</v>
      </c>
      <c r="R573" s="22" t="str">
        <f>IF(H573="","",H573&amp;I573)</f>
        <v>260617-374SALIDA</v>
      </c>
      <c r="S573" s="22" t="str">
        <f>IF(C573="","",C573&amp;I573)</f>
        <v>semilla maiz DK 72-10 RR2C5 refugioSALIDA</v>
      </c>
      <c r="T573" t="str">
        <f>IF(OR(C573="",I573&lt;&gt;"ENTRADA"),"",TEXT(B573,"AAMMDD")&amp;"-"&amp;TEXT(VALUE(SUBSTITUTE(A573,"MOV-","")),"000"))</f>
        <v/>
      </c>
    </row>
    <row r="574" spans="1:20" hidden="1">
      <c r="A574" s="20" t="s">
        <v>886</v>
      </c>
      <c r="B574" s="47">
        <v>46273</v>
      </c>
      <c r="C574" t="s">
        <v>137</v>
      </c>
      <c r="D574" t="s">
        <v>138</v>
      </c>
      <c r="E574" t="s">
        <v>132</v>
      </c>
      <c r="G574" t="s">
        <v>133</v>
      </c>
      <c r="H574" s="20" t="s">
        <v>793</v>
      </c>
      <c r="I574" t="s">
        <v>65</v>
      </c>
      <c r="J574" s="30">
        <v>8</v>
      </c>
      <c r="K574" s="22">
        <f>IF(I574="","",IF(I574="ENTRADA",ABS(J574),-ABS(J574)))</f>
        <v>-8</v>
      </c>
      <c r="L574" t="s">
        <v>37</v>
      </c>
      <c r="N574">
        <v>65200</v>
      </c>
      <c r="O574" t="s">
        <v>218</v>
      </c>
      <c r="P574">
        <v>1925</v>
      </c>
      <c r="Q574" s="47">
        <v>46279</v>
      </c>
      <c r="R574" s="22" t="str">
        <f>IF(H574="","",H574&amp;I574)</f>
        <v>260827-472SALIDA</v>
      </c>
      <c r="S574" s="22" t="str">
        <f>IF(C574="","",C574&amp;I574)</f>
        <v>Full controlSALIDA</v>
      </c>
      <c r="T574" t="str">
        <f>IF(OR(C574="",I574&lt;&gt;"ENTRADA"),"",TEXT(B574,"AAMMDD")&amp;"-"&amp;TEXT(VALUE(SUBSTITUTE(A574,"MOV-","")),"000"))</f>
        <v/>
      </c>
    </row>
    <row r="575" spans="1:20" hidden="1">
      <c r="A575" s="20" t="s">
        <v>887</v>
      </c>
      <c r="B575" s="47">
        <v>46273</v>
      </c>
      <c r="C575" t="s">
        <v>514</v>
      </c>
      <c r="D575" t="s">
        <v>515</v>
      </c>
      <c r="E575" t="s">
        <v>516</v>
      </c>
      <c r="G575" t="s">
        <v>117</v>
      </c>
      <c r="H575" s="20" t="s">
        <v>664</v>
      </c>
      <c r="I575" t="s">
        <v>65</v>
      </c>
      <c r="J575" s="30">
        <v>200</v>
      </c>
      <c r="K575" s="22">
        <f>IF(I575="","",IF(I575="ENTRADA",ABS(J575),-ABS(J575)))</f>
        <v>-200</v>
      </c>
      <c r="L575" t="s">
        <v>37</v>
      </c>
      <c r="N575">
        <v>65200</v>
      </c>
      <c r="O575" t="s">
        <v>218</v>
      </c>
      <c r="P575">
        <v>1925</v>
      </c>
      <c r="Q575" s="47">
        <v>46279</v>
      </c>
      <c r="R575" s="22" t="str">
        <f>IF(H575="","",H575&amp;I575)</f>
        <v>260730-396SALIDA</v>
      </c>
      <c r="S575" s="22" t="str">
        <f>IF(C575="","",C575&amp;I575)</f>
        <v>Unico MaxSALIDA</v>
      </c>
      <c r="T575" t="str">
        <f>IF(OR(C575="",I575&lt;&gt;"ENTRADA"),"",TEXT(B575,"AAMMDD")&amp;"-"&amp;TEXT(VALUE(SUBSTITUTE(A575,"MOV-","")),"000"))</f>
        <v/>
      </c>
    </row>
    <row r="576" spans="1:20" hidden="1">
      <c r="A576" s="20" t="s">
        <v>888</v>
      </c>
      <c r="B576" s="47">
        <v>46273</v>
      </c>
      <c r="C576" t="s">
        <v>130</v>
      </c>
      <c r="D576" t="s">
        <v>131</v>
      </c>
      <c r="E576" t="s">
        <v>132</v>
      </c>
      <c r="G576" t="s">
        <v>133</v>
      </c>
      <c r="H576" s="20" t="s">
        <v>221</v>
      </c>
      <c r="I576" t="s">
        <v>65</v>
      </c>
      <c r="J576" s="30">
        <v>40</v>
      </c>
      <c r="K576" s="22">
        <f>IF(I576="","",IF(I576="ENTRADA",ABS(J576),-ABS(J576)))</f>
        <v>-40</v>
      </c>
      <c r="L576" t="s">
        <v>37</v>
      </c>
      <c r="N576">
        <v>65200</v>
      </c>
      <c r="O576" t="s">
        <v>218</v>
      </c>
      <c r="P576">
        <v>1925</v>
      </c>
      <c r="Q576" s="47">
        <v>46279</v>
      </c>
      <c r="R576" s="22" t="str">
        <f>IF(H576="","",H576&amp;I576)</f>
        <v>260414-029SALIDA</v>
      </c>
      <c r="S576" s="22" t="str">
        <f>IF(C576="","",C576&amp;I576)</f>
        <v>HarrierSALIDA</v>
      </c>
      <c r="T576" t="str">
        <f>IF(OR(C576="",I576&lt;&gt;"ENTRADA"),"",TEXT(B576,"AAMMDD")&amp;"-"&amp;TEXT(VALUE(SUBSTITUTE(A576,"MOV-","")),"000"))</f>
        <v/>
      </c>
    </row>
    <row r="577" spans="1:20" hidden="1">
      <c r="A577" s="20" t="s">
        <v>889</v>
      </c>
      <c r="B577" s="47">
        <v>46273</v>
      </c>
      <c r="C577" t="s">
        <v>130</v>
      </c>
      <c r="D577" t="s">
        <v>131</v>
      </c>
      <c r="E577" t="s">
        <v>132</v>
      </c>
      <c r="G577" t="s">
        <v>133</v>
      </c>
      <c r="H577" s="20" t="s">
        <v>221</v>
      </c>
      <c r="I577" t="s">
        <v>65</v>
      </c>
      <c r="J577" s="30">
        <v>80</v>
      </c>
      <c r="K577" s="22">
        <f>IF(I577="","",IF(I577="ENTRADA",ABS(J577),-ABS(J577)))</f>
        <v>-80</v>
      </c>
      <c r="L577" t="s">
        <v>37</v>
      </c>
      <c r="N577">
        <v>65201</v>
      </c>
      <c r="O577" t="s">
        <v>382</v>
      </c>
      <c r="P577">
        <v>1926</v>
      </c>
      <c r="Q577" s="47">
        <v>46279</v>
      </c>
      <c r="R577" s="22" t="str">
        <f>IF(H577="","",H577&amp;I577)</f>
        <v>260414-029SALIDA</v>
      </c>
      <c r="S577" s="22" t="str">
        <f>IF(C577="","",C577&amp;I577)</f>
        <v>HarrierSALIDA</v>
      </c>
      <c r="T577" t="str">
        <f>IF(OR(C577="",I577&lt;&gt;"ENTRADA"),"",TEXT(B577,"AAMMDD")&amp;"-"&amp;TEXT(VALUE(SUBSTITUTE(A577,"MOV-","")),"000"))</f>
        <v/>
      </c>
    </row>
    <row r="578" spans="1:20" hidden="1">
      <c r="A578" s="20" t="s">
        <v>890</v>
      </c>
      <c r="B578" s="47">
        <v>46273</v>
      </c>
      <c r="C578" t="s">
        <v>137</v>
      </c>
      <c r="D578" t="s">
        <v>138</v>
      </c>
      <c r="E578" t="s">
        <v>132</v>
      </c>
      <c r="G578" t="s">
        <v>133</v>
      </c>
      <c r="H578" s="20" t="s">
        <v>211</v>
      </c>
      <c r="I578" t="s">
        <v>65</v>
      </c>
      <c r="J578" s="30">
        <v>15</v>
      </c>
      <c r="K578" s="22">
        <f>IF(I578="","",IF(I578="ENTRADA",ABS(J578),-ABS(J578)))</f>
        <v>-15</v>
      </c>
      <c r="L578" t="s">
        <v>37</v>
      </c>
      <c r="N578">
        <v>65201</v>
      </c>
      <c r="O578" t="s">
        <v>382</v>
      </c>
      <c r="P578">
        <v>1926</v>
      </c>
      <c r="Q578" s="47">
        <v>46279</v>
      </c>
      <c r="R578" s="22" t="str">
        <f>IF(H578="","",H578&amp;I578)</f>
        <v>260414-030SALIDA</v>
      </c>
      <c r="S578" s="22" t="str">
        <f>IF(C578="","",C578&amp;I578)</f>
        <v>Full controlSALIDA</v>
      </c>
      <c r="T578" t="str">
        <f>IF(OR(C578="",I578&lt;&gt;"ENTRADA"),"",TEXT(B578,"AAMMDD")&amp;"-"&amp;TEXT(VALUE(SUBSTITUTE(A578,"MOV-","")),"000"))</f>
        <v/>
      </c>
    </row>
    <row r="579" spans="1:20" hidden="1">
      <c r="A579" s="20" t="s">
        <v>891</v>
      </c>
      <c r="B579" s="47">
        <v>46273</v>
      </c>
      <c r="C579" t="s">
        <v>115</v>
      </c>
      <c r="D579" t="s">
        <v>116</v>
      </c>
      <c r="E579" t="s">
        <v>34</v>
      </c>
      <c r="F579" t="s">
        <v>35</v>
      </c>
      <c r="G579" t="s">
        <v>117</v>
      </c>
      <c r="H579" s="20" t="s">
        <v>668</v>
      </c>
      <c r="I579" t="s">
        <v>65</v>
      </c>
      <c r="J579" s="30">
        <v>2200</v>
      </c>
      <c r="K579" s="22">
        <f>IF(I579="","",IF(I579="ENTRADA",ABS(J579),-ABS(J579)))</f>
        <v>-2200</v>
      </c>
      <c r="L579" t="s">
        <v>37</v>
      </c>
      <c r="N579">
        <v>65201</v>
      </c>
      <c r="O579" t="s">
        <v>382</v>
      </c>
      <c r="P579">
        <v>1926</v>
      </c>
      <c r="Q579" s="47">
        <v>46279</v>
      </c>
      <c r="R579" s="22" t="str">
        <f>IF(H579="","",H579&amp;I579)</f>
        <v>260727-381SALIDA</v>
      </c>
      <c r="S579" s="22" t="str">
        <f>IF(C579="","",C579&amp;I579)</f>
        <v>AzukaSALIDA</v>
      </c>
      <c r="T579" t="str">
        <f>IF(OR(C579="",I579&lt;&gt;"ENTRADA"),"",TEXT(B579,"AAMMDD")&amp;"-"&amp;TEXT(VALUE(SUBSTITUTE(A579,"MOV-","")),"000"))</f>
        <v/>
      </c>
    </row>
    <row r="580" spans="1:20" hidden="1">
      <c r="A580" s="20" t="s">
        <v>892</v>
      </c>
      <c r="B580" s="47">
        <v>46273</v>
      </c>
      <c r="C580" t="s">
        <v>122</v>
      </c>
      <c r="D580" t="s">
        <v>123</v>
      </c>
      <c r="E580" t="s">
        <v>34</v>
      </c>
      <c r="F580" t="s">
        <v>35</v>
      </c>
      <c r="G580" t="s">
        <v>117</v>
      </c>
      <c r="H580" s="20" t="s">
        <v>203</v>
      </c>
      <c r="I580" t="s">
        <v>65</v>
      </c>
      <c r="J580" s="30">
        <v>640</v>
      </c>
      <c r="K580" s="22">
        <f>IF(I580="","",IF(I580="ENTRADA",ABS(J580),-ABS(J580)))</f>
        <v>-640</v>
      </c>
      <c r="L580" t="s">
        <v>37</v>
      </c>
      <c r="N580">
        <v>65201</v>
      </c>
      <c r="O580" t="s">
        <v>382</v>
      </c>
      <c r="P580">
        <v>1926</v>
      </c>
      <c r="Q580" s="47">
        <v>46279</v>
      </c>
      <c r="R580" s="22" t="str">
        <f>IF(H580="","",H580&amp;I580)</f>
        <v>260410-027SALIDA</v>
      </c>
      <c r="S580" s="22" t="str">
        <f>IF(C580="","",C580&amp;I580)</f>
        <v>PardoSALIDA</v>
      </c>
      <c r="T580" t="str">
        <f>IF(OR(C580="",I580&lt;&gt;"ENTRADA"),"",TEXT(B580,"AAMMDD")&amp;"-"&amp;TEXT(VALUE(SUBSTITUTE(A580,"MOV-","")),"000"))</f>
        <v/>
      </c>
    </row>
    <row r="581" spans="1:20" hidden="1">
      <c r="A581" s="20" t="s">
        <v>893</v>
      </c>
      <c r="B581" s="47">
        <v>46273</v>
      </c>
      <c r="C581" t="s">
        <v>90</v>
      </c>
      <c r="D581" t="s">
        <v>91</v>
      </c>
      <c r="E581" t="s">
        <v>34</v>
      </c>
      <c r="F581" t="s">
        <v>35</v>
      </c>
      <c r="G581" t="s">
        <v>36</v>
      </c>
      <c r="H581" s="20" t="s">
        <v>375</v>
      </c>
      <c r="I581" t="s">
        <v>65</v>
      </c>
      <c r="J581" s="30">
        <v>100</v>
      </c>
      <c r="K581" s="22">
        <f>IF(I581="","",IF(I581="ENTRADA",ABS(J581),-ABS(J581)))</f>
        <v>-100</v>
      </c>
      <c r="L581" t="s">
        <v>37</v>
      </c>
      <c r="N581">
        <v>65201</v>
      </c>
      <c r="O581" t="s">
        <v>382</v>
      </c>
      <c r="P581">
        <v>1926</v>
      </c>
      <c r="Q581" s="47">
        <v>46279</v>
      </c>
      <c r="R581" s="22" t="str">
        <f>IF(H581="","",H581&amp;I581)</f>
        <v>260405-132SALIDA</v>
      </c>
      <c r="S581" s="22" t="str">
        <f>IF(C581="","",C581&amp;I581)</f>
        <v>PixxaroSALIDA</v>
      </c>
      <c r="T581" t="str">
        <f>IF(OR(C581="",I581&lt;&gt;"ENTRADA"),"",TEXT(B581,"AAMMDD")&amp;"-"&amp;TEXT(VALUE(SUBSTITUTE(A581,"MOV-","")),"000"))</f>
        <v/>
      </c>
    </row>
    <row r="582" spans="1:20" hidden="1">
      <c r="A582" s="20" t="s">
        <v>894</v>
      </c>
      <c r="B582" s="47">
        <v>46273</v>
      </c>
      <c r="C582" t="s">
        <v>750</v>
      </c>
      <c r="D582" t="s">
        <v>751</v>
      </c>
      <c r="E582" t="s">
        <v>34</v>
      </c>
      <c r="G582" t="s">
        <v>301</v>
      </c>
      <c r="H582" s="20" t="s">
        <v>753</v>
      </c>
      <c r="I582" t="s">
        <v>65</v>
      </c>
      <c r="J582" s="30">
        <v>60</v>
      </c>
      <c r="K582" s="22">
        <f>IF(I582="","",IF(I582="ENTRADA",ABS(J582),-ABS(J582)))</f>
        <v>-60</v>
      </c>
      <c r="L582" t="s">
        <v>37</v>
      </c>
      <c r="N582">
        <v>65201</v>
      </c>
      <c r="O582" t="s">
        <v>382</v>
      </c>
      <c r="P582">
        <v>1926</v>
      </c>
      <c r="Q582" s="47">
        <v>46279</v>
      </c>
      <c r="R582" s="22" t="str">
        <f>IF(H582="","",H582&amp;I582)</f>
        <v>260813-476SALIDA</v>
      </c>
      <c r="S582" s="22" t="str">
        <f>IF(C582="","",C582&amp;I582)</f>
        <v>Fluroxipir Forte 480SALIDA</v>
      </c>
      <c r="T582" t="str">
        <f>IF(OR(C582="",I582&lt;&gt;"ENTRADA"),"",TEXT(B582,"AAMMDD")&amp;"-"&amp;TEXT(VALUE(SUBSTITUTE(A582,"MOV-","")),"000"))</f>
        <v/>
      </c>
    </row>
    <row r="583" spans="1:20" hidden="1">
      <c r="A583" s="20" t="s">
        <v>895</v>
      </c>
      <c r="B583" s="47">
        <v>46273</v>
      </c>
      <c r="C583" t="s">
        <v>115</v>
      </c>
      <c r="D583" t="s">
        <v>116</v>
      </c>
      <c r="E583" t="s">
        <v>34</v>
      </c>
      <c r="F583" t="s">
        <v>35</v>
      </c>
      <c r="G583" t="s">
        <v>117</v>
      </c>
      <c r="H583" s="20" t="s">
        <v>668</v>
      </c>
      <c r="I583" t="s">
        <v>65</v>
      </c>
      <c r="J583" s="30">
        <v>8160</v>
      </c>
      <c r="K583" s="22">
        <f>IF(I583="","",IF(I583="ENTRADA",ABS(J583),-ABS(J583)))</f>
        <v>-8160</v>
      </c>
      <c r="L583" t="s">
        <v>37</v>
      </c>
      <c r="N583">
        <v>65202</v>
      </c>
      <c r="O583" t="s">
        <v>213</v>
      </c>
      <c r="P583">
        <v>1927</v>
      </c>
      <c r="Q583" s="47">
        <v>46279</v>
      </c>
      <c r="R583" s="22" t="str">
        <f>IF(H583="","",H583&amp;I583)</f>
        <v>260727-381SALIDA</v>
      </c>
      <c r="S583" s="22" t="str">
        <f>IF(C583="","",C583&amp;I583)</f>
        <v>AzukaSALIDA</v>
      </c>
      <c r="T583" t="str">
        <f>IF(OR(C583="",I583&lt;&gt;"ENTRADA"),"",TEXT(B583,"AAMMDD")&amp;"-"&amp;TEXT(VALUE(SUBSTITUTE(A583,"MOV-","")),"000"))</f>
        <v/>
      </c>
    </row>
    <row r="584" spans="1:20" hidden="1">
      <c r="A584" s="20" t="s">
        <v>896</v>
      </c>
      <c r="B584" s="47">
        <v>46273</v>
      </c>
      <c r="C584" s="34" t="s">
        <v>122</v>
      </c>
      <c r="D584" s="34" t="s">
        <v>123</v>
      </c>
      <c r="E584" s="34" t="s">
        <v>34</v>
      </c>
      <c r="F584" s="34" t="s">
        <v>35</v>
      </c>
      <c r="G584" s="34" t="s">
        <v>117</v>
      </c>
      <c r="H584" s="20" t="s">
        <v>203</v>
      </c>
      <c r="I584" s="34" t="s">
        <v>65</v>
      </c>
      <c r="J584" s="36">
        <v>2000</v>
      </c>
      <c r="K584" s="22">
        <f>IF(I584="","",IF(I584="ENTRADA",ABS(J584),-ABS(J584)))</f>
        <v>-2000</v>
      </c>
      <c r="L584" s="34" t="s">
        <v>37</v>
      </c>
      <c r="M584" s="34"/>
      <c r="N584">
        <v>65202</v>
      </c>
      <c r="O584" s="34" t="s">
        <v>213</v>
      </c>
      <c r="P584">
        <v>1927</v>
      </c>
      <c r="Q584" s="47">
        <v>46279</v>
      </c>
      <c r="R584" s="22" t="str">
        <f>IF(H584="","",H584&amp;I584)</f>
        <v>260410-027SALIDA</v>
      </c>
      <c r="S584" s="22" t="str">
        <f>IF(C584="","",C584&amp;I584)</f>
        <v>PardoSALIDA</v>
      </c>
      <c r="T584" t="str">
        <f>IF(OR(C584="",I584&lt;&gt;"ENTRADA"),"",TEXT(B584,"AAMMDD")&amp;"-"&amp;TEXT(VALUE(SUBSTITUTE(A584,"MOV-","")),"000"))</f>
        <v/>
      </c>
    </row>
    <row r="585" spans="1:20" hidden="1">
      <c r="A585" s="20" t="s">
        <v>897</v>
      </c>
      <c r="B585" s="47">
        <v>46273</v>
      </c>
      <c r="C585" t="s">
        <v>90</v>
      </c>
      <c r="D585" t="s">
        <v>91</v>
      </c>
      <c r="E585" t="s">
        <v>34</v>
      </c>
      <c r="F585" t="s">
        <v>35</v>
      </c>
      <c r="G585" t="s">
        <v>36</v>
      </c>
      <c r="H585" s="20" t="s">
        <v>375</v>
      </c>
      <c r="I585" t="s">
        <v>65</v>
      </c>
      <c r="J585" s="30">
        <v>200</v>
      </c>
      <c r="K585" s="22">
        <f>IF(I585="","",IF(I585="ENTRADA",ABS(J585),-ABS(J585)))</f>
        <v>-200</v>
      </c>
      <c r="L585" t="s">
        <v>37</v>
      </c>
      <c r="N585">
        <v>65202</v>
      </c>
      <c r="O585" t="s">
        <v>213</v>
      </c>
      <c r="P585">
        <v>1927</v>
      </c>
      <c r="Q585" s="47">
        <v>46279</v>
      </c>
      <c r="R585" s="22" t="str">
        <f>IF(H585="","",H585&amp;I585)</f>
        <v>260405-132SALIDA</v>
      </c>
      <c r="S585" s="22" t="str">
        <f>IF(C585="","",C585&amp;I585)</f>
        <v>PixxaroSALIDA</v>
      </c>
      <c r="T585" t="str">
        <f>IF(OR(C585="",I585&lt;&gt;"ENTRADA"),"",TEXT(B585,"AAMMDD")&amp;"-"&amp;TEXT(VALUE(SUBSTITUTE(A585,"MOV-","")),"000"))</f>
        <v/>
      </c>
    </row>
    <row r="586" spans="1:20" hidden="1">
      <c r="A586" s="20" t="s">
        <v>898</v>
      </c>
      <c r="B586" s="47">
        <v>46273</v>
      </c>
      <c r="C586" t="s">
        <v>115</v>
      </c>
      <c r="D586" t="s">
        <v>116</v>
      </c>
      <c r="E586" t="s">
        <v>34</v>
      </c>
      <c r="F586" t="s">
        <v>35</v>
      </c>
      <c r="G586" t="s">
        <v>117</v>
      </c>
      <c r="H586" s="20" t="s">
        <v>668</v>
      </c>
      <c r="I586" t="s">
        <v>65</v>
      </c>
      <c r="J586" s="30">
        <v>7500</v>
      </c>
      <c r="K586" s="22">
        <f>IF(I586="","",IF(I586="ENTRADA",ABS(J586),-ABS(J586)))</f>
        <v>-7500</v>
      </c>
      <c r="L586" t="s">
        <v>37</v>
      </c>
      <c r="N586">
        <v>65203</v>
      </c>
      <c r="O586" t="s">
        <v>237</v>
      </c>
      <c r="P586">
        <v>1929</v>
      </c>
      <c r="Q586" s="47">
        <v>46279</v>
      </c>
      <c r="R586" s="22" t="str">
        <f>IF(H586="","",H586&amp;I586)</f>
        <v>260727-381SALIDA</v>
      </c>
      <c r="S586" s="22" t="str">
        <f>IF(C586="","",C586&amp;I586)</f>
        <v>AzukaSALIDA</v>
      </c>
      <c r="T586" t="str">
        <f>IF(OR(C586="",I586&lt;&gt;"ENTRADA"),"",TEXT(B586,"AAMMDD")&amp;"-"&amp;TEXT(VALUE(SUBSTITUTE(A586,"MOV-","")),"000"))</f>
        <v/>
      </c>
    </row>
    <row r="587" spans="1:20" hidden="1">
      <c r="A587" s="20" t="s">
        <v>899</v>
      </c>
      <c r="B587" s="47">
        <v>46273</v>
      </c>
      <c r="C587" t="s">
        <v>122</v>
      </c>
      <c r="D587" t="s">
        <v>123</v>
      </c>
      <c r="E587" t="s">
        <v>34</v>
      </c>
      <c r="F587" t="s">
        <v>35</v>
      </c>
      <c r="G587" t="s">
        <v>117</v>
      </c>
      <c r="H587" s="20" t="s">
        <v>203</v>
      </c>
      <c r="I587" t="s">
        <v>65</v>
      </c>
      <c r="J587" s="30">
        <v>2000</v>
      </c>
      <c r="K587" s="22">
        <f>IF(I587="","",IF(I587="ENTRADA",ABS(J587),-ABS(J587)))</f>
        <v>-2000</v>
      </c>
      <c r="L587" t="s">
        <v>37</v>
      </c>
      <c r="N587">
        <v>65203</v>
      </c>
      <c r="O587" t="s">
        <v>237</v>
      </c>
      <c r="P587">
        <v>1929</v>
      </c>
      <c r="Q587" s="47">
        <v>46279</v>
      </c>
      <c r="R587" s="22" t="str">
        <f>IF(H587="","",H587&amp;I587)</f>
        <v>260410-027SALIDA</v>
      </c>
      <c r="S587" s="22" t="str">
        <f>IF(C587="","",C587&amp;I587)</f>
        <v>PardoSALIDA</v>
      </c>
      <c r="T587" t="str">
        <f>IF(OR(C587="",I587&lt;&gt;"ENTRADA"),"",TEXT(B587,"AAMMDD")&amp;"-"&amp;TEXT(VALUE(SUBSTITUTE(A587,"MOV-","")),"000"))</f>
        <v/>
      </c>
    </row>
    <row r="588" spans="1:20" hidden="1">
      <c r="A588" s="20" t="s">
        <v>900</v>
      </c>
      <c r="B588" s="47">
        <v>46273</v>
      </c>
      <c r="C588" t="s">
        <v>130</v>
      </c>
      <c r="D588" t="s">
        <v>131</v>
      </c>
      <c r="E588" t="s">
        <v>132</v>
      </c>
      <c r="G588" t="s">
        <v>133</v>
      </c>
      <c r="H588" s="20" t="s">
        <v>221</v>
      </c>
      <c r="I588" t="s">
        <v>65</v>
      </c>
      <c r="J588" s="30">
        <v>210</v>
      </c>
      <c r="K588" s="22">
        <f>IF(I588="","",IF(I588="ENTRADA",ABS(J588),-ABS(J588)))</f>
        <v>-210</v>
      </c>
      <c r="L588" t="s">
        <v>37</v>
      </c>
      <c r="N588">
        <v>65203</v>
      </c>
      <c r="O588" t="s">
        <v>237</v>
      </c>
      <c r="P588">
        <v>1929</v>
      </c>
      <c r="Q588" s="47">
        <v>46279</v>
      </c>
      <c r="R588" s="22" t="str">
        <f>IF(H588="","",H588&amp;I588)</f>
        <v>260414-029SALIDA</v>
      </c>
      <c r="S588" s="22" t="str">
        <f>IF(C588="","",C588&amp;I588)</f>
        <v>HarrierSALIDA</v>
      </c>
      <c r="T588" t="str">
        <f>IF(OR(C588="",I588&lt;&gt;"ENTRADA"),"",TEXT(B588,"AAMMDD")&amp;"-"&amp;TEXT(VALUE(SUBSTITUTE(A588,"MOV-","")),"000"))</f>
        <v/>
      </c>
    </row>
    <row r="589" spans="1:20" hidden="1">
      <c r="A589" s="20" t="s">
        <v>901</v>
      </c>
      <c r="B589" s="47">
        <v>46273</v>
      </c>
      <c r="C589" t="s">
        <v>137</v>
      </c>
      <c r="D589" t="s">
        <v>138</v>
      </c>
      <c r="E589" t="s">
        <v>132</v>
      </c>
      <c r="G589" t="s">
        <v>133</v>
      </c>
      <c r="H589" s="20" t="s">
        <v>211</v>
      </c>
      <c r="I589" t="s">
        <v>65</v>
      </c>
      <c r="J589" s="30">
        <v>45</v>
      </c>
      <c r="K589" s="22">
        <f>IF(I589="","",IF(I589="ENTRADA",ABS(J589),-ABS(J589)))</f>
        <v>-45</v>
      </c>
      <c r="L589" t="s">
        <v>37</v>
      </c>
      <c r="N589">
        <v>65203</v>
      </c>
      <c r="O589" t="s">
        <v>237</v>
      </c>
      <c r="P589">
        <v>1929</v>
      </c>
      <c r="Q589" s="47">
        <v>46279</v>
      </c>
      <c r="R589" s="22" t="str">
        <f>IF(H589="","",H589&amp;I589)</f>
        <v>260414-030SALIDA</v>
      </c>
      <c r="S589" s="22" t="str">
        <f>IF(C589="","",C589&amp;I589)</f>
        <v>Full controlSALIDA</v>
      </c>
      <c r="T589" t="str">
        <f>IF(OR(C589="",I589&lt;&gt;"ENTRADA"),"",TEXT(B589,"AAMMDD")&amp;"-"&amp;TEXT(VALUE(SUBSTITUTE(A589,"MOV-","")),"000"))</f>
        <v/>
      </c>
    </row>
    <row r="590" spans="1:20" hidden="1">
      <c r="A590" s="20" t="s">
        <v>902</v>
      </c>
      <c r="B590" s="47">
        <v>46273</v>
      </c>
      <c r="C590" t="s">
        <v>75</v>
      </c>
      <c r="D590" t="s">
        <v>76</v>
      </c>
      <c r="E590" t="s">
        <v>34</v>
      </c>
      <c r="F590" t="s">
        <v>35</v>
      </c>
      <c r="G590" t="s">
        <v>77</v>
      </c>
      <c r="H590" s="20" t="s">
        <v>94</v>
      </c>
      <c r="I590" t="s">
        <v>65</v>
      </c>
      <c r="J590" s="30">
        <v>780</v>
      </c>
      <c r="K590" s="22">
        <f>IF(I590="","",IF(I590="ENTRADA",ABS(J590),-ABS(J590)))</f>
        <v>-780</v>
      </c>
      <c r="L590" t="s">
        <v>37</v>
      </c>
      <c r="N590">
        <v>65203</v>
      </c>
      <c r="O590" t="s">
        <v>237</v>
      </c>
      <c r="P590">
        <v>1929</v>
      </c>
      <c r="Q590" s="47">
        <v>46279</v>
      </c>
      <c r="R590" s="22" t="str">
        <f>IF(H590="","",H590&amp;I590)</f>
        <v>260407-012SALIDA</v>
      </c>
      <c r="S590" s="22" t="str">
        <f>IF(C590="","",C590&amp;I590)</f>
        <v>Dedalo eliteSALIDA</v>
      </c>
      <c r="T590" t="str">
        <f>IF(OR(C590="",I590&lt;&gt;"ENTRADA"),"",TEXT(B590,"AAMMDD")&amp;"-"&amp;TEXT(VALUE(SUBSTITUTE(A590,"MOV-","")),"000"))</f>
        <v/>
      </c>
    </row>
    <row r="591" spans="1:20" hidden="1">
      <c r="A591" s="20" t="s">
        <v>903</v>
      </c>
      <c r="B591" s="47">
        <v>46273</v>
      </c>
      <c r="C591" t="s">
        <v>775</v>
      </c>
      <c r="D591" t="s">
        <v>776</v>
      </c>
      <c r="E591" t="s">
        <v>34</v>
      </c>
      <c r="F591" t="s">
        <v>46</v>
      </c>
      <c r="G591" t="s">
        <v>777</v>
      </c>
      <c r="H591" s="20" t="s">
        <v>854</v>
      </c>
      <c r="I591" t="s">
        <v>65</v>
      </c>
      <c r="J591" s="30">
        <v>190</v>
      </c>
      <c r="K591" s="22">
        <f>IF(I591="","",IF(I591="ENTRADA",ABS(J591),-ABS(J591)))</f>
        <v>-190</v>
      </c>
      <c r="L591" t="s">
        <v>37</v>
      </c>
      <c r="N591">
        <v>65203</v>
      </c>
      <c r="O591" t="s">
        <v>237</v>
      </c>
      <c r="P591">
        <v>1929</v>
      </c>
      <c r="Q591" s="47">
        <v>46279</v>
      </c>
      <c r="R591" s="22" t="str">
        <f>IF(H591="","",H591&amp;I591)</f>
        <v>260902-487SALIDA</v>
      </c>
      <c r="S591" s="22" t="str">
        <f>IF(C591="","",C591&amp;I591)</f>
        <v>Acuron unoSALIDA</v>
      </c>
      <c r="T591" t="str">
        <f>IF(OR(C591="",I591&lt;&gt;"ENTRADA"),"",TEXT(B591,"AAMMDD")&amp;"-"&amp;TEXT(VALUE(SUBSTITUTE(A591,"MOV-","")),"000"))</f>
        <v/>
      </c>
    </row>
    <row r="592" spans="1:20" hidden="1">
      <c r="A592" s="20" t="s">
        <v>904</v>
      </c>
      <c r="B592" s="47">
        <v>46274</v>
      </c>
      <c r="C592" t="s">
        <v>115</v>
      </c>
      <c r="D592" t="s">
        <v>116</v>
      </c>
      <c r="E592" t="s">
        <v>34</v>
      </c>
      <c r="F592" t="s">
        <v>35</v>
      </c>
      <c r="G592" t="s">
        <v>117</v>
      </c>
      <c r="H592" s="20" t="s">
        <v>120</v>
      </c>
      <c r="I592" t="s">
        <v>65</v>
      </c>
      <c r="J592" s="30">
        <v>460</v>
      </c>
      <c r="K592" s="22">
        <f>IF(I592="","",IF(I592="ENTRADA",ABS(J592),-ABS(J592)))</f>
        <v>-460</v>
      </c>
      <c r="L592" t="s">
        <v>37</v>
      </c>
      <c r="N592">
        <v>65204</v>
      </c>
      <c r="O592" t="s">
        <v>590</v>
      </c>
      <c r="P592">
        <v>1930</v>
      </c>
      <c r="Q592" s="47">
        <v>46279</v>
      </c>
      <c r="R592" s="22" t="str">
        <f>IF(H592="","",H592&amp;I592)</f>
        <v>260410-025SALIDA</v>
      </c>
      <c r="S592" s="22" t="str">
        <f>IF(C592="","",C592&amp;I592)</f>
        <v>AzukaSALIDA</v>
      </c>
      <c r="T592" t="str">
        <f>IF(OR(C592="",I592&lt;&gt;"ENTRADA"),"",TEXT(B592,"AAMMDD")&amp;"-"&amp;TEXT(VALUE(SUBSTITUTE(A592,"MOV-","")),"000"))</f>
        <v/>
      </c>
    </row>
    <row r="593" spans="1:20" hidden="1">
      <c r="A593" s="20" t="s">
        <v>905</v>
      </c>
      <c r="B593" s="47">
        <v>46274</v>
      </c>
      <c r="C593" t="s">
        <v>130</v>
      </c>
      <c r="D593" t="s">
        <v>131</v>
      </c>
      <c r="E593" t="s">
        <v>132</v>
      </c>
      <c r="G593" t="s">
        <v>133</v>
      </c>
      <c r="H593" s="20" t="s">
        <v>221</v>
      </c>
      <c r="I593" t="s">
        <v>65</v>
      </c>
      <c r="J593" s="30">
        <v>20</v>
      </c>
      <c r="K593" s="22">
        <f>IF(I593="","",IF(I593="ENTRADA",ABS(J593),-ABS(J593)))</f>
        <v>-20</v>
      </c>
      <c r="L593" t="s">
        <v>37</v>
      </c>
      <c r="N593">
        <v>65204</v>
      </c>
      <c r="O593" t="s">
        <v>590</v>
      </c>
      <c r="P593">
        <v>1930</v>
      </c>
      <c r="Q593" s="47">
        <v>46279</v>
      </c>
      <c r="R593" s="22" t="str">
        <f>IF(H593="","",H593&amp;I593)</f>
        <v>260414-029SALIDA</v>
      </c>
      <c r="S593" s="22" t="str">
        <f>IF(C593="","",C593&amp;I593)</f>
        <v>HarrierSALIDA</v>
      </c>
      <c r="T593" t="str">
        <f>IF(OR(C593="",I593&lt;&gt;"ENTRADA"),"",TEXT(B593,"AAMMDD")&amp;"-"&amp;TEXT(VALUE(SUBSTITUTE(A593,"MOV-","")),"000"))</f>
        <v/>
      </c>
    </row>
    <row r="594" spans="1:20" hidden="1">
      <c r="A594" s="20" t="s">
        <v>906</v>
      </c>
      <c r="B594" s="47">
        <v>46274</v>
      </c>
      <c r="C594" t="s">
        <v>775</v>
      </c>
      <c r="D594" t="s">
        <v>776</v>
      </c>
      <c r="E594" t="s">
        <v>34</v>
      </c>
      <c r="F594" t="s">
        <v>46</v>
      </c>
      <c r="G594" t="s">
        <v>777</v>
      </c>
      <c r="H594" s="20" t="s">
        <v>854</v>
      </c>
      <c r="I594" t="s">
        <v>65</v>
      </c>
      <c r="J594" s="30">
        <v>150</v>
      </c>
      <c r="K594" s="22">
        <f>IF(I594="","",IF(I594="ENTRADA",ABS(J594),-ABS(J594)))</f>
        <v>-150</v>
      </c>
      <c r="L594" t="s">
        <v>37</v>
      </c>
      <c r="N594">
        <v>65204</v>
      </c>
      <c r="O594" t="s">
        <v>590</v>
      </c>
      <c r="P594">
        <v>1930</v>
      </c>
      <c r="Q594" s="47">
        <v>46279</v>
      </c>
      <c r="R594" s="22" t="str">
        <f>IF(H594="","",H594&amp;I594)</f>
        <v>260902-487SALIDA</v>
      </c>
      <c r="S594" s="22" t="str">
        <f>IF(C594="","",C594&amp;I594)</f>
        <v>Acuron unoSALIDA</v>
      </c>
      <c r="T594" t="str">
        <f>IF(OR(C594="",I594&lt;&gt;"ENTRADA"),"",TEXT(B594,"AAMMDD")&amp;"-"&amp;TEXT(VALUE(SUBSTITUTE(A594,"MOV-","")),"000"))</f>
        <v/>
      </c>
    </row>
    <row r="595" spans="1:20" hidden="1">
      <c r="A595" s="20" t="s">
        <v>907</v>
      </c>
      <c r="B595" s="47">
        <v>46274</v>
      </c>
      <c r="C595" s="34" t="s">
        <v>137</v>
      </c>
      <c r="D595" s="34" t="s">
        <v>138</v>
      </c>
      <c r="E595" s="34" t="s">
        <v>132</v>
      </c>
      <c r="F595" s="34"/>
      <c r="G595" s="34" t="s">
        <v>133</v>
      </c>
      <c r="H595" s="20" t="s">
        <v>211</v>
      </c>
      <c r="I595" s="34" t="s">
        <v>65</v>
      </c>
      <c r="J595" s="36">
        <v>3</v>
      </c>
      <c r="K595" s="22">
        <f>IF(I595="","",IF(I595="ENTRADA",ABS(J595),-ABS(J595)))</f>
        <v>-3</v>
      </c>
      <c r="L595" s="34" t="s">
        <v>37</v>
      </c>
      <c r="M595" s="34"/>
      <c r="N595">
        <v>65204</v>
      </c>
      <c r="O595" t="s">
        <v>590</v>
      </c>
      <c r="P595">
        <v>1930</v>
      </c>
      <c r="Q595" s="47">
        <v>46279</v>
      </c>
      <c r="R595" s="22" t="str">
        <f>IF(H595="","",H595&amp;I595)</f>
        <v>260414-030SALIDA</v>
      </c>
      <c r="S595" s="22" t="str">
        <f>IF(C595="","",C595&amp;I595)</f>
        <v>Full controlSALIDA</v>
      </c>
      <c r="T595" t="str">
        <f>IF(OR(C595="",I595&lt;&gt;"ENTRADA"),"",TEXT(B595,"AAMMDD")&amp;"-"&amp;TEXT(VALUE(SUBSTITUTE(A595,"MOV-","")),"000"))</f>
        <v/>
      </c>
    </row>
    <row r="596" spans="1:20" hidden="1">
      <c r="A596" s="20" t="s">
        <v>908</v>
      </c>
      <c r="B596" s="47">
        <v>46274</v>
      </c>
      <c r="C596" t="s">
        <v>782</v>
      </c>
      <c r="D596" t="s">
        <v>783</v>
      </c>
      <c r="E596" t="s">
        <v>34</v>
      </c>
      <c r="F596" t="s">
        <v>46</v>
      </c>
      <c r="G596" t="s">
        <v>27</v>
      </c>
      <c r="H596" s="20" t="s">
        <v>797</v>
      </c>
      <c r="I596" t="s">
        <v>65</v>
      </c>
      <c r="J596" s="30">
        <v>24</v>
      </c>
      <c r="K596" s="22">
        <f>IF(I596="","",IF(I596="ENTRADA",ABS(J596),-ABS(J596)))</f>
        <v>-24</v>
      </c>
      <c r="L596" t="s">
        <v>29</v>
      </c>
      <c r="N596">
        <v>65204</v>
      </c>
      <c r="O596" t="s">
        <v>590</v>
      </c>
      <c r="P596">
        <v>1930</v>
      </c>
      <c r="Q596" s="47">
        <v>46279</v>
      </c>
      <c r="R596" s="22" t="str">
        <f>IF(H596="","",H596&amp;I596)</f>
        <v>260801-489SALIDA</v>
      </c>
      <c r="S596" s="22" t="str">
        <f>IF(C596="","",C596&amp;I596)</f>
        <v>PyroxateSALIDA</v>
      </c>
      <c r="T596" t="str">
        <f>IF(OR(C596="",I596&lt;&gt;"ENTRADA"),"",TEXT(B596,"AAMMDD")&amp;"-"&amp;TEXT(VALUE(SUBSTITUTE(A596,"MOV-","")),"000"))</f>
        <v/>
      </c>
    </row>
    <row r="597" spans="1:20" hidden="1">
      <c r="A597" s="20" t="s">
        <v>909</v>
      </c>
      <c r="B597" s="47">
        <v>46274</v>
      </c>
      <c r="C597" t="s">
        <v>910</v>
      </c>
      <c r="D597" t="s">
        <v>630</v>
      </c>
      <c r="E597" t="s">
        <v>25</v>
      </c>
      <c r="F597" t="s">
        <v>631</v>
      </c>
      <c r="H597" s="20" t="str">
        <f>+T597</f>
        <v>260909-597</v>
      </c>
      <c r="I597" t="s">
        <v>28</v>
      </c>
      <c r="J597" s="30">
        <v>26</v>
      </c>
      <c r="K597" s="22">
        <f>IF(I597="","",IF(I597="ENTRADA",ABS(J597),-ABS(J597)))</f>
        <v>26</v>
      </c>
      <c r="L597" t="s">
        <v>632</v>
      </c>
      <c r="N597">
        <v>65205</v>
      </c>
      <c r="O597" t="s">
        <v>382</v>
      </c>
      <c r="P597">
        <v>1963</v>
      </c>
      <c r="Q597" s="47">
        <v>46294</v>
      </c>
      <c r="R597" s="22" t="str">
        <f>IF(H597="","",H597&amp;I597)</f>
        <v>260909-597ENTRADA</v>
      </c>
      <c r="S597" s="22" t="str">
        <f>IF(C597="","",C597&amp;I597)</f>
        <v>maiz dk 7447ENTRADA</v>
      </c>
      <c r="T597" t="str">
        <f>IF(OR(C597="",I597&lt;&gt;"ENTRADA"),"",TEXT(B597,"AAMMDD")&amp;"-"&amp;TEXT(VALUE(SUBSTITUTE(A597,"MOV-","")),"000"))</f>
        <v>260909-597</v>
      </c>
    </row>
    <row r="598" spans="1:20" hidden="1">
      <c r="A598" s="20" t="s">
        <v>911</v>
      </c>
      <c r="B598" s="47">
        <v>46274</v>
      </c>
      <c r="C598" t="s">
        <v>782</v>
      </c>
      <c r="D598" t="s">
        <v>783</v>
      </c>
      <c r="E598" t="s">
        <v>34</v>
      </c>
      <c r="F598" t="s">
        <v>46</v>
      </c>
      <c r="G598" t="s">
        <v>27</v>
      </c>
      <c r="H598" s="20" t="s">
        <v>797</v>
      </c>
      <c r="I598" t="s">
        <v>65</v>
      </c>
      <c r="J598" s="30">
        <v>20</v>
      </c>
      <c r="K598" s="22">
        <f>IF(I598="","",IF(I598="ENTRADA",ABS(J598),-ABS(J598)))</f>
        <v>-20</v>
      </c>
      <c r="L598" t="s">
        <v>29</v>
      </c>
      <c r="N598">
        <v>65206</v>
      </c>
      <c r="O598" t="s">
        <v>213</v>
      </c>
      <c r="P598">
        <v>1928</v>
      </c>
      <c r="Q598" s="47">
        <v>46279</v>
      </c>
      <c r="R598" s="22" t="str">
        <f>IF(H598="","",H598&amp;I598)</f>
        <v>260801-489SALIDA</v>
      </c>
      <c r="S598" s="22" t="str">
        <f>IF(C598="","",C598&amp;I598)</f>
        <v>PyroxateSALIDA</v>
      </c>
      <c r="T598" t="str">
        <f>IF(OR(C598="",I598&lt;&gt;"ENTRADA"),"",TEXT(B598,"AAMMDD")&amp;"-"&amp;TEXT(VALUE(SUBSTITUTE(A598,"MOV-","")),"000"))</f>
        <v/>
      </c>
    </row>
    <row r="599" spans="1:20" hidden="1">
      <c r="A599" s="20" t="s">
        <v>912</v>
      </c>
      <c r="B599" s="47">
        <v>46274</v>
      </c>
      <c r="C599" t="s">
        <v>115</v>
      </c>
      <c r="D599" t="s">
        <v>116</v>
      </c>
      <c r="E599" t="s">
        <v>34</v>
      </c>
      <c r="F599" t="s">
        <v>35</v>
      </c>
      <c r="G599" t="s">
        <v>117</v>
      </c>
      <c r="H599" s="20" t="s">
        <v>668</v>
      </c>
      <c r="I599" t="s">
        <v>65</v>
      </c>
      <c r="J599" s="30">
        <v>140</v>
      </c>
      <c r="K599" s="22">
        <f>IF(I599="","",IF(I599="ENTRADA",ABS(J599),-ABS(J599)))</f>
        <v>-140</v>
      </c>
      <c r="L599" t="s">
        <v>37</v>
      </c>
      <c r="N599">
        <v>65207</v>
      </c>
      <c r="O599" t="s">
        <v>218</v>
      </c>
      <c r="P599">
        <v>1931</v>
      </c>
      <c r="Q599" s="47">
        <v>46279</v>
      </c>
      <c r="R599" s="22" t="str">
        <f>IF(H599="","",H599&amp;I599)</f>
        <v>260727-381SALIDA</v>
      </c>
      <c r="S599" s="22" t="str">
        <f>IF(C599="","",C599&amp;I599)</f>
        <v>AzukaSALIDA</v>
      </c>
      <c r="T599" t="str">
        <f>IF(OR(C599="",I599&lt;&gt;"ENTRADA"),"",TEXT(B599,"AAMMDD")&amp;"-"&amp;TEXT(VALUE(SUBSTITUTE(A599,"MOV-","")),"000"))</f>
        <v/>
      </c>
    </row>
    <row r="600" spans="1:20" hidden="1">
      <c r="A600" s="20" t="s">
        <v>913</v>
      </c>
      <c r="B600" s="47">
        <v>46274</v>
      </c>
      <c r="C600" t="s">
        <v>769</v>
      </c>
      <c r="D600" t="s">
        <v>770</v>
      </c>
      <c r="E600" t="s">
        <v>34</v>
      </c>
      <c r="F600" t="s">
        <v>35</v>
      </c>
      <c r="G600" t="s">
        <v>771</v>
      </c>
      <c r="H600" s="20" t="s">
        <v>829</v>
      </c>
      <c r="I600" t="s">
        <v>65</v>
      </c>
      <c r="J600" s="30">
        <v>500</v>
      </c>
      <c r="K600" s="22">
        <f>IF(I600="","",IF(I600="ENTRADA",ABS(J600),-ABS(J600)))</f>
        <v>-500</v>
      </c>
      <c r="L600" t="s">
        <v>37</v>
      </c>
      <c r="N600">
        <v>65207</v>
      </c>
      <c r="O600" t="s">
        <v>218</v>
      </c>
      <c r="P600">
        <v>1931</v>
      </c>
      <c r="Q600" s="47">
        <v>46279</v>
      </c>
      <c r="R600" s="22" t="str">
        <f>IF(H600="","",H600&amp;I600)</f>
        <v>260826-484SALIDA</v>
      </c>
      <c r="S600" s="22" t="str">
        <f>IF(C600="","",C600&amp;I600)</f>
        <v>Paraquat SALIDA</v>
      </c>
      <c r="T600" t="str">
        <f>IF(OR(C600="",I600&lt;&gt;"ENTRADA"),"",TEXT(B600,"AAMMDD")&amp;"-"&amp;TEXT(VALUE(SUBSTITUTE(A600,"MOV-","")),"000"))</f>
        <v/>
      </c>
    </row>
    <row r="601" spans="1:20" hidden="1">
      <c r="A601" s="20" t="s">
        <v>914</v>
      </c>
      <c r="B601" s="47">
        <v>46274</v>
      </c>
      <c r="C601" t="s">
        <v>137</v>
      </c>
      <c r="D601" t="s">
        <v>138</v>
      </c>
      <c r="E601" t="s">
        <v>132</v>
      </c>
      <c r="G601" t="s">
        <v>133</v>
      </c>
      <c r="H601" s="20" t="s">
        <v>211</v>
      </c>
      <c r="I601" t="s">
        <v>65</v>
      </c>
      <c r="J601" s="30">
        <v>8</v>
      </c>
      <c r="K601" s="22">
        <f>IF(I601="","",IF(I601="ENTRADA",ABS(J601),-ABS(J601)))</f>
        <v>-8</v>
      </c>
      <c r="L601" t="s">
        <v>37</v>
      </c>
      <c r="N601">
        <v>65207</v>
      </c>
      <c r="O601" t="s">
        <v>218</v>
      </c>
      <c r="P601">
        <v>1931</v>
      </c>
      <c r="Q601" s="47">
        <v>46279</v>
      </c>
      <c r="R601" s="22" t="str">
        <f>IF(H601="","",H601&amp;I601)</f>
        <v>260414-030SALIDA</v>
      </c>
      <c r="S601" s="22" t="str">
        <f>IF(C601="","",C601&amp;I601)</f>
        <v>Full controlSALIDA</v>
      </c>
      <c r="T601" t="str">
        <f>IF(OR(C601="",I601&lt;&gt;"ENTRADA"),"",TEXT(B601,"AAMMDD")&amp;"-"&amp;TEXT(VALUE(SUBSTITUTE(A601,"MOV-","")),"000"))</f>
        <v/>
      </c>
    </row>
    <row r="602" spans="1:20" hidden="1">
      <c r="A602" s="20" t="s">
        <v>915</v>
      </c>
      <c r="B602" s="47">
        <v>46274</v>
      </c>
      <c r="C602" t="s">
        <v>122</v>
      </c>
      <c r="D602" t="s">
        <v>123</v>
      </c>
      <c r="E602" t="s">
        <v>34</v>
      </c>
      <c r="F602" t="s">
        <v>35</v>
      </c>
      <c r="G602" t="s">
        <v>117</v>
      </c>
      <c r="H602" s="20" t="s">
        <v>203</v>
      </c>
      <c r="I602" t="s">
        <v>65</v>
      </c>
      <c r="J602" s="30">
        <v>50</v>
      </c>
      <c r="K602" s="22">
        <f>IF(I602="","",IF(I602="ENTRADA",ABS(J602),-ABS(J602)))</f>
        <v>-50</v>
      </c>
      <c r="L602" t="s">
        <v>37</v>
      </c>
      <c r="N602">
        <v>65207</v>
      </c>
      <c r="O602" t="s">
        <v>218</v>
      </c>
      <c r="P602">
        <v>1931</v>
      </c>
      <c r="Q602" s="47">
        <v>46279</v>
      </c>
      <c r="R602" s="22" t="str">
        <f>IF(H602="","",H602&amp;I602)</f>
        <v>260410-027SALIDA</v>
      </c>
      <c r="S602" s="22" t="str">
        <f>IF(C602="","",C602&amp;I602)</f>
        <v>PardoSALIDA</v>
      </c>
      <c r="T602" t="str">
        <f>IF(OR(C602="",I602&lt;&gt;"ENTRADA"),"",TEXT(B602,"AAMMDD")&amp;"-"&amp;TEXT(VALUE(SUBSTITUTE(A602,"MOV-","")),"000"))</f>
        <v/>
      </c>
    </row>
    <row r="603" spans="1:20" hidden="1">
      <c r="A603" s="20" t="s">
        <v>916</v>
      </c>
      <c r="B603" s="47">
        <v>46274</v>
      </c>
      <c r="C603" t="s">
        <v>130</v>
      </c>
      <c r="D603" t="s">
        <v>131</v>
      </c>
      <c r="E603" t="s">
        <v>132</v>
      </c>
      <c r="G603" t="s">
        <v>133</v>
      </c>
      <c r="H603" s="20" t="s">
        <v>221</v>
      </c>
      <c r="I603" t="s">
        <v>65</v>
      </c>
      <c r="J603" s="30">
        <v>40</v>
      </c>
      <c r="K603" s="22">
        <f>IF(I603="","",IF(I603="ENTRADA",ABS(J603),-ABS(J603)))</f>
        <v>-40</v>
      </c>
      <c r="L603" t="s">
        <v>37</v>
      </c>
      <c r="N603">
        <v>65202</v>
      </c>
      <c r="O603" t="s">
        <v>218</v>
      </c>
      <c r="P603">
        <v>1932</v>
      </c>
      <c r="Q603" s="47">
        <v>46279</v>
      </c>
      <c r="R603" s="22" t="str">
        <f>IF(H603="","",H603&amp;I603)</f>
        <v>260414-029SALIDA</v>
      </c>
      <c r="S603" s="22" t="str">
        <f>IF(C603="","",C603&amp;I603)</f>
        <v>HarrierSALIDA</v>
      </c>
      <c r="T603" t="str">
        <f>IF(OR(C603="",I603&lt;&gt;"ENTRADA"),"",TEXT(B603,"AAMMDD")&amp;"-"&amp;TEXT(VALUE(SUBSTITUTE(A603,"MOV-","")),"000"))</f>
        <v/>
      </c>
    </row>
    <row r="604" spans="1:20" hidden="1">
      <c r="A604" s="20" t="s">
        <v>917</v>
      </c>
      <c r="B604" s="47">
        <v>46274</v>
      </c>
      <c r="C604" t="s">
        <v>769</v>
      </c>
      <c r="D604" t="s">
        <v>770</v>
      </c>
      <c r="E604" t="s">
        <v>34</v>
      </c>
      <c r="F604" t="s">
        <v>35</v>
      </c>
      <c r="G604" t="s">
        <v>771</v>
      </c>
      <c r="H604" s="20" t="s">
        <v>829</v>
      </c>
      <c r="I604" t="s">
        <v>65</v>
      </c>
      <c r="J604" s="30">
        <v>1360</v>
      </c>
      <c r="K604" s="22">
        <f>IF(I604="","",IF(I604="ENTRADA",ABS(J604),-ABS(J604)))</f>
        <v>-1360</v>
      </c>
      <c r="L604" t="s">
        <v>37</v>
      </c>
      <c r="N604">
        <v>65208</v>
      </c>
      <c r="O604" t="s">
        <v>218</v>
      </c>
      <c r="P604">
        <v>1933</v>
      </c>
      <c r="Q604" s="47">
        <v>46279</v>
      </c>
      <c r="R604" s="22" t="str">
        <f>IF(H604="","",H604&amp;I604)</f>
        <v>260826-484SALIDA</v>
      </c>
      <c r="S604" s="22" t="str">
        <f>IF(C604="","",C604&amp;I604)</f>
        <v>Paraquat SALIDA</v>
      </c>
      <c r="T604" t="str">
        <f>IF(OR(C604="",I604&lt;&gt;"ENTRADA"),"",TEXT(B604,"AAMMDD")&amp;"-"&amp;TEXT(VALUE(SUBSTITUTE(A604,"MOV-","")),"000"))</f>
        <v/>
      </c>
    </row>
    <row r="605" spans="1:20" hidden="1">
      <c r="A605" s="20" t="s">
        <v>918</v>
      </c>
      <c r="B605" s="47">
        <v>46274</v>
      </c>
      <c r="C605" t="s">
        <v>130</v>
      </c>
      <c r="D605" t="s">
        <v>131</v>
      </c>
      <c r="E605" t="s">
        <v>132</v>
      </c>
      <c r="G605" t="s">
        <v>133</v>
      </c>
      <c r="H605" s="20" t="s">
        <v>221</v>
      </c>
      <c r="I605" t="s">
        <v>65</v>
      </c>
      <c r="J605" s="30">
        <v>100</v>
      </c>
      <c r="K605" s="22">
        <f>IF(I605="","",IF(I605="ENTRADA",ABS(J605),-ABS(J605)))</f>
        <v>-100</v>
      </c>
      <c r="L605" t="s">
        <v>37</v>
      </c>
      <c r="N605">
        <v>65208</v>
      </c>
      <c r="O605" t="s">
        <v>218</v>
      </c>
      <c r="P605">
        <v>1933</v>
      </c>
      <c r="Q605" s="47">
        <v>46279</v>
      </c>
      <c r="R605" s="22" t="str">
        <f>IF(H605="","",H605&amp;I605)</f>
        <v>260414-029SALIDA</v>
      </c>
      <c r="S605" s="22" t="str">
        <f>IF(C605="","",C605&amp;I605)</f>
        <v>HarrierSALIDA</v>
      </c>
      <c r="T605" t="str">
        <f>IF(OR(C605="",I605&lt;&gt;"ENTRADA"),"",TEXT(B605,"AAMMDD")&amp;"-"&amp;TEXT(VALUE(SUBSTITUTE(A605,"MOV-","")),"000"))</f>
        <v/>
      </c>
    </row>
    <row r="606" spans="1:20" hidden="1">
      <c r="A606" s="20" t="s">
        <v>919</v>
      </c>
      <c r="B606" s="47">
        <v>46274</v>
      </c>
      <c r="C606" s="34" t="s">
        <v>137</v>
      </c>
      <c r="D606" s="34" t="s">
        <v>138</v>
      </c>
      <c r="E606" s="34" t="s">
        <v>132</v>
      </c>
      <c r="F606" s="34"/>
      <c r="G606" s="34" t="s">
        <v>133</v>
      </c>
      <c r="H606" s="20" t="s">
        <v>211</v>
      </c>
      <c r="I606" s="34" t="s">
        <v>65</v>
      </c>
      <c r="J606" s="36">
        <v>20</v>
      </c>
      <c r="K606" s="22">
        <f>IF(I606="","",IF(I606="ENTRADA",ABS(J606),-ABS(J606)))</f>
        <v>-20</v>
      </c>
      <c r="L606" s="34" t="s">
        <v>37</v>
      </c>
      <c r="M606" s="34"/>
      <c r="N606">
        <v>65208</v>
      </c>
      <c r="O606" s="34" t="s">
        <v>218</v>
      </c>
      <c r="P606">
        <v>1933</v>
      </c>
      <c r="Q606" s="47">
        <v>46279</v>
      </c>
      <c r="R606" s="22" t="str">
        <f>IF(H606="","",H606&amp;I606)</f>
        <v>260414-030SALIDA</v>
      </c>
      <c r="S606" s="22" t="str">
        <f>IF(C606="","",C606&amp;I606)</f>
        <v>Full controlSALIDA</v>
      </c>
      <c r="T606" t="str">
        <f>IF(OR(C606="",I606&lt;&gt;"ENTRADA"),"",TEXT(B606,"AAMMDD")&amp;"-"&amp;TEXT(VALUE(SUBSTITUTE(A606,"MOV-","")),"000"))</f>
        <v/>
      </c>
    </row>
    <row r="607" spans="1:20" hidden="1">
      <c r="A607" s="20" t="s">
        <v>920</v>
      </c>
      <c r="B607" s="47">
        <v>46260</v>
      </c>
      <c r="C607" t="s">
        <v>137</v>
      </c>
      <c r="D607" t="s">
        <v>138</v>
      </c>
      <c r="E607" t="s">
        <v>132</v>
      </c>
      <c r="G607" t="s">
        <v>133</v>
      </c>
      <c r="H607" s="20" t="s">
        <v>211</v>
      </c>
      <c r="I607" t="s">
        <v>65</v>
      </c>
      <c r="J607" s="30">
        <v>5</v>
      </c>
      <c r="K607" s="22">
        <f>IF(I607="","",IF(I607="ENTRADA",ABS(J607),-ABS(J607)))</f>
        <v>-5</v>
      </c>
      <c r="L607" t="s">
        <v>37</v>
      </c>
      <c r="N607">
        <v>65173</v>
      </c>
      <c r="O607" t="s">
        <v>382</v>
      </c>
      <c r="P607">
        <v>1892</v>
      </c>
      <c r="Q607" s="47">
        <v>46261</v>
      </c>
      <c r="R607" s="22" t="str">
        <f>IF(H607="","",H607&amp;I607)</f>
        <v>260414-030SALIDA</v>
      </c>
      <c r="S607" s="22" t="str">
        <f>IF(C607="","",C607&amp;I607)</f>
        <v>Full controlSALIDA</v>
      </c>
      <c r="T607" t="str">
        <f>IF(OR(C607="",I607&lt;&gt;"ENTRADA"),"",TEXT(B607,"AAMMDD")&amp;"-"&amp;TEXT(VALUE(SUBSTITUTE(A607,"MOV-","")),"000"))</f>
        <v/>
      </c>
    </row>
    <row r="608" spans="1:20" hidden="1">
      <c r="A608" s="20" t="s">
        <v>921</v>
      </c>
      <c r="B608" s="47">
        <v>46265</v>
      </c>
      <c r="C608" t="s">
        <v>115</v>
      </c>
      <c r="D608" t="s">
        <v>116</v>
      </c>
      <c r="E608" t="s">
        <v>34</v>
      </c>
      <c r="F608" t="s">
        <v>35</v>
      </c>
      <c r="G608" t="s">
        <v>117</v>
      </c>
      <c r="H608" s="20" t="s">
        <v>668</v>
      </c>
      <c r="I608" t="s">
        <v>65</v>
      </c>
      <c r="J608" s="30">
        <v>560</v>
      </c>
      <c r="K608" s="22">
        <f>IF(I608="","",IF(I608="ENTRADA",ABS(J608),-ABS(J608)))</f>
        <v>-560</v>
      </c>
      <c r="L608" t="s">
        <v>37</v>
      </c>
      <c r="N608">
        <v>65177</v>
      </c>
      <c r="O608" t="s">
        <v>218</v>
      </c>
      <c r="P608">
        <v>1935</v>
      </c>
      <c r="Q608" s="47">
        <v>46279</v>
      </c>
      <c r="R608" s="22" t="str">
        <f>IF(H608="","",H608&amp;I608)</f>
        <v>260727-381SALIDA</v>
      </c>
      <c r="S608" s="22" t="str">
        <f>IF(C608="","",C608&amp;I608)</f>
        <v>AzukaSALIDA</v>
      </c>
      <c r="T608" t="str">
        <f>IF(OR(C608="",I608&lt;&gt;"ENTRADA"),"",TEXT(B608,"AAMMDD")&amp;"-"&amp;TEXT(VALUE(SUBSTITUTE(A608,"MOV-","")),"000"))</f>
        <v/>
      </c>
    </row>
    <row r="609" spans="1:20" hidden="1">
      <c r="A609" s="20" t="s">
        <v>922</v>
      </c>
      <c r="B609" s="47">
        <v>46265</v>
      </c>
      <c r="C609" t="s">
        <v>491</v>
      </c>
      <c r="D609" t="s">
        <v>492</v>
      </c>
      <c r="E609" t="s">
        <v>493</v>
      </c>
      <c r="G609" t="s">
        <v>36</v>
      </c>
      <c r="H609" s="20" t="s">
        <v>495</v>
      </c>
      <c r="I609" t="s">
        <v>65</v>
      </c>
      <c r="J609" s="30">
        <v>460</v>
      </c>
      <c r="K609" s="22">
        <f>IF(I609="","",IF(I609="ENTRADA",ABS(J609),-ABS(J609)))</f>
        <v>-460</v>
      </c>
      <c r="L609" t="s">
        <v>37</v>
      </c>
      <c r="N609">
        <v>65177</v>
      </c>
      <c r="O609" t="s">
        <v>218</v>
      </c>
      <c r="P609">
        <v>1935</v>
      </c>
      <c r="Q609" s="47">
        <v>46279</v>
      </c>
      <c r="R609" s="22" t="str">
        <f>IF(H609="","",H609&amp;I609)</f>
        <v>260610-265SALIDA</v>
      </c>
      <c r="S609" s="22" t="str">
        <f>IF(C609="","",C609&amp;I609)</f>
        <v>Zinc Plus SALIDA</v>
      </c>
      <c r="T609" t="str">
        <f>IF(OR(C609="",I609&lt;&gt;"ENTRADA"),"",TEXT(B609,"AAMMDD")&amp;"-"&amp;TEXT(VALUE(SUBSTITUTE(A609,"MOV-","")),"000"))</f>
        <v/>
      </c>
    </row>
    <row r="610" spans="1:20" hidden="1">
      <c r="A610" s="20" t="s">
        <v>923</v>
      </c>
      <c r="B610" s="47">
        <v>46265</v>
      </c>
      <c r="C610" t="s">
        <v>514</v>
      </c>
      <c r="D610" t="s">
        <v>515</v>
      </c>
      <c r="E610" t="s">
        <v>516</v>
      </c>
      <c r="G610" t="s">
        <v>117</v>
      </c>
      <c r="H610" s="20" t="s">
        <v>664</v>
      </c>
      <c r="I610" t="s">
        <v>65</v>
      </c>
      <c r="J610" s="30">
        <v>100</v>
      </c>
      <c r="K610" s="22">
        <f>IF(I610="","",IF(I610="ENTRADA",ABS(J610),-ABS(J610)))</f>
        <v>-100</v>
      </c>
      <c r="L610" t="s">
        <v>37</v>
      </c>
      <c r="N610">
        <v>65177</v>
      </c>
      <c r="O610" t="s">
        <v>218</v>
      </c>
      <c r="P610">
        <v>1935</v>
      </c>
      <c r="Q610" s="47">
        <v>46279</v>
      </c>
      <c r="R610" s="22" t="str">
        <f>IF(H610="","",H610&amp;I610)</f>
        <v>260730-396SALIDA</v>
      </c>
      <c r="S610" s="22" t="str">
        <f>IF(C610="","",C610&amp;I610)</f>
        <v>Unico MaxSALIDA</v>
      </c>
      <c r="T610" t="str">
        <f>IF(OR(C610="",I610&lt;&gt;"ENTRADA"),"",TEXT(B610,"AAMMDD")&amp;"-"&amp;TEXT(VALUE(SUBSTITUTE(A610,"MOV-","")),"000"))</f>
        <v/>
      </c>
    </row>
    <row r="611" spans="1:20" hidden="1">
      <c r="A611" s="20" t="s">
        <v>924</v>
      </c>
      <c r="B611" s="47">
        <v>46265</v>
      </c>
      <c r="C611" t="s">
        <v>122</v>
      </c>
      <c r="D611" t="s">
        <v>123</v>
      </c>
      <c r="E611" t="s">
        <v>34</v>
      </c>
      <c r="F611" t="s">
        <v>35</v>
      </c>
      <c r="G611" t="s">
        <v>117</v>
      </c>
      <c r="H611" s="20" t="s">
        <v>203</v>
      </c>
      <c r="I611" t="s">
        <v>65</v>
      </c>
      <c r="J611" s="30">
        <v>180</v>
      </c>
      <c r="K611" s="22">
        <f>IF(I611="","",IF(I611="ENTRADA",ABS(J611),-ABS(J611)))</f>
        <v>-180</v>
      </c>
      <c r="L611" t="s">
        <v>37</v>
      </c>
      <c r="N611">
        <v>65177</v>
      </c>
      <c r="O611" t="s">
        <v>218</v>
      </c>
      <c r="P611">
        <v>1935</v>
      </c>
      <c r="Q611" s="47">
        <v>46279</v>
      </c>
      <c r="R611" s="22" t="str">
        <f>IF(H611="","",H611&amp;I611)</f>
        <v>260410-027SALIDA</v>
      </c>
      <c r="S611" s="22" t="str">
        <f>IF(C611="","",C611&amp;I611)</f>
        <v>PardoSALIDA</v>
      </c>
      <c r="T611" t="str">
        <f>IF(OR(C611="",I611&lt;&gt;"ENTRADA"),"",TEXT(B611,"AAMMDD")&amp;"-"&amp;TEXT(VALUE(SUBSTITUTE(A611,"MOV-","")),"000"))</f>
        <v/>
      </c>
    </row>
    <row r="612" spans="1:20" hidden="1">
      <c r="A612" s="20" t="s">
        <v>925</v>
      </c>
      <c r="B612" s="47">
        <v>46265</v>
      </c>
      <c r="C612" t="s">
        <v>137</v>
      </c>
      <c r="D612" t="s">
        <v>138</v>
      </c>
      <c r="E612" t="s">
        <v>132</v>
      </c>
      <c r="G612" t="s">
        <v>133</v>
      </c>
      <c r="H612" s="20" t="s">
        <v>211</v>
      </c>
      <c r="I612" t="s">
        <v>65</v>
      </c>
      <c r="J612" s="30">
        <v>8</v>
      </c>
      <c r="K612" s="22">
        <f>IF(I612="","",IF(I612="ENTRADA",ABS(J612),-ABS(J612)))</f>
        <v>-8</v>
      </c>
      <c r="L612" t="s">
        <v>37</v>
      </c>
      <c r="N612">
        <v>65177</v>
      </c>
      <c r="O612" t="s">
        <v>218</v>
      </c>
      <c r="P612">
        <v>1935</v>
      </c>
      <c r="Q612" s="47">
        <v>46279</v>
      </c>
      <c r="R612" s="22" t="str">
        <f>IF(H612="","",H612&amp;I612)</f>
        <v>260414-030SALIDA</v>
      </c>
      <c r="S612" s="22" t="str">
        <f>IF(C612="","",C612&amp;I612)</f>
        <v>Full controlSALIDA</v>
      </c>
      <c r="T612" t="str">
        <f>IF(OR(C612="",I612&lt;&gt;"ENTRADA"),"",TEXT(B612,"AAMMDD")&amp;"-"&amp;TEXT(VALUE(SUBSTITUTE(A612,"MOV-","")),"000"))</f>
        <v/>
      </c>
    </row>
    <row r="613" spans="1:20" hidden="1">
      <c r="A613" s="20" t="s">
        <v>926</v>
      </c>
      <c r="B613" s="47">
        <v>46265</v>
      </c>
      <c r="C613" t="s">
        <v>130</v>
      </c>
      <c r="D613" t="s">
        <v>131</v>
      </c>
      <c r="E613" t="s">
        <v>132</v>
      </c>
      <c r="G613" t="s">
        <v>133</v>
      </c>
      <c r="H613" s="20" t="s">
        <v>221</v>
      </c>
      <c r="I613" t="s">
        <v>65</v>
      </c>
      <c r="J613" s="30">
        <v>40</v>
      </c>
      <c r="K613" s="22">
        <f>IF(I613="","",IF(I613="ENTRADA",ABS(J613),-ABS(J613)))</f>
        <v>-40</v>
      </c>
      <c r="L613" t="s">
        <v>37</v>
      </c>
      <c r="N613">
        <v>65177</v>
      </c>
      <c r="O613" t="s">
        <v>218</v>
      </c>
      <c r="P613">
        <v>1935</v>
      </c>
      <c r="Q613" s="47">
        <v>46279</v>
      </c>
      <c r="R613" s="22" t="str">
        <f>IF(H613="","",H613&amp;I613)</f>
        <v>260414-029SALIDA</v>
      </c>
      <c r="S613" s="22" t="str">
        <f>IF(C613="","",C613&amp;I613)</f>
        <v>HarrierSALIDA</v>
      </c>
      <c r="T613" t="str">
        <f>IF(OR(C613="",I613&lt;&gt;"ENTRADA"),"",TEXT(B613,"AAMMDD")&amp;"-"&amp;TEXT(VALUE(SUBSTITUTE(A613,"MOV-","")),"000"))</f>
        <v/>
      </c>
    </row>
    <row r="614" spans="1:20" hidden="1">
      <c r="A614" s="20" t="s">
        <v>927</v>
      </c>
      <c r="B614" s="47">
        <v>46274</v>
      </c>
      <c r="C614" t="s">
        <v>130</v>
      </c>
      <c r="D614" t="s">
        <v>131</v>
      </c>
      <c r="E614" t="s">
        <v>132</v>
      </c>
      <c r="G614" t="s">
        <v>133</v>
      </c>
      <c r="H614" s="20" t="s">
        <v>221</v>
      </c>
      <c r="I614" t="s">
        <v>65</v>
      </c>
      <c r="J614" s="30">
        <v>40</v>
      </c>
      <c r="K614" s="22">
        <f>IF(I614="","",IF(I614="ENTRADA",ABS(J614),-ABS(J614)))</f>
        <v>-40</v>
      </c>
      <c r="L614" t="s">
        <v>37</v>
      </c>
      <c r="N614">
        <v>65207</v>
      </c>
      <c r="O614" t="s">
        <v>218</v>
      </c>
      <c r="P614" s="54">
        <v>1931</v>
      </c>
      <c r="Q614" s="47">
        <v>46279</v>
      </c>
      <c r="R614" s="22" t="str">
        <f>IF(H614="","",H614&amp;I614)</f>
        <v>260414-029SALIDA</v>
      </c>
      <c r="S614" s="22" t="str">
        <f>IF(C614="","",C614&amp;I614)</f>
        <v>HarrierSALIDA</v>
      </c>
      <c r="T614" t="str">
        <f>IF(OR(C614="",I614&lt;&gt;"ENTRADA"),"",TEXT(B614,"AAMMDD")&amp;"-"&amp;TEXT(VALUE(SUBSTITUTE(A614,"MOV-","")),"000"))</f>
        <v/>
      </c>
    </row>
    <row r="615" spans="1:20" hidden="1">
      <c r="A615" s="20" t="s">
        <v>928</v>
      </c>
      <c r="B615" s="60">
        <v>46275</v>
      </c>
      <c r="C615" s="34" t="s">
        <v>115</v>
      </c>
      <c r="D615" s="34" t="s">
        <v>116</v>
      </c>
      <c r="E615" s="34" t="s">
        <v>34</v>
      </c>
      <c r="F615" s="34" t="s">
        <v>35</v>
      </c>
      <c r="G615" s="34" t="s">
        <v>117</v>
      </c>
      <c r="H615" s="20" t="s">
        <v>668</v>
      </c>
      <c r="I615" s="34" t="s">
        <v>65</v>
      </c>
      <c r="J615" s="36">
        <v>600</v>
      </c>
      <c r="K615" s="22">
        <f>IF(I615="","",IF(I615="ENTRADA",ABS(J615),-ABS(J615)))</f>
        <v>-600</v>
      </c>
      <c r="L615" s="34" t="s">
        <v>37</v>
      </c>
      <c r="M615" s="34"/>
      <c r="N615">
        <v>65209</v>
      </c>
      <c r="O615" t="s">
        <v>387</v>
      </c>
      <c r="P615" s="46">
        <v>1936</v>
      </c>
      <c r="Q615" s="47">
        <v>46279</v>
      </c>
      <c r="R615" s="22" t="str">
        <f>IF(H615="","",H615&amp;I615)</f>
        <v>260727-381SALIDA</v>
      </c>
      <c r="S615" s="22" t="str">
        <f>IF(C615="","",C615&amp;I615)</f>
        <v>AzukaSALIDA</v>
      </c>
      <c r="T615" t="str">
        <f>IF(OR(C615="",I615&lt;&gt;"ENTRADA"),"",TEXT(B615,"AAMMDD")&amp;"-"&amp;TEXT(VALUE(SUBSTITUTE(A615,"MOV-","")),"000"))</f>
        <v/>
      </c>
    </row>
    <row r="616" spans="1:20" hidden="1">
      <c r="A616" s="20" t="s">
        <v>929</v>
      </c>
      <c r="B616" s="47">
        <v>46275</v>
      </c>
      <c r="C616" t="s">
        <v>130</v>
      </c>
      <c r="D616" t="s">
        <v>131</v>
      </c>
      <c r="E616" t="s">
        <v>132</v>
      </c>
      <c r="G616" t="s">
        <v>133</v>
      </c>
      <c r="H616" s="20" t="s">
        <v>221</v>
      </c>
      <c r="I616" t="s">
        <v>65</v>
      </c>
      <c r="J616" s="30">
        <v>60</v>
      </c>
      <c r="K616" s="22">
        <f>IF(I616="","",IF(I616="ENTRADA",ABS(J616),-ABS(J616)))</f>
        <v>-60</v>
      </c>
      <c r="L616" t="s">
        <v>37</v>
      </c>
      <c r="N616">
        <v>65209</v>
      </c>
      <c r="O616" t="s">
        <v>387</v>
      </c>
      <c r="P616" s="46">
        <v>1936</v>
      </c>
      <c r="Q616" s="47">
        <v>46279</v>
      </c>
      <c r="R616" s="22" t="str">
        <f>IF(H616="","",H616&amp;I616)</f>
        <v>260414-029SALIDA</v>
      </c>
      <c r="S616" s="22" t="str">
        <f>IF(C616="","",C616&amp;I616)</f>
        <v>HarrierSALIDA</v>
      </c>
      <c r="T616" t="str">
        <f>IF(OR(C616="",I616&lt;&gt;"ENTRADA"),"",TEXT(B616,"AAMMDD")&amp;"-"&amp;TEXT(VALUE(SUBSTITUTE(A616,"MOV-","")),"000"))</f>
        <v/>
      </c>
    </row>
    <row r="617" spans="1:20" hidden="1">
      <c r="A617" s="20" t="s">
        <v>930</v>
      </c>
      <c r="B617" s="47">
        <v>46276</v>
      </c>
      <c r="C617" t="s">
        <v>115</v>
      </c>
      <c r="D617" t="s">
        <v>116</v>
      </c>
      <c r="E617" t="s">
        <v>34</v>
      </c>
      <c r="F617" t="s">
        <v>35</v>
      </c>
      <c r="G617" t="s">
        <v>117</v>
      </c>
      <c r="H617" s="20" t="s">
        <v>668</v>
      </c>
      <c r="I617" t="s">
        <v>65</v>
      </c>
      <c r="J617" s="30">
        <v>460</v>
      </c>
      <c r="K617" s="22">
        <f>IF(I617="","",IF(I617="ENTRADA",ABS(J617),-ABS(J617)))</f>
        <v>-460</v>
      </c>
      <c r="L617" t="s">
        <v>37</v>
      </c>
      <c r="N617">
        <v>65210</v>
      </c>
      <c r="O617" t="s">
        <v>387</v>
      </c>
      <c r="P617">
        <v>1937</v>
      </c>
      <c r="Q617" s="47">
        <v>46279</v>
      </c>
      <c r="R617" s="22" t="str">
        <f>IF(H617="","",H617&amp;I617)</f>
        <v>260727-381SALIDA</v>
      </c>
      <c r="S617" s="22" t="str">
        <f>IF(C617="","",C617&amp;I617)</f>
        <v>AzukaSALIDA</v>
      </c>
      <c r="T617" t="str">
        <f>IF(OR(C617="",I617&lt;&gt;"ENTRADA"),"",TEXT(B617,"AAMMDD")&amp;"-"&amp;TEXT(VALUE(SUBSTITUTE(A617,"MOV-","")),"000"))</f>
        <v/>
      </c>
    </row>
    <row r="618" spans="1:20" hidden="1">
      <c r="A618" s="20" t="s">
        <v>931</v>
      </c>
      <c r="B618" s="47">
        <v>46276</v>
      </c>
      <c r="C618" t="s">
        <v>122</v>
      </c>
      <c r="D618" t="s">
        <v>123</v>
      </c>
      <c r="E618" t="s">
        <v>34</v>
      </c>
      <c r="F618" t="s">
        <v>35</v>
      </c>
      <c r="G618" t="s">
        <v>117</v>
      </c>
      <c r="H618" s="20" t="s">
        <v>203</v>
      </c>
      <c r="I618" t="s">
        <v>65</v>
      </c>
      <c r="J618" s="30">
        <v>50</v>
      </c>
      <c r="K618" s="22">
        <f>IF(I618="","",IF(I618="ENTRADA",ABS(J618),-ABS(J618)))</f>
        <v>-50</v>
      </c>
      <c r="L618" t="s">
        <v>37</v>
      </c>
      <c r="N618">
        <v>65210</v>
      </c>
      <c r="O618" t="s">
        <v>387</v>
      </c>
      <c r="P618">
        <v>1937</v>
      </c>
      <c r="Q618" s="47">
        <v>46279</v>
      </c>
      <c r="R618" s="22" t="str">
        <f>IF(H618="","",H618&amp;I618)</f>
        <v>260410-027SALIDA</v>
      </c>
      <c r="S618" s="22" t="str">
        <f>IF(C618="","",C618&amp;I618)</f>
        <v>PardoSALIDA</v>
      </c>
      <c r="T618" t="str">
        <f>IF(OR(C618="",I618&lt;&gt;"ENTRADA"),"",TEXT(B618,"AAMMDD")&amp;"-"&amp;TEXT(VALUE(SUBSTITUTE(A618,"MOV-","")),"000"))</f>
        <v/>
      </c>
    </row>
    <row r="619" spans="1:20" hidden="1">
      <c r="A619" s="20" t="s">
        <v>932</v>
      </c>
      <c r="B619" s="47">
        <v>46279</v>
      </c>
      <c r="C619" t="s">
        <v>933</v>
      </c>
      <c r="D619" t="s">
        <v>934</v>
      </c>
      <c r="E619" t="s">
        <v>516</v>
      </c>
      <c r="G619" t="s">
        <v>36</v>
      </c>
      <c r="H619" s="20" t="str">
        <f>+T619</f>
        <v>260914-621</v>
      </c>
      <c r="I619" t="s">
        <v>28</v>
      </c>
      <c r="J619" s="30">
        <v>3300</v>
      </c>
      <c r="K619" s="22">
        <f>IF(I619="","",IF(I619="ENTRADA",ABS(J619),-ABS(J619)))</f>
        <v>3300</v>
      </c>
      <c r="L619" t="s">
        <v>37</v>
      </c>
      <c r="N619">
        <v>13641</v>
      </c>
      <c r="P619">
        <v>15096</v>
      </c>
      <c r="Q619" s="47">
        <v>46279</v>
      </c>
      <c r="R619" s="22" t="str">
        <f>IF(H619="","",H619&amp;I619)</f>
        <v>260914-621ENTRADA</v>
      </c>
      <c r="S619" s="22" t="str">
        <f>IF(C619="","",C619&amp;I619)</f>
        <v>swing plusENTRADA</v>
      </c>
      <c r="T619" t="str">
        <f>IF(OR(C619="",I619&lt;&gt;"ENTRADA"),"",TEXT(B619,"AAMMDD")&amp;"-"&amp;TEXT(VALUE(SUBSTITUTE(A619,"MOV-","")),"000"))</f>
        <v>260914-621</v>
      </c>
    </row>
    <row r="620" spans="1:20" hidden="1">
      <c r="A620" s="20" t="s">
        <v>935</v>
      </c>
      <c r="B620" s="47">
        <v>46275</v>
      </c>
      <c r="C620" t="s">
        <v>115</v>
      </c>
      <c r="D620" t="s">
        <v>116</v>
      </c>
      <c r="E620" t="s">
        <v>34</v>
      </c>
      <c r="F620" t="s">
        <v>35</v>
      </c>
      <c r="G620" t="s">
        <v>117</v>
      </c>
      <c r="H620" s="20" t="str">
        <f>+T620</f>
        <v>260910-622</v>
      </c>
      <c r="I620" t="s">
        <v>28</v>
      </c>
      <c r="J620" s="30">
        <v>21120</v>
      </c>
      <c r="K620" s="22">
        <f>IF(I620="","",IF(I620="ENTRADA",ABS(J620),-ABS(J620)))</f>
        <v>21120</v>
      </c>
      <c r="L620" t="s">
        <v>37</v>
      </c>
      <c r="M620" s="47">
        <v>46904</v>
      </c>
      <c r="N620">
        <v>51051</v>
      </c>
      <c r="P620">
        <v>15177</v>
      </c>
      <c r="Q620" s="47">
        <v>46288</v>
      </c>
      <c r="R620" s="22" t="str">
        <f>IF(H620="","",H620&amp;I620)</f>
        <v>260910-622ENTRADA</v>
      </c>
      <c r="S620" s="22" t="str">
        <f>IF(C620="","",C620&amp;I620)</f>
        <v>AzukaENTRADA</v>
      </c>
      <c r="T620" t="str">
        <f>IF(OR(C620="",I620&lt;&gt;"ENTRADA"),"",TEXT(B620,"AAMMDD")&amp;"-"&amp;TEXT(VALUE(SUBSTITUTE(A620,"MOV-","")),"000"))</f>
        <v>260910-622</v>
      </c>
    </row>
    <row r="621" spans="1:20" hidden="1">
      <c r="A621" s="20" t="s">
        <v>936</v>
      </c>
      <c r="B621" s="47">
        <v>46210</v>
      </c>
      <c r="C621" t="s">
        <v>719</v>
      </c>
      <c r="D621" t="s">
        <v>720</v>
      </c>
      <c r="E621" t="s">
        <v>34</v>
      </c>
      <c r="F621" t="s">
        <v>35</v>
      </c>
      <c r="G621" t="s">
        <v>117</v>
      </c>
      <c r="H621" s="20" t="str">
        <f>+T621</f>
        <v>260707-623</v>
      </c>
      <c r="I621" t="s">
        <v>28</v>
      </c>
      <c r="J621" s="30">
        <v>6880</v>
      </c>
      <c r="K621" s="22">
        <f>IF(I621="","",IF(I621="ENTRADA",ABS(J621),-ABS(J621)))</f>
        <v>6880</v>
      </c>
      <c r="L621" t="s">
        <v>37</v>
      </c>
      <c r="N621">
        <v>50993</v>
      </c>
      <c r="P621">
        <v>15102</v>
      </c>
      <c r="Q621" s="47">
        <v>46279</v>
      </c>
      <c r="R621" s="22" t="str">
        <f>IF(H621="","",H621&amp;I621)</f>
        <v>260707-623ENTRADA</v>
      </c>
      <c r="S621" s="22" t="str">
        <f>IF(C621="","",C621&amp;I621)</f>
        <v>Gamina ENTRADA</v>
      </c>
      <c r="T621" t="str">
        <f>IF(OR(C621="",I621&lt;&gt;"ENTRADA"),"",TEXT(B621,"AAMMDD")&amp;"-"&amp;TEXT(VALUE(SUBSTITUTE(A621,"MOV-","")),"000"))</f>
        <v>260707-623</v>
      </c>
    </row>
    <row r="622" spans="1:20" hidden="1">
      <c r="A622" s="20" t="s">
        <v>937</v>
      </c>
      <c r="B622" s="47">
        <v>46280</v>
      </c>
      <c r="C622" t="s">
        <v>122</v>
      </c>
      <c r="D622" t="s">
        <v>123</v>
      </c>
      <c r="E622" t="s">
        <v>34</v>
      </c>
      <c r="F622" t="s">
        <v>35</v>
      </c>
      <c r="G622" t="s">
        <v>117</v>
      </c>
      <c r="H622" s="20" t="s">
        <v>938</v>
      </c>
      <c r="I622" t="s">
        <v>28</v>
      </c>
      <c r="J622" s="30">
        <v>3840</v>
      </c>
      <c r="K622" s="22">
        <f>IF(I622="","",IF(I622="ENTRADA",ABS(J622),-ABS(J622)))</f>
        <v>3840</v>
      </c>
      <c r="L622" t="s">
        <v>37</v>
      </c>
      <c r="N622">
        <v>51029</v>
      </c>
      <c r="P622">
        <v>15125</v>
      </c>
      <c r="Q622" s="47">
        <v>46280</v>
      </c>
      <c r="R622" s="22" t="str">
        <f>IF(H622="","",H622&amp;I622)</f>
        <v>260727-380ENTRADA</v>
      </c>
      <c r="S622" s="22" t="str">
        <f>IF(C622="","",C622&amp;I622)</f>
        <v>PardoENTRADA</v>
      </c>
      <c r="T622" t="str">
        <f>IF(OR(C622="",I622&lt;&gt;"ENTRADA"),"",TEXT(B622,"AAMMDD")&amp;"-"&amp;TEXT(VALUE(SUBSTITUTE(A622,"MOV-","")),"000"))</f>
        <v>260915-624</v>
      </c>
    </row>
    <row r="623" spans="1:20" hidden="1">
      <c r="A623" s="20" t="s">
        <v>939</v>
      </c>
      <c r="B623" s="47">
        <v>46280</v>
      </c>
      <c r="C623" t="s">
        <v>940</v>
      </c>
      <c r="D623" t="s">
        <v>941</v>
      </c>
      <c r="E623" t="s">
        <v>34</v>
      </c>
      <c r="F623" t="s">
        <v>35</v>
      </c>
      <c r="G623" t="s">
        <v>36</v>
      </c>
      <c r="H623" s="20" t="str">
        <f>+T623</f>
        <v>260915-625</v>
      </c>
      <c r="I623" t="s">
        <v>28</v>
      </c>
      <c r="J623" s="30">
        <v>2800</v>
      </c>
      <c r="K623" s="22">
        <f>IF(I623="","",IF(I623="ENTRADA",ABS(J623),-ABS(J623)))</f>
        <v>2800</v>
      </c>
      <c r="L623" t="s">
        <v>37</v>
      </c>
      <c r="N623">
        <v>13704</v>
      </c>
      <c r="P623">
        <v>15176</v>
      </c>
      <c r="Q623" s="47">
        <v>46288</v>
      </c>
      <c r="R623" s="22" t="str">
        <f>IF(H623="","",H623&amp;I623)</f>
        <v>260915-625ENTRADA</v>
      </c>
      <c r="S623" s="22" t="str">
        <f>IF(C623="","",C623&amp;I623)</f>
        <v>yescaENTRADA</v>
      </c>
      <c r="T623" t="str">
        <f>IF(OR(C623="",I623&lt;&gt;"ENTRADA"),"",TEXT(B623,"AAMMDD")&amp;"-"&amp;TEXT(VALUE(SUBSTITUTE(A623,"MOV-","")),"000"))</f>
        <v>260915-625</v>
      </c>
    </row>
    <row r="624" spans="1:20" hidden="1">
      <c r="A624" s="20" t="s">
        <v>942</v>
      </c>
      <c r="B624" s="47">
        <v>46282</v>
      </c>
      <c r="C624" t="s">
        <v>943</v>
      </c>
      <c r="D624" t="s">
        <v>944</v>
      </c>
      <c r="E624" t="s">
        <v>516</v>
      </c>
      <c r="G624" t="s">
        <v>777</v>
      </c>
      <c r="H624" s="20" t="str">
        <f>+T624</f>
        <v>260917-626</v>
      </c>
      <c r="I624" t="s">
        <v>28</v>
      </c>
      <c r="J624" s="30">
        <v>360</v>
      </c>
      <c r="K624" s="22">
        <f>IF(I624="","",IF(I624="ENTRADA",ABS(J624),-ABS(J624)))</f>
        <v>360</v>
      </c>
      <c r="L624" t="s">
        <v>56</v>
      </c>
      <c r="N624">
        <v>13691</v>
      </c>
      <c r="P624">
        <v>15178</v>
      </c>
      <c r="Q624" s="47">
        <v>46288</v>
      </c>
      <c r="R624" s="22" t="str">
        <f>IF(H624="","",H624&amp;I624)</f>
        <v>260917-626ENTRADA</v>
      </c>
      <c r="S624" s="22" t="str">
        <f>IF(C624="","",C624&amp;I624)</f>
        <v>Miravis triple packENTRADA</v>
      </c>
      <c r="T624" t="str">
        <f>IF(OR(C624="",I624&lt;&gt;"ENTRADA"),"",TEXT(B624,"AAMMDD")&amp;"-"&amp;TEXT(VALUE(SUBSTITUTE(A624,"MOV-","")),"000"))</f>
        <v>260917-626</v>
      </c>
    </row>
    <row r="625" spans="1:20" hidden="1">
      <c r="A625" s="20" t="s">
        <v>945</v>
      </c>
      <c r="B625" s="47">
        <v>46282</v>
      </c>
      <c r="C625" t="s">
        <v>629</v>
      </c>
      <c r="D625" t="s">
        <v>630</v>
      </c>
      <c r="E625" t="s">
        <v>25</v>
      </c>
      <c r="F625" t="s">
        <v>631</v>
      </c>
      <c r="G625" t="s">
        <v>158</v>
      </c>
      <c r="H625" s="20" t="str">
        <f>+T625</f>
        <v>260917-627</v>
      </c>
      <c r="I625" t="s">
        <v>28</v>
      </c>
      <c r="J625" s="30">
        <v>216</v>
      </c>
      <c r="K625" s="22">
        <f>IF(I625="","",IF(I625="ENTRADA",ABS(J625),-ABS(J625)))</f>
        <v>216</v>
      </c>
      <c r="L625" t="s">
        <v>632</v>
      </c>
      <c r="N625">
        <v>35960</v>
      </c>
      <c r="P625">
        <v>15181</v>
      </c>
      <c r="Q625" s="47">
        <v>46289</v>
      </c>
      <c r="R625" s="22" t="str">
        <f>IF(H625="","",H625&amp;I625)</f>
        <v>260917-627ENTRADA</v>
      </c>
      <c r="S625" s="22" t="str">
        <f>IF(C625="","",C625&amp;I625)</f>
        <v>semilla maiz DK 69-62 TREENTRADA</v>
      </c>
      <c r="T625" t="str">
        <f>IF(OR(C625="",I625&lt;&gt;"ENTRADA"),"",TEXT(B625,"AAMMDD")&amp;"-"&amp;TEXT(VALUE(SUBSTITUTE(A625,"MOV-","")),"000"))</f>
        <v>260917-627</v>
      </c>
    </row>
    <row r="626" spans="1:20" hidden="1">
      <c r="A626" s="20" t="s">
        <v>946</v>
      </c>
      <c r="B626" s="60">
        <v>46283</v>
      </c>
      <c r="C626" t="s">
        <v>629</v>
      </c>
      <c r="D626" s="34" t="s">
        <v>630</v>
      </c>
      <c r="E626" s="34" t="s">
        <v>25</v>
      </c>
      <c r="F626" s="34" t="s">
        <v>631</v>
      </c>
      <c r="G626" s="34" t="s">
        <v>158</v>
      </c>
      <c r="H626" s="20" t="s">
        <v>947</v>
      </c>
      <c r="I626" s="34" t="s">
        <v>28</v>
      </c>
      <c r="J626" s="36">
        <v>216</v>
      </c>
      <c r="K626" s="22">
        <f>IF(I626="","",IF(I626="ENTRADA",ABS(J626),-ABS(J626)))</f>
        <v>216</v>
      </c>
      <c r="L626" s="34" t="s">
        <v>632</v>
      </c>
      <c r="M626" s="34"/>
      <c r="N626">
        <v>35983</v>
      </c>
      <c r="O626" s="34"/>
      <c r="P626">
        <v>15198</v>
      </c>
      <c r="Q626" s="61">
        <v>46293</v>
      </c>
      <c r="R626" s="22" t="str">
        <f>IF(H626="","",H626&amp;I626)</f>
        <v>260917-627ENTRADA</v>
      </c>
      <c r="S626" s="22" t="str">
        <f>IF(C626="","",C626&amp;I626)</f>
        <v>semilla maiz DK 69-62 TREENTRADA</v>
      </c>
      <c r="T626" t="str">
        <f>IF(OR(C626="",I626&lt;&gt;"ENTRADA"),"",TEXT(B626,"AAMMDD")&amp;"-"&amp;TEXT(VALUE(SUBSTITUTE(A626,"MOV-","")),"000"))</f>
        <v>260918-628</v>
      </c>
    </row>
    <row r="627" spans="1:20" hidden="1">
      <c r="A627" s="20" t="s">
        <v>948</v>
      </c>
      <c r="B627" s="47">
        <v>46283</v>
      </c>
      <c r="C627" t="s">
        <v>629</v>
      </c>
      <c r="D627" t="s">
        <v>630</v>
      </c>
      <c r="E627" t="s">
        <v>25</v>
      </c>
      <c r="F627" t="s">
        <v>631</v>
      </c>
      <c r="G627" t="s">
        <v>158</v>
      </c>
      <c r="H627" s="20" t="s">
        <v>947</v>
      </c>
      <c r="I627" t="s">
        <v>28</v>
      </c>
      <c r="J627" s="30">
        <v>168</v>
      </c>
      <c r="K627" s="22">
        <f>IF(I627="","",IF(I627="ENTRADA",ABS(J627),-ABS(J627)))</f>
        <v>168</v>
      </c>
      <c r="L627" t="s">
        <v>632</v>
      </c>
      <c r="N627">
        <v>36028</v>
      </c>
      <c r="P627">
        <v>15199</v>
      </c>
      <c r="Q627" s="61">
        <v>46293</v>
      </c>
      <c r="R627" s="22" t="str">
        <f>IF(H627="","",H627&amp;I627)</f>
        <v>260917-627ENTRADA</v>
      </c>
      <c r="S627" s="22" t="str">
        <f>IF(C627="","",C627&amp;I627)</f>
        <v>semilla maiz DK 69-62 TREENTRADA</v>
      </c>
      <c r="T627" t="str">
        <f>IF(OR(C627="",I627&lt;&gt;"ENTRADA"),"",TEXT(B627,"AAMMDD")&amp;"-"&amp;TEXT(VALUE(SUBSTITUTE(A627,"MOV-","")),"000"))</f>
        <v>260918-629</v>
      </c>
    </row>
    <row r="628" spans="1:20" hidden="1">
      <c r="A628" s="20" t="s">
        <v>949</v>
      </c>
      <c r="B628" s="47">
        <v>46283</v>
      </c>
      <c r="C628" t="s">
        <v>950</v>
      </c>
      <c r="D628" t="s">
        <v>951</v>
      </c>
      <c r="E628" t="s">
        <v>25</v>
      </c>
      <c r="F628" t="s">
        <v>631</v>
      </c>
      <c r="G628" t="s">
        <v>158</v>
      </c>
      <c r="H628" s="20" t="str">
        <f>+T628</f>
        <v>260918-630</v>
      </c>
      <c r="I628" t="s">
        <v>28</v>
      </c>
      <c r="J628" s="30">
        <v>41</v>
      </c>
      <c r="K628" s="22">
        <f>IF(I628="","",IF(I628="ENTRADA",ABS(J628),-ABS(J628)))</f>
        <v>41</v>
      </c>
      <c r="L628" t="s">
        <v>632</v>
      </c>
      <c r="N628">
        <v>36028</v>
      </c>
      <c r="P628">
        <v>15199</v>
      </c>
      <c r="Q628" s="61">
        <v>46293</v>
      </c>
      <c r="R628" s="22" t="str">
        <f>IF(H628="","",H628&amp;I628)</f>
        <v>260918-630ENTRADA</v>
      </c>
      <c r="S628" s="22" t="str">
        <f>IF(C628="","",C628&amp;I628)</f>
        <v>refugio dk 72-72 RR2ENTRADA</v>
      </c>
      <c r="T628" t="str">
        <f>IF(OR(C628="",I628&lt;&gt;"ENTRADA"),"",TEXT(B628,"AAMMDD")&amp;"-"&amp;TEXT(VALUE(SUBSTITUTE(A628,"MOV-","")),"000"))</f>
        <v>260918-630</v>
      </c>
    </row>
    <row r="629" spans="1:20" hidden="1">
      <c r="A629" s="20" t="s">
        <v>952</v>
      </c>
      <c r="B629" s="47">
        <v>46281</v>
      </c>
      <c r="C629" t="s">
        <v>940</v>
      </c>
      <c r="D629" t="s">
        <v>941</v>
      </c>
      <c r="E629" t="s">
        <v>34</v>
      </c>
      <c r="F629" t="s">
        <v>35</v>
      </c>
      <c r="G629" t="s">
        <v>36</v>
      </c>
      <c r="H629" s="20" t="s">
        <v>953</v>
      </c>
      <c r="I629" t="s">
        <v>65</v>
      </c>
      <c r="J629" s="30">
        <v>900</v>
      </c>
      <c r="K629" s="22">
        <f>IF(I629="","",IF(I629="ENTRADA",ABS(J629),-ABS(J629)))</f>
        <v>-900</v>
      </c>
      <c r="L629" t="s">
        <v>37</v>
      </c>
      <c r="N629">
        <v>65212</v>
      </c>
      <c r="O629" t="s">
        <v>382</v>
      </c>
      <c r="P629">
        <v>1941</v>
      </c>
      <c r="Q629" s="47">
        <v>46288</v>
      </c>
      <c r="R629" s="22" t="str">
        <f>IF(H629="","",H629&amp;I629)</f>
        <v>260915-625SALIDA</v>
      </c>
      <c r="S629" s="22" t="str">
        <f>IF(C629="","",C629&amp;I629)</f>
        <v>yescaSALIDA</v>
      </c>
      <c r="T629" t="str">
        <f>IF(OR(C629="",I629&lt;&gt;"ENTRADA"),"",TEXT(B629,"AAMMDD")&amp;"-"&amp;TEXT(VALUE(SUBSTITUTE(A629,"MOV-","")),"000"))</f>
        <v/>
      </c>
    </row>
    <row r="630" spans="1:20" hidden="1">
      <c r="A630" s="20" t="s">
        <v>954</v>
      </c>
      <c r="B630" s="47">
        <v>46281</v>
      </c>
      <c r="C630" t="s">
        <v>130</v>
      </c>
      <c r="D630" t="s">
        <v>131</v>
      </c>
      <c r="E630" t="s">
        <v>132</v>
      </c>
      <c r="G630" t="s">
        <v>133</v>
      </c>
      <c r="H630" s="20" t="s">
        <v>221</v>
      </c>
      <c r="I630" t="s">
        <v>65</v>
      </c>
      <c r="J630" s="30">
        <v>45</v>
      </c>
      <c r="K630" s="22">
        <f>IF(I630="","",IF(I630="ENTRADA",ABS(J630),-ABS(J630)))</f>
        <v>-45</v>
      </c>
      <c r="L630" t="s">
        <v>37</v>
      </c>
      <c r="N630">
        <v>65212</v>
      </c>
      <c r="O630" t="s">
        <v>382</v>
      </c>
      <c r="P630">
        <v>1941</v>
      </c>
      <c r="Q630" s="47">
        <v>46288</v>
      </c>
      <c r="R630" s="22" t="str">
        <f>IF(H630="","",H630&amp;I630)</f>
        <v>260414-029SALIDA</v>
      </c>
      <c r="S630" s="22" t="str">
        <f>IF(C630="","",C630&amp;I630)</f>
        <v>HarrierSALIDA</v>
      </c>
      <c r="T630" t="str">
        <f>IF(OR(C630="",I630&lt;&gt;"ENTRADA"),"",TEXT(B630,"AAMMDD")&amp;"-"&amp;TEXT(VALUE(SUBSTITUTE(A630,"MOV-","")),"000"))</f>
        <v/>
      </c>
    </row>
    <row r="631" spans="1:20" hidden="1">
      <c r="A631" s="20" t="s">
        <v>955</v>
      </c>
      <c r="B631" s="47">
        <v>46281</v>
      </c>
      <c r="C631" t="s">
        <v>137</v>
      </c>
      <c r="D631" t="s">
        <v>138</v>
      </c>
      <c r="E631" t="s">
        <v>132</v>
      </c>
      <c r="G631" t="s">
        <v>133</v>
      </c>
      <c r="H631" s="20" t="s">
        <v>211</v>
      </c>
      <c r="I631" t="s">
        <v>65</v>
      </c>
      <c r="J631" s="30">
        <v>8</v>
      </c>
      <c r="K631" s="22">
        <f>IF(I631="","",IF(I631="ENTRADA",ABS(J631),-ABS(J631)))</f>
        <v>-8</v>
      </c>
      <c r="L631" t="s">
        <v>37</v>
      </c>
      <c r="N631">
        <v>65212</v>
      </c>
      <c r="O631" t="s">
        <v>382</v>
      </c>
      <c r="P631">
        <v>1941</v>
      </c>
      <c r="Q631" s="47">
        <v>46288</v>
      </c>
      <c r="R631" s="22" t="str">
        <f>IF(H631="","",H631&amp;I631)</f>
        <v>260414-030SALIDA</v>
      </c>
      <c r="S631" s="22" t="str">
        <f>IF(C631="","",C631&amp;I631)</f>
        <v>Full controlSALIDA</v>
      </c>
      <c r="T631" t="str">
        <f>IF(OR(C631="",I631&lt;&gt;"ENTRADA"),"",TEXT(B631,"AAMMDD")&amp;"-"&amp;TEXT(VALUE(SUBSTITUTE(A631,"MOV-","")),"000"))</f>
        <v/>
      </c>
    </row>
    <row r="632" spans="1:20" hidden="1">
      <c r="A632" s="20" t="s">
        <v>956</v>
      </c>
      <c r="B632" s="47">
        <v>46281</v>
      </c>
      <c r="C632" t="s">
        <v>137</v>
      </c>
      <c r="D632" t="s">
        <v>138</v>
      </c>
      <c r="E632" t="s">
        <v>132</v>
      </c>
      <c r="G632" t="s">
        <v>133</v>
      </c>
      <c r="H632" s="20" t="s">
        <v>211</v>
      </c>
      <c r="I632" t="s">
        <v>65</v>
      </c>
      <c r="J632" s="30">
        <v>210</v>
      </c>
      <c r="K632" s="22">
        <f>IF(I632="","",IF(I632="ENTRADA",ABS(J632),-ABS(J632)))</f>
        <v>-210</v>
      </c>
      <c r="L632" t="s">
        <v>37</v>
      </c>
      <c r="N632">
        <v>65213</v>
      </c>
      <c r="O632" t="s">
        <v>213</v>
      </c>
      <c r="P632">
        <v>1942</v>
      </c>
      <c r="Q632" s="47">
        <v>46289</v>
      </c>
      <c r="R632" s="22" t="str">
        <f>IF(H632="","",H632&amp;I632)</f>
        <v>260414-030SALIDA</v>
      </c>
      <c r="S632" s="22" t="str">
        <f>IF(C632="","",C632&amp;I632)</f>
        <v>Full controlSALIDA</v>
      </c>
      <c r="T632" t="str">
        <f>IF(OR(C632="",I632&lt;&gt;"ENTRADA"),"",TEXT(B632,"AAMMDD")&amp;"-"&amp;TEXT(VALUE(SUBSTITUTE(A632,"MOV-","")),"000"))</f>
        <v/>
      </c>
    </row>
    <row r="633" spans="1:20" hidden="1">
      <c r="A633" s="20" t="s">
        <v>957</v>
      </c>
      <c r="B633" s="47">
        <v>46281</v>
      </c>
      <c r="C633" t="s">
        <v>130</v>
      </c>
      <c r="D633" t="s">
        <v>131</v>
      </c>
      <c r="E633" t="s">
        <v>132</v>
      </c>
      <c r="G633" t="s">
        <v>133</v>
      </c>
      <c r="H633" s="20" t="s">
        <v>221</v>
      </c>
      <c r="I633" t="s">
        <v>65</v>
      </c>
      <c r="J633" s="30">
        <v>200</v>
      </c>
      <c r="K633" s="22">
        <f>IF(I633="","",IF(I633="ENTRADA",ABS(J633),-ABS(J633)))</f>
        <v>-200</v>
      </c>
      <c r="L633" t="s">
        <v>37</v>
      </c>
      <c r="N633">
        <v>65213</v>
      </c>
      <c r="O633" t="s">
        <v>213</v>
      </c>
      <c r="P633">
        <v>1942</v>
      </c>
      <c r="Q633" s="47">
        <v>46289</v>
      </c>
      <c r="R633" s="22" t="str">
        <f>IF(H633="","",H633&amp;I633)</f>
        <v>260414-029SALIDA</v>
      </c>
      <c r="S633" s="22" t="str">
        <f>IF(C633="","",C633&amp;I633)</f>
        <v>HarrierSALIDA</v>
      </c>
      <c r="T633" t="str">
        <f>IF(OR(C633="",I633&lt;&gt;"ENTRADA"),"",TEXT(B633,"AAMMDD")&amp;"-"&amp;TEXT(VALUE(SUBSTITUTE(A633,"MOV-","")),"000"))</f>
        <v/>
      </c>
    </row>
    <row r="634" spans="1:20" hidden="1">
      <c r="A634" s="20" t="s">
        <v>958</v>
      </c>
      <c r="B634" s="47">
        <v>46282</v>
      </c>
      <c r="C634" t="s">
        <v>44</v>
      </c>
      <c r="D634" t="s">
        <v>63</v>
      </c>
      <c r="E634" t="s">
        <v>34</v>
      </c>
      <c r="F634" t="s">
        <v>46</v>
      </c>
      <c r="G634" t="s">
        <v>36</v>
      </c>
      <c r="H634" s="20" t="s">
        <v>64</v>
      </c>
      <c r="I634" t="s">
        <v>65</v>
      </c>
      <c r="J634" s="30">
        <v>25</v>
      </c>
      <c r="K634" s="22">
        <f>IF(I634="","",IF(I634="ENTRADA",ABS(J634),-ABS(J634)))</f>
        <v>-25</v>
      </c>
      <c r="L634" t="s">
        <v>37</v>
      </c>
      <c r="N634">
        <v>65214</v>
      </c>
      <c r="O634" t="s">
        <v>218</v>
      </c>
      <c r="P634">
        <v>1944</v>
      </c>
      <c r="Q634" s="47">
        <v>46293</v>
      </c>
      <c r="R634" s="22" t="str">
        <f>IF(H634="","",H634&amp;I634)</f>
        <v>260401-004SALIDA</v>
      </c>
      <c r="S634" s="22" t="str">
        <f>IF(C634="","",C634&amp;I634)</f>
        <v>PresideSALIDA</v>
      </c>
      <c r="T634" t="str">
        <f>IF(OR(C634="",I634&lt;&gt;"ENTRADA"),"",TEXT(B634,"AAMMDD")&amp;"-"&amp;TEXT(VALUE(SUBSTITUTE(A634,"MOV-","")),"000"))</f>
        <v/>
      </c>
    </row>
    <row r="635" spans="1:20" hidden="1">
      <c r="A635" s="20" t="s">
        <v>959</v>
      </c>
      <c r="B635" s="47">
        <v>46282</v>
      </c>
      <c r="C635" t="s">
        <v>59</v>
      </c>
      <c r="D635" t="s">
        <v>60</v>
      </c>
      <c r="E635" t="s">
        <v>34</v>
      </c>
      <c r="F635" t="s">
        <v>35</v>
      </c>
      <c r="H635" s="20" t="s">
        <v>68</v>
      </c>
      <c r="I635" t="s">
        <v>65</v>
      </c>
      <c r="J635" s="30">
        <v>50</v>
      </c>
      <c r="K635" s="22">
        <f>IF(I635="","",IF(I635="ENTRADA",ABS(J635),-ABS(J635)))</f>
        <v>-50</v>
      </c>
      <c r="L635" t="s">
        <v>37</v>
      </c>
      <c r="N635">
        <v>65214</v>
      </c>
      <c r="O635" t="s">
        <v>218</v>
      </c>
      <c r="P635">
        <v>1944</v>
      </c>
      <c r="Q635" s="47">
        <v>46293</v>
      </c>
      <c r="R635" s="22" t="str">
        <f>IF(H635="","",H635&amp;I635)</f>
        <v>260401-008SALIDA</v>
      </c>
      <c r="S635" s="22" t="str">
        <f>IF(C635="","",C635&amp;I635)</f>
        <v>Venceweed extraSALIDA</v>
      </c>
      <c r="T635" t="str">
        <f>IF(OR(C635="",I635&lt;&gt;"ENTRADA"),"",TEXT(B635,"AAMMDD")&amp;"-"&amp;TEXT(VALUE(SUBSTITUTE(A635,"MOV-","")),"000"))</f>
        <v/>
      </c>
    </row>
    <row r="636" spans="1:20" hidden="1">
      <c r="A636" s="20" t="s">
        <v>960</v>
      </c>
      <c r="B636" s="47">
        <v>46282</v>
      </c>
      <c r="C636" t="s">
        <v>90</v>
      </c>
      <c r="D636" t="s">
        <v>91</v>
      </c>
      <c r="E636" t="s">
        <v>34</v>
      </c>
      <c r="F636" t="s">
        <v>35</v>
      </c>
      <c r="G636" t="s">
        <v>36</v>
      </c>
      <c r="H636" s="20" t="s">
        <v>375</v>
      </c>
      <c r="I636" t="s">
        <v>65</v>
      </c>
      <c r="J636" s="30">
        <v>25</v>
      </c>
      <c r="K636" s="22">
        <f>IF(I636="","",IF(I636="ENTRADA",ABS(J636),-ABS(J636)))</f>
        <v>-25</v>
      </c>
      <c r="L636" t="s">
        <v>37</v>
      </c>
      <c r="N636">
        <v>65214</v>
      </c>
      <c r="O636" t="s">
        <v>218</v>
      </c>
      <c r="P636">
        <v>1944</v>
      </c>
      <c r="Q636" s="47">
        <v>46293</v>
      </c>
      <c r="R636" s="22" t="str">
        <f>IF(H636="","",H636&amp;I636)</f>
        <v>260405-132SALIDA</v>
      </c>
      <c r="S636" s="22" t="str">
        <f>IF(C636="","",C636&amp;I636)</f>
        <v>PixxaroSALIDA</v>
      </c>
      <c r="T636" t="str">
        <f>IF(OR(C636="",I636&lt;&gt;"ENTRADA"),"",TEXT(B636,"AAMMDD")&amp;"-"&amp;TEXT(VALUE(SUBSTITUTE(A636,"MOV-","")),"000"))</f>
        <v/>
      </c>
    </row>
    <row r="637" spans="1:20" hidden="1">
      <c r="A637" s="20" t="s">
        <v>961</v>
      </c>
      <c r="B637" s="47">
        <v>46281</v>
      </c>
      <c r="C637" s="34" t="s">
        <v>634</v>
      </c>
      <c r="D637" s="34" t="s">
        <v>630</v>
      </c>
      <c r="E637" s="34" t="s">
        <v>25</v>
      </c>
      <c r="F637" s="34" t="s">
        <v>631</v>
      </c>
      <c r="G637" s="34" t="s">
        <v>158</v>
      </c>
      <c r="H637" s="20" t="s">
        <v>824</v>
      </c>
      <c r="I637" s="34" t="s">
        <v>65</v>
      </c>
      <c r="J637" s="30">
        <v>1</v>
      </c>
      <c r="K637" s="22">
        <f>IF(I637="","",IF(I637="ENTRADA",ABS(J637),-ABS(J637)))</f>
        <v>-1</v>
      </c>
      <c r="L637" s="34" t="s">
        <v>632</v>
      </c>
      <c r="M637" s="34"/>
      <c r="N637">
        <v>65215</v>
      </c>
      <c r="O637" s="34" t="s">
        <v>382</v>
      </c>
      <c r="P637" s="34">
        <v>1945</v>
      </c>
      <c r="Q637" s="35">
        <v>46293</v>
      </c>
      <c r="R637" s="22" t="str">
        <f>IF(H637="","",H637&amp;I637)</f>
        <v>260617-374SALIDA</v>
      </c>
      <c r="S637" s="22" t="str">
        <f>IF(C637="","",C637&amp;I637)</f>
        <v>semilla maiz DK 72-10 RR2C5 refugioSALIDA</v>
      </c>
      <c r="T637" t="str">
        <f>IF(OR(C637="",I637&lt;&gt;"ENTRADA"),"",TEXT(B637,"AAMMDD")&amp;"-"&amp;TEXT(VALUE(SUBSTITUTE(A637,"MOV-","")),"000"))</f>
        <v/>
      </c>
    </row>
    <row r="638" spans="1:20" hidden="1">
      <c r="A638" s="20" t="s">
        <v>962</v>
      </c>
      <c r="B638" s="47">
        <v>46283</v>
      </c>
      <c r="C638" t="s">
        <v>514</v>
      </c>
      <c r="D638" t="s">
        <v>515</v>
      </c>
      <c r="E638" t="s">
        <v>516</v>
      </c>
      <c r="G638" t="s">
        <v>117</v>
      </c>
      <c r="H638" s="20" t="s">
        <v>664</v>
      </c>
      <c r="I638" t="s">
        <v>65</v>
      </c>
      <c r="J638" s="30">
        <v>190</v>
      </c>
      <c r="K638" s="22">
        <f>IF(I638="","",IF(I638="ENTRADA",ABS(J638),-ABS(J638)))</f>
        <v>-190</v>
      </c>
      <c r="L638" t="s">
        <v>37</v>
      </c>
      <c r="N638">
        <v>65217</v>
      </c>
      <c r="O638" t="s">
        <v>218</v>
      </c>
      <c r="P638">
        <v>1943</v>
      </c>
      <c r="Q638" s="35">
        <v>46293</v>
      </c>
      <c r="R638" s="22" t="str">
        <f>IF(H638="","",H638&amp;I638)</f>
        <v>260730-396SALIDA</v>
      </c>
      <c r="S638" s="22" t="str">
        <f>IF(C638="","",C638&amp;I638)</f>
        <v>Unico MaxSALIDA</v>
      </c>
      <c r="T638" t="str">
        <f>IF(OR(C638="",I638&lt;&gt;"ENTRADA"),"",TEXT(B638,"AAMMDD")&amp;"-"&amp;TEXT(VALUE(SUBSTITUTE(A638,"MOV-","")),"000"))</f>
        <v/>
      </c>
    </row>
    <row r="639" spans="1:20" hidden="1">
      <c r="A639" s="20" t="s">
        <v>963</v>
      </c>
      <c r="B639" s="47">
        <v>46283</v>
      </c>
      <c r="C639" t="s">
        <v>629</v>
      </c>
      <c r="D639" t="s">
        <v>630</v>
      </c>
      <c r="E639" t="s">
        <v>25</v>
      </c>
      <c r="F639" t="s">
        <v>631</v>
      </c>
      <c r="G639" t="s">
        <v>158</v>
      </c>
      <c r="H639" s="20" t="s">
        <v>947</v>
      </c>
      <c r="I639" t="s">
        <v>28</v>
      </c>
      <c r="J639" s="30">
        <v>215</v>
      </c>
      <c r="K639" s="22">
        <f>IF(I639="","",IF(I639="ENTRADA",ABS(J639),-ABS(J639)))</f>
        <v>215</v>
      </c>
      <c r="L639" t="s">
        <v>632</v>
      </c>
      <c r="N639">
        <v>36037</v>
      </c>
      <c r="P639">
        <v>15203</v>
      </c>
      <c r="Q639" s="35">
        <v>46293</v>
      </c>
      <c r="R639" s="22" t="str">
        <f>IF(H639="","",H639&amp;I639)</f>
        <v>260917-627ENTRADA</v>
      </c>
      <c r="S639" s="22" t="str">
        <f>IF(C639="","",C639&amp;I639)</f>
        <v>semilla maiz DK 69-62 TREENTRADA</v>
      </c>
      <c r="T639" t="str">
        <f>IF(OR(C639="",I639&lt;&gt;"ENTRADA"),"",TEXT(B639,"AAMMDD")&amp;"-"&amp;TEXT(VALUE(SUBSTITUTE(A639,"MOV-","")),"000"))</f>
        <v>260918-641</v>
      </c>
    </row>
    <row r="640" spans="1:20" hidden="1">
      <c r="A640" s="20" t="s">
        <v>964</v>
      </c>
      <c r="B640" s="47">
        <v>46283</v>
      </c>
      <c r="C640" t="s">
        <v>636</v>
      </c>
      <c r="D640" t="s">
        <v>630</v>
      </c>
      <c r="E640" t="s">
        <v>25</v>
      </c>
      <c r="F640" t="s">
        <v>631</v>
      </c>
      <c r="G640" t="s">
        <v>158</v>
      </c>
      <c r="H640" s="20" t="s">
        <v>965</v>
      </c>
      <c r="I640" t="s">
        <v>28</v>
      </c>
      <c r="J640" s="30">
        <v>168</v>
      </c>
      <c r="K640" s="22">
        <f>IF(I640="","",IF(I640="ENTRADA",ABS(J640),-ABS(J640)))</f>
        <v>168</v>
      </c>
      <c r="L640" t="s">
        <v>632</v>
      </c>
      <c r="N640">
        <v>36044</v>
      </c>
      <c r="P640">
        <v>15201</v>
      </c>
      <c r="Q640" s="35">
        <v>46293</v>
      </c>
      <c r="R640" s="22" t="str">
        <f>IF(H640="","",H640&amp;I640)</f>
        <v>260617-375ENTRADA</v>
      </c>
      <c r="S640" s="22" t="str">
        <f>IF(C640="","",C640&amp;I640)</f>
        <v>semilla maiz DK 73-03 TREENTRADA</v>
      </c>
      <c r="T640" t="str">
        <f>IF(OR(C640="",I640&lt;&gt;"ENTRADA"),"",TEXT(B640,"AAMMDD")&amp;"-"&amp;TEXT(VALUE(SUBSTITUTE(A640,"MOV-","")),"000"))</f>
        <v>260918-642</v>
      </c>
    </row>
    <row r="641" spans="1:20" hidden="1">
      <c r="A641" s="20" t="s">
        <v>966</v>
      </c>
      <c r="B641" s="47">
        <v>46283</v>
      </c>
      <c r="C641" t="s">
        <v>629</v>
      </c>
      <c r="D641" t="s">
        <v>630</v>
      </c>
      <c r="E641" t="s">
        <v>25</v>
      </c>
      <c r="F641" t="s">
        <v>631</v>
      </c>
      <c r="G641" t="s">
        <v>158</v>
      </c>
      <c r="H641" s="20" t="s">
        <v>947</v>
      </c>
      <c r="I641" t="s">
        <v>28</v>
      </c>
      <c r="J641" s="30">
        <v>78</v>
      </c>
      <c r="K641" s="22">
        <f>IF(I641="","",IF(I641="ENTRADA",ABS(J641),-ABS(J641)))</f>
        <v>78</v>
      </c>
      <c r="L641" t="s">
        <v>632</v>
      </c>
      <c r="N641">
        <v>36044</v>
      </c>
      <c r="P641">
        <v>15201</v>
      </c>
      <c r="Q641" s="35">
        <v>46293</v>
      </c>
      <c r="R641" s="22" t="str">
        <f>IF(H641="","",H641&amp;I641)</f>
        <v>260917-627ENTRADA</v>
      </c>
      <c r="S641" s="22" t="str">
        <f>IF(C641="","",C641&amp;I641)</f>
        <v>semilla maiz DK 69-62 TREENTRADA</v>
      </c>
      <c r="T641" t="str">
        <f>IF(OR(C641="",I641&lt;&gt;"ENTRADA"),"",TEXT(B641,"AAMMDD")&amp;"-"&amp;TEXT(VALUE(SUBSTITUTE(A641,"MOV-","")),"000"))</f>
        <v>260918-643</v>
      </c>
    </row>
    <row r="642" spans="1:20" hidden="1">
      <c r="A642" s="20" t="s">
        <v>967</v>
      </c>
      <c r="B642" s="47">
        <v>46283</v>
      </c>
      <c r="C642" t="s">
        <v>769</v>
      </c>
      <c r="D642" t="s">
        <v>770</v>
      </c>
      <c r="E642" t="s">
        <v>34</v>
      </c>
      <c r="F642" t="s">
        <v>35</v>
      </c>
      <c r="G642" t="s">
        <v>771</v>
      </c>
      <c r="H642" s="20" t="s">
        <v>829</v>
      </c>
      <c r="I642" t="s">
        <v>65</v>
      </c>
      <c r="J642" s="30">
        <v>80</v>
      </c>
      <c r="K642" s="22">
        <f>IF(I642="","",IF(I642="ENTRADA",ABS(J642),-ABS(J642)))</f>
        <v>-80</v>
      </c>
      <c r="L642" t="s">
        <v>385</v>
      </c>
      <c r="N642">
        <v>65218</v>
      </c>
      <c r="O642" t="s">
        <v>213</v>
      </c>
      <c r="P642">
        <v>1946</v>
      </c>
      <c r="Q642" s="35">
        <v>46293</v>
      </c>
      <c r="R642" s="22" t="str">
        <f>IF(H642="","",H642&amp;I642)</f>
        <v>260826-484SALIDA</v>
      </c>
      <c r="S642" s="22" t="str">
        <f>IF(C642="","",C642&amp;I642)</f>
        <v>Paraquat SALIDA</v>
      </c>
      <c r="T642" t="str">
        <f>IF(OR(C642="",I642&lt;&gt;"ENTRADA"),"",TEXT(B642,"AAMMDD")&amp;"-"&amp;TEXT(VALUE(SUBSTITUTE(A642,"MOV-","")),"000"))</f>
        <v/>
      </c>
    </row>
    <row r="643" spans="1:20" hidden="1">
      <c r="A643" s="20" t="s">
        <v>968</v>
      </c>
      <c r="B643" s="47">
        <v>46283</v>
      </c>
      <c r="C643" t="s">
        <v>943</v>
      </c>
      <c r="D643" t="s">
        <v>944</v>
      </c>
      <c r="E643" t="s">
        <v>516</v>
      </c>
      <c r="G643" t="s">
        <v>777</v>
      </c>
      <c r="H643" s="20" t="s">
        <v>969</v>
      </c>
      <c r="I643" t="s">
        <v>65</v>
      </c>
      <c r="J643" s="30">
        <v>24</v>
      </c>
      <c r="K643" s="22">
        <f>IF(I643="","",IF(I643="ENTRADA",ABS(J643),-ABS(J643)))</f>
        <v>-24</v>
      </c>
      <c r="L643" t="s">
        <v>56</v>
      </c>
      <c r="N643">
        <v>65218</v>
      </c>
      <c r="O643" t="s">
        <v>213</v>
      </c>
      <c r="P643">
        <v>1946</v>
      </c>
      <c r="Q643" s="35">
        <v>46293</v>
      </c>
      <c r="R643" s="22" t="str">
        <f>IF(H643="","",H643&amp;I643)</f>
        <v>260917-626SALIDA</v>
      </c>
      <c r="S643" s="22" t="str">
        <f>IF(C643="","",C643&amp;I643)</f>
        <v>Miravis triple packSALIDA</v>
      </c>
      <c r="T643" t="str">
        <f>IF(OR(C643="",I643&lt;&gt;"ENTRADA"),"",TEXT(B643,"AAMMDD")&amp;"-"&amp;TEXT(VALUE(SUBSTITUTE(A643,"MOV-","")),"000"))</f>
        <v/>
      </c>
    </row>
    <row r="644" spans="1:20" hidden="1">
      <c r="A644" s="20" t="s">
        <v>970</v>
      </c>
      <c r="B644" s="47">
        <v>46286</v>
      </c>
      <c r="C644" t="s">
        <v>115</v>
      </c>
      <c r="D644" t="s">
        <v>116</v>
      </c>
      <c r="E644" t="s">
        <v>34</v>
      </c>
      <c r="F644" t="s">
        <v>35</v>
      </c>
      <c r="G644" t="s">
        <v>117</v>
      </c>
      <c r="H644" s="20" t="s">
        <v>971</v>
      </c>
      <c r="I644" t="s">
        <v>65</v>
      </c>
      <c r="J644" s="30">
        <v>820</v>
      </c>
      <c r="K644" s="22">
        <f>IF(I644="","",IF(I644="ENTRADA",ABS(J644),-ABS(J644)))</f>
        <v>-820</v>
      </c>
      <c r="L644" t="s">
        <v>37</v>
      </c>
      <c r="N644">
        <v>65226</v>
      </c>
      <c r="O644" t="s">
        <v>213</v>
      </c>
      <c r="P644">
        <v>1948</v>
      </c>
      <c r="Q644" s="47">
        <v>46294</v>
      </c>
      <c r="R644" s="22" t="str">
        <f>IF(H644="","",H644&amp;I644)</f>
        <v>260910-622SALIDA</v>
      </c>
      <c r="S644" s="22" t="str">
        <f>IF(C644="","",C644&amp;I644)</f>
        <v>AzukaSALIDA</v>
      </c>
      <c r="T644" t="str">
        <f>IF(OR(C644="",I644&lt;&gt;"ENTRADA"),"",TEXT(B644,"AAMMDD")&amp;"-"&amp;TEXT(VALUE(SUBSTITUTE(A644,"MOV-","")),"000"))</f>
        <v/>
      </c>
    </row>
    <row r="645" spans="1:20" hidden="1">
      <c r="A645" s="20" t="s">
        <v>972</v>
      </c>
      <c r="B645" s="47">
        <v>46286</v>
      </c>
      <c r="C645" t="s">
        <v>122</v>
      </c>
      <c r="D645" t="s">
        <v>123</v>
      </c>
      <c r="E645" t="s">
        <v>34</v>
      </c>
      <c r="F645" t="s">
        <v>35</v>
      </c>
      <c r="G645" t="s">
        <v>117</v>
      </c>
      <c r="H645" s="20" t="s">
        <v>938</v>
      </c>
      <c r="I645" t="s">
        <v>65</v>
      </c>
      <c r="J645" s="30">
        <v>110</v>
      </c>
      <c r="K645" s="22">
        <f>IF(I645="","",IF(I645="ENTRADA",ABS(J645),-ABS(J645)))</f>
        <v>-110</v>
      </c>
      <c r="L645" t="s">
        <v>37</v>
      </c>
      <c r="N645">
        <v>65226</v>
      </c>
      <c r="O645" t="s">
        <v>213</v>
      </c>
      <c r="P645">
        <v>1948</v>
      </c>
      <c r="Q645" s="47">
        <v>46294</v>
      </c>
      <c r="R645" s="22" t="str">
        <f>IF(H645="","",H645&amp;I645)</f>
        <v>260727-380SALIDA</v>
      </c>
      <c r="S645" s="22" t="str">
        <f>IF(C645="","",C645&amp;I645)</f>
        <v>PardoSALIDA</v>
      </c>
      <c r="T645" t="str">
        <f>IF(OR(C645="",I645&lt;&gt;"ENTRADA"),"",TEXT(B645,"AAMMDD")&amp;"-"&amp;TEXT(VALUE(SUBSTITUTE(A645,"MOV-","")),"000"))</f>
        <v/>
      </c>
    </row>
    <row r="646" spans="1:20" hidden="1">
      <c r="A646" s="20" t="s">
        <v>973</v>
      </c>
      <c r="B646" s="47">
        <v>46286</v>
      </c>
      <c r="C646" t="s">
        <v>130</v>
      </c>
      <c r="D646" t="s">
        <v>131</v>
      </c>
      <c r="E646" t="s">
        <v>132</v>
      </c>
      <c r="G646" t="s">
        <v>133</v>
      </c>
      <c r="H646" s="20" t="s">
        <v>221</v>
      </c>
      <c r="I646" t="s">
        <v>65</v>
      </c>
      <c r="J646" s="30">
        <v>30</v>
      </c>
      <c r="K646" s="22">
        <f>IF(I646="","",IF(I646="ENTRADA",ABS(J646),-ABS(J646)))</f>
        <v>-30</v>
      </c>
      <c r="L646" t="s">
        <v>37</v>
      </c>
      <c r="N646">
        <v>65226</v>
      </c>
      <c r="O646" t="s">
        <v>213</v>
      </c>
      <c r="P646">
        <v>1948</v>
      </c>
      <c r="Q646" s="47">
        <v>46294</v>
      </c>
      <c r="R646" s="22" t="str">
        <f>IF(H646="","",H646&amp;I646)</f>
        <v>260414-029SALIDA</v>
      </c>
      <c r="S646" s="22" t="str">
        <f>IF(C646="","",C646&amp;I646)</f>
        <v>HarrierSALIDA</v>
      </c>
      <c r="T646" t="str">
        <f>IF(OR(C646="",I646&lt;&gt;"ENTRADA"),"",TEXT(B646,"AAMMDD")&amp;"-"&amp;TEXT(VALUE(SUBSTITUTE(A646,"MOV-","")),"000"))</f>
        <v/>
      </c>
    </row>
    <row r="647" spans="1:20" hidden="1">
      <c r="A647" s="20" t="s">
        <v>974</v>
      </c>
      <c r="B647" s="47">
        <v>46286</v>
      </c>
      <c r="C647" t="s">
        <v>137</v>
      </c>
      <c r="D647" t="s">
        <v>138</v>
      </c>
      <c r="E647" t="s">
        <v>132</v>
      </c>
      <c r="G647" t="s">
        <v>133</v>
      </c>
      <c r="H647" s="20" t="s">
        <v>211</v>
      </c>
      <c r="I647" t="s">
        <v>65</v>
      </c>
      <c r="J647" s="30">
        <v>7</v>
      </c>
      <c r="K647" s="22">
        <f>IF(I647="","",IF(I647="ENTRADA",ABS(J647),-ABS(J647)))</f>
        <v>-7</v>
      </c>
      <c r="L647" t="s">
        <v>37</v>
      </c>
      <c r="N647">
        <v>65226</v>
      </c>
      <c r="O647" t="s">
        <v>213</v>
      </c>
      <c r="P647">
        <v>1948</v>
      </c>
      <c r="Q647" s="47">
        <v>46294</v>
      </c>
      <c r="R647" s="22" t="str">
        <f>IF(H647="","",H647&amp;I647)</f>
        <v>260414-030SALIDA</v>
      </c>
      <c r="S647" s="22" t="str">
        <f>IF(C647="","",C647&amp;I647)</f>
        <v>Full controlSALIDA</v>
      </c>
      <c r="T647" t="str">
        <f>IF(OR(C647="",I647&lt;&gt;"ENTRADA"),"",TEXT(B647,"AAMMDD")&amp;"-"&amp;TEXT(VALUE(SUBSTITUTE(A647,"MOV-","")),"000"))</f>
        <v/>
      </c>
    </row>
    <row r="648" spans="1:20" hidden="1">
      <c r="A648" s="20" t="s">
        <v>975</v>
      </c>
      <c r="B648" s="47">
        <v>46286</v>
      </c>
      <c r="C648" t="s">
        <v>629</v>
      </c>
      <c r="D648" s="34" t="s">
        <v>630</v>
      </c>
      <c r="E648" s="34" t="s">
        <v>25</v>
      </c>
      <c r="F648" s="34" t="s">
        <v>631</v>
      </c>
      <c r="G648" s="34" t="s">
        <v>158</v>
      </c>
      <c r="H648" s="20" t="s">
        <v>947</v>
      </c>
      <c r="I648" s="34" t="s">
        <v>65</v>
      </c>
      <c r="J648" s="30">
        <v>210</v>
      </c>
      <c r="K648" s="22">
        <f>IF(I648="","",IF(I648="ENTRADA",ABS(J648),-ABS(J648)))</f>
        <v>-210</v>
      </c>
      <c r="L648" s="34" t="s">
        <v>632</v>
      </c>
      <c r="M648" s="34"/>
      <c r="N648">
        <v>65227</v>
      </c>
      <c r="O648" s="34" t="s">
        <v>213</v>
      </c>
      <c r="P648" s="34">
        <v>1948</v>
      </c>
      <c r="Q648" s="47">
        <v>46294</v>
      </c>
      <c r="R648" s="22" t="str">
        <f>IF(H648="","",H648&amp;I648)</f>
        <v>260917-627SALIDA</v>
      </c>
      <c r="S648" s="22" t="str">
        <f>IF(C648="","",C648&amp;I648)</f>
        <v>semilla maiz DK 69-62 TRESALIDA</v>
      </c>
      <c r="T648" t="str">
        <f>IF(OR(C648="",I648&lt;&gt;"ENTRADA"),"",TEXT(B648,"AAMMDD")&amp;"-"&amp;TEXT(VALUE(SUBSTITUTE(A648,"MOV-","")),"000"))</f>
        <v/>
      </c>
    </row>
    <row r="649" spans="1:20" hidden="1">
      <c r="A649" s="20" t="s">
        <v>976</v>
      </c>
      <c r="B649" s="47">
        <v>46286</v>
      </c>
      <c r="C649" t="s">
        <v>629</v>
      </c>
      <c r="D649" t="s">
        <v>630</v>
      </c>
      <c r="E649" t="s">
        <v>25</v>
      </c>
      <c r="F649" t="s">
        <v>631</v>
      </c>
      <c r="G649" t="s">
        <v>158</v>
      </c>
      <c r="H649" s="20" t="s">
        <v>947</v>
      </c>
      <c r="I649" t="s">
        <v>28</v>
      </c>
      <c r="J649" s="30">
        <v>9</v>
      </c>
      <c r="K649" s="22">
        <f>IF(I649="","",IF(I649="ENTRADA",ABS(J649),-ABS(J649)))</f>
        <v>9</v>
      </c>
      <c r="L649" t="s">
        <v>632</v>
      </c>
      <c r="N649">
        <v>36105</v>
      </c>
      <c r="P649">
        <v>15200</v>
      </c>
      <c r="Q649" s="47">
        <v>46293</v>
      </c>
      <c r="R649" s="22" t="str">
        <f>IF(H649="","",H649&amp;I649)</f>
        <v>260917-627ENTRADA</v>
      </c>
      <c r="S649" s="22" t="str">
        <f>IF(C649="","",C649&amp;I649)</f>
        <v>semilla maiz DK 69-62 TREENTRADA</v>
      </c>
      <c r="T649" t="str">
        <f>IF(OR(C649="",I649&lt;&gt;"ENTRADA"),"",TEXT(B649,"AAMMDD")&amp;"-"&amp;TEXT(VALUE(SUBSTITUTE(A649,"MOV-","")),"000"))</f>
        <v>260921-651</v>
      </c>
    </row>
    <row r="650" spans="1:20" hidden="1">
      <c r="A650" s="20" t="s">
        <v>977</v>
      </c>
      <c r="B650" s="47">
        <v>46286</v>
      </c>
      <c r="C650" t="s">
        <v>636</v>
      </c>
      <c r="D650" t="s">
        <v>630</v>
      </c>
      <c r="E650" t="s">
        <v>25</v>
      </c>
      <c r="F650" t="s">
        <v>631</v>
      </c>
      <c r="G650" t="s">
        <v>158</v>
      </c>
      <c r="H650" s="20" t="s">
        <v>965</v>
      </c>
      <c r="I650" t="s">
        <v>28</v>
      </c>
      <c r="J650" s="30">
        <v>211</v>
      </c>
      <c r="K650" s="22">
        <f>IF(I650="","",IF(I650="ENTRADA",ABS(J650),-ABS(J650)))</f>
        <v>211</v>
      </c>
      <c r="L650" t="s">
        <v>632</v>
      </c>
      <c r="N650">
        <v>36105</v>
      </c>
      <c r="P650">
        <v>15200</v>
      </c>
      <c r="Q650" s="47">
        <v>46293</v>
      </c>
      <c r="R650" s="22" t="str">
        <f>IF(H650="","",H650&amp;I650)</f>
        <v>260617-375ENTRADA</v>
      </c>
      <c r="S650" s="22" t="str">
        <f>IF(C650="","",C650&amp;I650)</f>
        <v>semilla maiz DK 73-03 TREENTRADA</v>
      </c>
      <c r="T650" t="str">
        <f>IF(OR(C650="",I650&lt;&gt;"ENTRADA"),"",TEXT(B650,"AAMMDD")&amp;"-"&amp;TEXT(VALUE(SUBSTITUTE(A650,"MOV-","")),"000"))</f>
        <v>260921-652</v>
      </c>
    </row>
    <row r="651" spans="1:20" hidden="1">
      <c r="A651" s="20" t="s">
        <v>978</v>
      </c>
      <c r="B651" s="47">
        <v>46287</v>
      </c>
      <c r="C651" t="s">
        <v>629</v>
      </c>
      <c r="D651" t="s">
        <v>630</v>
      </c>
      <c r="E651" t="s">
        <v>25</v>
      </c>
      <c r="F651" t="s">
        <v>631</v>
      </c>
      <c r="G651" t="s">
        <v>158</v>
      </c>
      <c r="H651" s="20" t="s">
        <v>947</v>
      </c>
      <c r="I651" t="s">
        <v>65</v>
      </c>
      <c r="J651" s="30">
        <v>10</v>
      </c>
      <c r="K651" s="22">
        <f>IF(I651="","",IF(I651="ENTRADA",ABS(J651),-ABS(J651)))</f>
        <v>-10</v>
      </c>
      <c r="L651" t="s">
        <v>632</v>
      </c>
      <c r="N651">
        <v>65222</v>
      </c>
      <c r="O651" t="s">
        <v>237</v>
      </c>
      <c r="P651">
        <v>1947</v>
      </c>
      <c r="Q651" s="47">
        <v>46293</v>
      </c>
      <c r="R651" s="22" t="str">
        <f>IF(H651="","",H651&amp;I651)</f>
        <v>260917-627SALIDA</v>
      </c>
      <c r="S651" s="22" t="str">
        <f>IF(C651="","",C651&amp;I651)</f>
        <v>semilla maiz DK 69-62 TRESALIDA</v>
      </c>
      <c r="T651" t="str">
        <f>IF(OR(C651="",I651&lt;&gt;"ENTRADA"),"",TEXT(B651,"AAMMDD")&amp;"-"&amp;TEXT(VALUE(SUBSTITUTE(A651,"MOV-","")),"000"))</f>
        <v/>
      </c>
    </row>
    <row r="652" spans="1:20" hidden="1">
      <c r="A652" s="20" t="s">
        <v>979</v>
      </c>
      <c r="B652" s="47">
        <v>46287</v>
      </c>
      <c r="C652" t="s">
        <v>950</v>
      </c>
      <c r="D652" t="s">
        <v>951</v>
      </c>
      <c r="E652" t="s">
        <v>25</v>
      </c>
      <c r="F652" t="s">
        <v>631</v>
      </c>
      <c r="G652" t="s">
        <v>158</v>
      </c>
      <c r="H652" s="20" t="s">
        <v>980</v>
      </c>
      <c r="I652" t="s">
        <v>65</v>
      </c>
      <c r="J652" s="30">
        <v>10</v>
      </c>
      <c r="K652" s="22">
        <f>IF(I652="","",IF(I652="ENTRADA",ABS(J652),-ABS(J652)))</f>
        <v>-10</v>
      </c>
      <c r="L652" t="s">
        <v>632</v>
      </c>
      <c r="N652">
        <v>65222</v>
      </c>
      <c r="O652" t="s">
        <v>237</v>
      </c>
      <c r="P652">
        <v>1947</v>
      </c>
      <c r="Q652" s="47">
        <v>46293</v>
      </c>
      <c r="R652" s="22" t="str">
        <f>IF(H652="","",H652&amp;I652)</f>
        <v>260918-630SALIDA</v>
      </c>
      <c r="S652" s="22" t="str">
        <f>IF(C652="","",C652&amp;I652)</f>
        <v>refugio dk 72-72 RR2SALIDA</v>
      </c>
      <c r="T652" t="str">
        <f>IF(OR(C652="",I652&lt;&gt;"ENTRADA"),"",TEXT(B652,"AAMMDD")&amp;"-"&amp;TEXT(VALUE(SUBSTITUTE(A652,"MOV-","")),"000"))</f>
        <v/>
      </c>
    </row>
    <row r="653" spans="1:20" hidden="1">
      <c r="A653" s="20" t="s">
        <v>981</v>
      </c>
      <c r="B653" s="47">
        <v>46287</v>
      </c>
      <c r="C653" t="s">
        <v>141</v>
      </c>
      <c r="D653" t="s">
        <v>142</v>
      </c>
      <c r="E653" t="s">
        <v>132</v>
      </c>
      <c r="G653" t="s">
        <v>133</v>
      </c>
      <c r="H653" s="20" t="s">
        <v>748</v>
      </c>
      <c r="I653" t="s">
        <v>65</v>
      </c>
      <c r="J653" s="30">
        <v>15</v>
      </c>
      <c r="K653" s="22">
        <f>IF(I653="","",IF(I653="ENTRADA",ABS(J653),-ABS(J653)))</f>
        <v>-15</v>
      </c>
      <c r="L653" t="s">
        <v>37</v>
      </c>
      <c r="N653">
        <v>65222</v>
      </c>
      <c r="O653" t="s">
        <v>237</v>
      </c>
      <c r="P653">
        <v>1947</v>
      </c>
      <c r="Q653" s="47">
        <v>46293</v>
      </c>
      <c r="R653" s="22" t="str">
        <f>IF(H653="","",H653&amp;I653)</f>
        <v>260827-473SALIDA</v>
      </c>
      <c r="S653" s="22" t="str">
        <f>IF(C653="","",C653&amp;I653)</f>
        <v>Maxi DropSALIDA</v>
      </c>
      <c r="T653" t="str">
        <f>IF(OR(C653="",I653&lt;&gt;"ENTRADA"),"",TEXT(B653,"AAMMDD")&amp;"-"&amp;TEXT(VALUE(SUBSTITUTE(A653,"MOV-","")),"000"))</f>
        <v/>
      </c>
    </row>
    <row r="654" spans="1:20" hidden="1">
      <c r="A654" s="20" t="s">
        <v>982</v>
      </c>
      <c r="B654" s="47">
        <v>46287</v>
      </c>
      <c r="C654" t="s">
        <v>130</v>
      </c>
      <c r="D654" t="s">
        <v>131</v>
      </c>
      <c r="E654" t="s">
        <v>132</v>
      </c>
      <c r="G654" t="s">
        <v>133</v>
      </c>
      <c r="H654" s="20" t="s">
        <v>221</v>
      </c>
      <c r="I654" t="s">
        <v>65</v>
      </c>
      <c r="J654" s="30">
        <v>80</v>
      </c>
      <c r="K654" s="22">
        <f>IF(I654="","",IF(I654="ENTRADA",ABS(J654),-ABS(J654)))</f>
        <v>-80</v>
      </c>
      <c r="L654" t="s">
        <v>37</v>
      </c>
      <c r="N654">
        <v>65222</v>
      </c>
      <c r="O654" t="s">
        <v>237</v>
      </c>
      <c r="P654">
        <v>1947</v>
      </c>
      <c r="Q654" s="47">
        <v>46293</v>
      </c>
      <c r="R654" s="22" t="str">
        <f>IF(H654="","",H654&amp;I654)</f>
        <v>260414-029SALIDA</v>
      </c>
      <c r="S654" s="22" t="str">
        <f>IF(C654="","",C654&amp;I654)</f>
        <v>HarrierSALIDA</v>
      </c>
      <c r="T654" t="str">
        <f>IF(OR(C654="",I654&lt;&gt;"ENTRADA"),"",TEXT(B654,"AAMMDD")&amp;"-"&amp;TEXT(VALUE(SUBSTITUTE(A654,"MOV-","")),"000"))</f>
        <v/>
      </c>
    </row>
    <row r="655" spans="1:20" hidden="1">
      <c r="A655" s="20" t="s">
        <v>983</v>
      </c>
      <c r="B655" s="47">
        <v>46287</v>
      </c>
      <c r="C655" t="s">
        <v>137</v>
      </c>
      <c r="D655" t="s">
        <v>138</v>
      </c>
      <c r="E655" t="s">
        <v>132</v>
      </c>
      <c r="G655" t="s">
        <v>133</v>
      </c>
      <c r="H655" s="20" t="s">
        <v>211</v>
      </c>
      <c r="I655" t="s">
        <v>65</v>
      </c>
      <c r="J655" s="30">
        <v>15</v>
      </c>
      <c r="K655" s="22">
        <f>IF(I655="","",IF(I655="ENTRADA",ABS(J655),-ABS(J655)))</f>
        <v>-15</v>
      </c>
      <c r="L655" t="s">
        <v>37</v>
      </c>
      <c r="N655">
        <v>65222</v>
      </c>
      <c r="O655" t="s">
        <v>237</v>
      </c>
      <c r="P655">
        <v>1947</v>
      </c>
      <c r="Q655" s="47">
        <v>46293</v>
      </c>
      <c r="R655" s="22" t="str">
        <f>IF(H655="","",H655&amp;I655)</f>
        <v>260414-030SALIDA</v>
      </c>
      <c r="S655" s="22" t="str">
        <f>IF(C655="","",C655&amp;I655)</f>
        <v>Full controlSALIDA</v>
      </c>
      <c r="T655" t="str">
        <f>IF(OR(C655="",I655&lt;&gt;"ENTRADA"),"",TEXT(B655,"AAMMDD")&amp;"-"&amp;TEXT(VALUE(SUBSTITUTE(A655,"MOV-","")),"000"))</f>
        <v/>
      </c>
    </row>
    <row r="656" spans="1:20" hidden="1">
      <c r="A656" s="20" t="s">
        <v>984</v>
      </c>
      <c r="B656" s="47">
        <v>46287</v>
      </c>
      <c r="C656" t="s">
        <v>115</v>
      </c>
      <c r="D656" t="s">
        <v>116</v>
      </c>
      <c r="E656" t="s">
        <v>34</v>
      </c>
      <c r="F656" t="s">
        <v>35</v>
      </c>
      <c r="G656" t="s">
        <v>117</v>
      </c>
      <c r="H656" s="20" t="s">
        <v>971</v>
      </c>
      <c r="I656" t="s">
        <v>65</v>
      </c>
      <c r="J656" s="30">
        <v>2300</v>
      </c>
      <c r="K656" s="22">
        <f>IF(I656="","",IF(I656="ENTRADA",ABS(J656),-ABS(J656)))</f>
        <v>-2300</v>
      </c>
      <c r="L656" t="s">
        <v>37</v>
      </c>
      <c r="N656">
        <v>65224</v>
      </c>
      <c r="O656" t="s">
        <v>387</v>
      </c>
      <c r="P656">
        <v>1951</v>
      </c>
      <c r="Q656" s="47">
        <v>46294</v>
      </c>
      <c r="R656" s="22" t="str">
        <f>IF(H656="","",H656&amp;I656)</f>
        <v>260910-622SALIDA</v>
      </c>
      <c r="S656" s="22" t="str">
        <f>IF(C656="","",C656&amp;I656)</f>
        <v>AzukaSALIDA</v>
      </c>
      <c r="T656" t="str">
        <f>IF(OR(C656="",I656&lt;&gt;"ENTRADA"),"",TEXT(B656,"AAMMDD")&amp;"-"&amp;TEXT(VALUE(SUBSTITUTE(A656,"MOV-","")),"000"))</f>
        <v/>
      </c>
    </row>
    <row r="657" spans="1:20" hidden="1">
      <c r="A657" s="20" t="s">
        <v>985</v>
      </c>
      <c r="B657" s="47">
        <v>46287</v>
      </c>
      <c r="C657" t="s">
        <v>940</v>
      </c>
      <c r="D657" t="s">
        <v>941</v>
      </c>
      <c r="E657" t="s">
        <v>34</v>
      </c>
      <c r="F657" t="s">
        <v>35</v>
      </c>
      <c r="G657" t="s">
        <v>36</v>
      </c>
      <c r="H657" s="20" t="s">
        <v>953</v>
      </c>
      <c r="I657" t="s">
        <v>65</v>
      </c>
      <c r="J657" s="30">
        <v>1900</v>
      </c>
      <c r="K657" s="22">
        <f>IF(I657="","",IF(I657="ENTRADA",ABS(J657),-ABS(J657)))</f>
        <v>-1900</v>
      </c>
      <c r="L657" t="s">
        <v>37</v>
      </c>
      <c r="N657">
        <v>65224</v>
      </c>
      <c r="O657" t="s">
        <v>387</v>
      </c>
      <c r="P657">
        <v>1951</v>
      </c>
      <c r="Q657" s="47">
        <v>46294</v>
      </c>
      <c r="R657" s="22" t="str">
        <f>IF(H657="","",H657&amp;I657)</f>
        <v>260915-625SALIDA</v>
      </c>
      <c r="S657" s="22" t="str">
        <f>IF(C657="","",C657&amp;I657)</f>
        <v>yescaSALIDA</v>
      </c>
      <c r="T657" t="str">
        <f>IF(OR(C657="",I657&lt;&gt;"ENTRADA"),"",TEXT(B657,"AAMMDD")&amp;"-"&amp;TEXT(VALUE(SUBSTITUTE(A657,"MOV-","")),"000"))</f>
        <v/>
      </c>
    </row>
    <row r="658" spans="1:20" hidden="1">
      <c r="A658" s="20" t="s">
        <v>986</v>
      </c>
      <c r="B658" s="47">
        <v>46287</v>
      </c>
      <c r="C658" t="s">
        <v>130</v>
      </c>
      <c r="D658" t="s">
        <v>131</v>
      </c>
      <c r="E658" t="s">
        <v>132</v>
      </c>
      <c r="G658" t="s">
        <v>133</v>
      </c>
      <c r="H658" s="20" t="s">
        <v>221</v>
      </c>
      <c r="I658" t="s">
        <v>65</v>
      </c>
      <c r="J658" s="30">
        <v>140</v>
      </c>
      <c r="K658" s="22">
        <f>IF(I658="","",IF(I658="ENTRADA",ABS(J658),-ABS(J658)))</f>
        <v>-140</v>
      </c>
      <c r="L658" t="s">
        <v>37</v>
      </c>
      <c r="N658">
        <v>65224</v>
      </c>
      <c r="O658" t="s">
        <v>387</v>
      </c>
      <c r="P658">
        <v>1951</v>
      </c>
      <c r="Q658" s="47">
        <v>46294</v>
      </c>
      <c r="R658" s="22" t="str">
        <f>IF(H658="","",H658&amp;I658)</f>
        <v>260414-029SALIDA</v>
      </c>
      <c r="S658" s="22" t="str">
        <f>IF(C658="","",C658&amp;I658)</f>
        <v>HarrierSALIDA</v>
      </c>
      <c r="T658" t="str">
        <f>IF(OR(C658="",I658&lt;&gt;"ENTRADA"),"",TEXT(B658,"AAMMDD")&amp;"-"&amp;TEXT(VALUE(SUBSTITUTE(A658,"MOV-","")),"000"))</f>
        <v/>
      </c>
    </row>
    <row r="659" spans="1:20" hidden="1">
      <c r="A659" s="20" t="s">
        <v>987</v>
      </c>
      <c r="B659" s="47">
        <v>46287</v>
      </c>
      <c r="C659" s="34" t="s">
        <v>137</v>
      </c>
      <c r="D659" s="34" t="s">
        <v>138</v>
      </c>
      <c r="E659" s="34" t="s">
        <v>132</v>
      </c>
      <c r="F659" s="34"/>
      <c r="G659" s="34" t="s">
        <v>133</v>
      </c>
      <c r="H659" s="20" t="s">
        <v>211</v>
      </c>
      <c r="I659" s="34" t="s">
        <v>65</v>
      </c>
      <c r="J659" s="30">
        <v>30</v>
      </c>
      <c r="K659" s="22">
        <f>IF(I659="","",IF(I659="ENTRADA",ABS(J659),-ABS(J659)))</f>
        <v>-30</v>
      </c>
      <c r="L659" s="34" t="s">
        <v>37</v>
      </c>
      <c r="M659" s="34"/>
      <c r="N659">
        <v>65224</v>
      </c>
      <c r="O659" s="34" t="s">
        <v>387</v>
      </c>
      <c r="P659">
        <v>1951</v>
      </c>
      <c r="Q659" s="47">
        <v>46294</v>
      </c>
      <c r="R659" s="22" t="str">
        <f>IF(H659="","",H659&amp;I659)</f>
        <v>260414-030SALIDA</v>
      </c>
      <c r="S659" s="22" t="str">
        <f>IF(C659="","",C659&amp;I659)</f>
        <v>Full controlSALIDA</v>
      </c>
      <c r="T659" t="str">
        <f>IF(OR(C659="",I659&lt;&gt;"ENTRADA"),"",TEXT(B659,"AAMMDD")&amp;"-"&amp;TEXT(VALUE(SUBSTITUTE(A659,"MOV-","")),"000"))</f>
        <v/>
      </c>
    </row>
    <row r="660" spans="1:20" hidden="1">
      <c r="A660" s="20" t="s">
        <v>988</v>
      </c>
      <c r="B660" s="47">
        <v>46282</v>
      </c>
      <c r="C660" t="s">
        <v>629</v>
      </c>
      <c r="D660" t="s">
        <v>630</v>
      </c>
      <c r="E660" t="s">
        <v>25</v>
      </c>
      <c r="F660" t="s">
        <v>631</v>
      </c>
      <c r="G660" t="s">
        <v>158</v>
      </c>
      <c r="H660" s="20" t="s">
        <v>947</v>
      </c>
      <c r="I660" t="s">
        <v>28</v>
      </c>
      <c r="J660" s="30">
        <v>4</v>
      </c>
      <c r="K660" s="22">
        <f>IF(I660="","",IF(I660="ENTRADA",ABS(J660),-ABS(J660)))</f>
        <v>4</v>
      </c>
      <c r="L660" t="s">
        <v>632</v>
      </c>
      <c r="N660">
        <v>65216</v>
      </c>
      <c r="O660" t="s">
        <v>382</v>
      </c>
      <c r="P660">
        <v>1962</v>
      </c>
      <c r="Q660" s="47">
        <v>46294</v>
      </c>
      <c r="R660" s="22" t="str">
        <f>IF(H660="","",H660&amp;I660)</f>
        <v>260917-627ENTRADA</v>
      </c>
      <c r="S660" s="22" t="str">
        <f>IF(C660="","",C660&amp;I660)</f>
        <v>semilla maiz DK 69-62 TREENTRADA</v>
      </c>
      <c r="T660" t="str">
        <f>IF(OR(C660="",I660&lt;&gt;"ENTRADA"),"",TEXT(B660,"AAMMDD")&amp;"-"&amp;TEXT(VALUE(SUBSTITUTE(A660,"MOV-","")),"000"))</f>
        <v>260917-662</v>
      </c>
    </row>
    <row r="661" spans="1:20" hidden="1">
      <c r="A661" s="20" t="s">
        <v>989</v>
      </c>
      <c r="B661" s="47">
        <v>46282</v>
      </c>
      <c r="C661" t="s">
        <v>990</v>
      </c>
      <c r="D661" t="s">
        <v>991</v>
      </c>
      <c r="E661" t="s">
        <v>25</v>
      </c>
      <c r="F661" t="s">
        <v>631</v>
      </c>
      <c r="G661" t="s">
        <v>36</v>
      </c>
      <c r="H661" s="20" t="str">
        <f>+T661</f>
        <v>260917-663</v>
      </c>
      <c r="I661" t="s">
        <v>28</v>
      </c>
      <c r="J661" s="30">
        <v>12</v>
      </c>
      <c r="K661" s="22">
        <f>IF(I661="","",IF(I661="ENTRADA",ABS(J661),-ABS(J661)))</f>
        <v>12</v>
      </c>
      <c r="L661" t="s">
        <v>632</v>
      </c>
      <c r="N661">
        <v>65216</v>
      </c>
      <c r="O661" t="s">
        <v>382</v>
      </c>
      <c r="P661">
        <v>1962</v>
      </c>
      <c r="Q661" s="47">
        <v>46294</v>
      </c>
      <c r="R661" s="22" t="str">
        <f>IF(H661="","",H661&amp;I661)</f>
        <v>260917-663ENTRADA</v>
      </c>
      <c r="S661" s="22" t="str">
        <f>IF(C661="","",C661&amp;I661)</f>
        <v>semilla comprada maiz P 2123 PwueENTRADA</v>
      </c>
      <c r="T661" t="str">
        <f>IF(OR(C661="",I661&lt;&gt;"ENTRADA"),"",TEXT(B661,"AAMMDD")&amp;"-"&amp;TEXT(VALUE(SUBSTITUTE(A661,"MOV-","")),"000"))</f>
        <v>260917-663</v>
      </c>
    </row>
    <row r="662" spans="1:20" hidden="1">
      <c r="A662" s="20" t="s">
        <v>992</v>
      </c>
      <c r="B662" s="47">
        <v>46287</v>
      </c>
      <c r="C662" t="s">
        <v>933</v>
      </c>
      <c r="D662" t="s">
        <v>934</v>
      </c>
      <c r="E662" t="s">
        <v>516</v>
      </c>
      <c r="G662" t="s">
        <v>36</v>
      </c>
      <c r="H662" s="20" t="s">
        <v>993</v>
      </c>
      <c r="I662" t="s">
        <v>65</v>
      </c>
      <c r="J662" s="30">
        <v>380</v>
      </c>
      <c r="K662" s="22">
        <f>IF(I662="","",IF(I662="ENTRADA",ABS(J662),-ABS(J662)))</f>
        <v>-380</v>
      </c>
      <c r="L662" t="s">
        <v>37</v>
      </c>
      <c r="N662">
        <v>65223</v>
      </c>
      <c r="O662" t="s">
        <v>66</v>
      </c>
      <c r="P662">
        <v>1953</v>
      </c>
      <c r="Q662" s="47">
        <v>46294</v>
      </c>
      <c r="R662" s="22" t="str">
        <f>IF(H662="","",H662&amp;I662)</f>
        <v>260914-621SALIDA</v>
      </c>
      <c r="S662" s="22" t="str">
        <f>IF(C663="","",C663&amp;I662)</f>
        <v>AzukaSALIDA</v>
      </c>
      <c r="T662" t="str">
        <f>IF(OR(C663="",I662&lt;&gt;"ENTRADA"),"",TEXT(B662,"AAMMDD")&amp;"-"&amp;TEXT(VALUE(SUBSTITUTE(A662,"MOV-","")),"000"))</f>
        <v/>
      </c>
    </row>
    <row r="663" spans="1:20" hidden="1">
      <c r="A663" s="20" t="s">
        <v>994</v>
      </c>
      <c r="B663" s="47">
        <v>46288</v>
      </c>
      <c r="C663" t="s">
        <v>115</v>
      </c>
      <c r="D663" t="s">
        <v>116</v>
      </c>
      <c r="E663" t="s">
        <v>34</v>
      </c>
      <c r="F663" t="s">
        <v>35</v>
      </c>
      <c r="G663" t="s">
        <v>117</v>
      </c>
      <c r="H663" s="20" t="s">
        <v>971</v>
      </c>
      <c r="I663" t="s">
        <v>65</v>
      </c>
      <c r="J663" s="30">
        <v>280</v>
      </c>
      <c r="K663" s="22">
        <f>IF(I663="","",IF(I663="ENTRADA",ABS(J663),-ABS(J663)))</f>
        <v>-280</v>
      </c>
      <c r="L663" t="s">
        <v>37</v>
      </c>
      <c r="N663">
        <v>65225</v>
      </c>
      <c r="O663" t="s">
        <v>382</v>
      </c>
      <c r="P663">
        <v>1952</v>
      </c>
      <c r="Q663" s="47">
        <v>46294</v>
      </c>
      <c r="R663" s="22" t="str">
        <f>IF(H663="","",H663&amp;I663)</f>
        <v>260910-622SALIDA</v>
      </c>
      <c r="S663" s="22" t="e">
        <f>IF(#REF!="","",#REF!&amp;I663)</f>
        <v>#REF!</v>
      </c>
      <c r="T663" t="e">
        <f>IF(OR(#REF!="",I663&lt;&gt;"ENTRADA"),"",TEXT(B663,"AAMMDD")&amp;"-"&amp;TEXT(VALUE(SUBSTITUTE(A663,"MOV-","")),"000"))</f>
        <v>#REF!</v>
      </c>
    </row>
    <row r="664" spans="1:20" hidden="1">
      <c r="A664" s="20" t="s">
        <v>995</v>
      </c>
      <c r="B664" s="47">
        <v>46288</v>
      </c>
      <c r="C664" t="s">
        <v>122</v>
      </c>
      <c r="D664" t="s">
        <v>123</v>
      </c>
      <c r="E664" t="s">
        <v>34</v>
      </c>
      <c r="F664" t="s">
        <v>35</v>
      </c>
      <c r="G664" t="s">
        <v>117</v>
      </c>
      <c r="H664" s="20" t="s">
        <v>938</v>
      </c>
      <c r="I664" t="s">
        <v>65</v>
      </c>
      <c r="J664" s="30">
        <v>50</v>
      </c>
      <c r="K664" s="22">
        <f>IF(I664="","",IF(I664="ENTRADA",ABS(J664),-ABS(J664)))</f>
        <v>-50</v>
      </c>
      <c r="L664" t="s">
        <v>37</v>
      </c>
      <c r="N664">
        <v>65225</v>
      </c>
      <c r="O664" t="s">
        <v>382</v>
      </c>
      <c r="P664">
        <v>1952</v>
      </c>
      <c r="Q664" s="47">
        <v>46294</v>
      </c>
      <c r="R664" s="22" t="str">
        <f>IF(H664="","",H664&amp;I664)</f>
        <v>260727-380SALIDA</v>
      </c>
      <c r="S664" s="22" t="str">
        <f>IF(C664="","",C664&amp;I664)</f>
        <v>PardoSALIDA</v>
      </c>
      <c r="T664" t="str">
        <f>IF(OR(C664="",I664&lt;&gt;"ENTRADA"),"",TEXT(B664,"AAMMDD")&amp;"-"&amp;TEXT(VALUE(SUBSTITUTE(A664,"MOV-","")),"000"))</f>
        <v/>
      </c>
    </row>
    <row r="665" spans="1:20" hidden="1">
      <c r="A665" s="20" t="s">
        <v>996</v>
      </c>
      <c r="B665" s="47">
        <v>46288</v>
      </c>
      <c r="C665" t="s">
        <v>636</v>
      </c>
      <c r="D665" t="s">
        <v>630</v>
      </c>
      <c r="E665" t="s">
        <v>25</v>
      </c>
      <c r="F665" t="s">
        <v>631</v>
      </c>
      <c r="G665" t="s">
        <v>158</v>
      </c>
      <c r="H665" s="20" t="s">
        <v>965</v>
      </c>
      <c r="I665" t="s">
        <v>65</v>
      </c>
      <c r="J665" s="30">
        <v>195</v>
      </c>
      <c r="K665" s="22">
        <f>IF(I665="","",IF(I665="ENTRADA",ABS(J665),-ABS(J665)))</f>
        <v>-195</v>
      </c>
      <c r="L665" t="s">
        <v>632</v>
      </c>
      <c r="N665">
        <v>65228</v>
      </c>
      <c r="O665" t="s">
        <v>218</v>
      </c>
      <c r="P665">
        <v>1950</v>
      </c>
      <c r="Q665" s="47">
        <v>46294</v>
      </c>
      <c r="R665" s="22" t="str">
        <f>IF(H665="","",H665&amp;I665)</f>
        <v>260617-375SALIDA</v>
      </c>
      <c r="S665" s="22" t="str">
        <f>IF(C665="","",C665&amp;I665)</f>
        <v>semilla maiz DK 73-03 TRESALIDA</v>
      </c>
      <c r="T665" t="str">
        <f>IF(OR(C665="",I665&lt;&gt;"ENTRADA"),"",TEXT(B665,"AAMMDD")&amp;"-"&amp;TEXT(VALUE(SUBSTITUTE(A665,"MOV-","")),"000"))</f>
        <v/>
      </c>
    </row>
    <row r="666" spans="1:20" hidden="1">
      <c r="A666" s="20" t="s">
        <v>997</v>
      </c>
      <c r="B666" s="47">
        <v>46288</v>
      </c>
      <c r="C666" t="s">
        <v>950</v>
      </c>
      <c r="D666" t="s">
        <v>951</v>
      </c>
      <c r="E666" t="s">
        <v>25</v>
      </c>
      <c r="F666" t="s">
        <v>631</v>
      </c>
      <c r="G666" t="s">
        <v>158</v>
      </c>
      <c r="H666" s="20" t="s">
        <v>980</v>
      </c>
      <c r="I666" t="s">
        <v>65</v>
      </c>
      <c r="J666" s="30">
        <v>20</v>
      </c>
      <c r="K666" s="22">
        <f>IF(I666="","",IF(I666="ENTRADA",ABS(J666),-ABS(J666)))</f>
        <v>-20</v>
      </c>
      <c r="L666" t="s">
        <v>632</v>
      </c>
      <c r="N666">
        <v>65228</v>
      </c>
      <c r="O666" t="s">
        <v>218</v>
      </c>
      <c r="P666">
        <v>1950</v>
      </c>
      <c r="Q666" s="47">
        <v>46294</v>
      </c>
      <c r="R666" s="22" t="str">
        <f>IF(H666="","",H666&amp;I666)</f>
        <v>260918-630SALIDA</v>
      </c>
      <c r="S666" s="22" t="str">
        <f>IF(C666="","",C666&amp;I666)</f>
        <v>refugio dk 72-72 RR2SALIDA</v>
      </c>
      <c r="T666" t="str">
        <f>IF(OR(C666="",I666&lt;&gt;"ENTRADA"),"",TEXT(B666,"AAMMDD")&amp;"-"&amp;TEXT(VALUE(SUBSTITUTE(A666,"MOV-","")),"000"))</f>
        <v/>
      </c>
    </row>
    <row r="667" spans="1:20" hidden="1">
      <c r="A667" s="20" t="s">
        <v>998</v>
      </c>
      <c r="B667" s="47">
        <v>46288</v>
      </c>
      <c r="C667" t="s">
        <v>629</v>
      </c>
      <c r="D667" t="s">
        <v>630</v>
      </c>
      <c r="E667" t="s">
        <v>25</v>
      </c>
      <c r="F667" t="s">
        <v>631</v>
      </c>
      <c r="G667" t="s">
        <v>158</v>
      </c>
      <c r="H667" s="20" t="s">
        <v>947</v>
      </c>
      <c r="I667" t="s">
        <v>28</v>
      </c>
      <c r="J667" s="30">
        <v>11</v>
      </c>
      <c r="K667" s="22">
        <f>IF(I667="","",IF(I667="ENTRADA",ABS(J667),-ABS(J667)))</f>
        <v>11</v>
      </c>
      <c r="L667" t="s">
        <v>632</v>
      </c>
      <c r="N667">
        <v>65229</v>
      </c>
      <c r="O667" t="s">
        <v>590</v>
      </c>
      <c r="P667">
        <v>1965</v>
      </c>
      <c r="Q667" s="47">
        <v>46295</v>
      </c>
      <c r="R667" s="22" t="str">
        <f>IF(H667="","",H667&amp;I667)</f>
        <v>260917-627ENTRADA</v>
      </c>
      <c r="S667" s="22" t="str">
        <f>IF(C667="","",C667&amp;I667)</f>
        <v>semilla maiz DK 69-62 TREENTRADA</v>
      </c>
      <c r="T667" t="str">
        <f>IF(OR(C667="",I667&lt;&gt;"ENTRADA"),"",TEXT(B667,"AAMMDD")&amp;"-"&amp;TEXT(VALUE(SUBSTITUTE(A667,"MOV-","")),"000"))</f>
        <v>260923-669</v>
      </c>
    </row>
    <row r="668" spans="1:20" hidden="1">
      <c r="A668" s="20" t="s">
        <v>999</v>
      </c>
      <c r="B668" s="47">
        <v>46289</v>
      </c>
      <c r="C668" t="s">
        <v>933</v>
      </c>
      <c r="D668" t="s">
        <v>934</v>
      </c>
      <c r="E668" t="s">
        <v>516</v>
      </c>
      <c r="G668" t="s">
        <v>36</v>
      </c>
      <c r="H668" s="20" t="s">
        <v>993</v>
      </c>
      <c r="I668" t="s">
        <v>65</v>
      </c>
      <c r="J668" s="30">
        <v>320</v>
      </c>
      <c r="K668" s="22">
        <f>IF(I668="","",IF(I668="ENTRADA",ABS(J668),-ABS(J668)))</f>
        <v>-320</v>
      </c>
      <c r="L668" t="s">
        <v>37</v>
      </c>
      <c r="N668">
        <v>65230</v>
      </c>
      <c r="O668" t="s">
        <v>309</v>
      </c>
      <c r="P668">
        <v>1954</v>
      </c>
      <c r="Q668" s="47">
        <v>46294</v>
      </c>
      <c r="R668" s="22" t="str">
        <f>IF(H668="","",H668&amp;I668)</f>
        <v>260914-621SALIDA</v>
      </c>
      <c r="S668" s="22" t="str">
        <f>IF(C668="","",C668&amp;I668)</f>
        <v>swing plusSALIDA</v>
      </c>
      <c r="T668" t="str">
        <f>IF(OR(C668="",I668&lt;&gt;"ENTRADA"),"",TEXT(B668,"AAMMDD")&amp;"-"&amp;TEXT(VALUE(SUBSTITUTE(A668,"MOV-","")),"000"))</f>
        <v/>
      </c>
    </row>
    <row r="669" spans="1:20" hidden="1">
      <c r="A669" s="20" t="s">
        <v>1000</v>
      </c>
      <c r="B669" s="47">
        <v>46289</v>
      </c>
      <c r="C669" t="s">
        <v>115</v>
      </c>
      <c r="D669" t="s">
        <v>116</v>
      </c>
      <c r="E669" t="s">
        <v>34</v>
      </c>
      <c r="F669" t="s">
        <v>35</v>
      </c>
      <c r="G669" t="s">
        <v>117</v>
      </c>
      <c r="H669" s="20" t="s">
        <v>971</v>
      </c>
      <c r="I669" t="s">
        <v>65</v>
      </c>
      <c r="J669" s="30">
        <v>540</v>
      </c>
      <c r="K669" s="22">
        <f>IF(I669="","",IF(I669="ENTRADA",ABS(J669),-ABS(J669)))</f>
        <v>-540</v>
      </c>
      <c r="L669" t="s">
        <v>37</v>
      </c>
      <c r="N669">
        <v>65231</v>
      </c>
      <c r="O669" t="s">
        <v>218</v>
      </c>
      <c r="P669">
        <v>1955</v>
      </c>
      <c r="Q669" s="47">
        <v>46294</v>
      </c>
      <c r="R669" s="22" t="str">
        <f>IF(H669="","",H669&amp;I669)</f>
        <v>260910-622SALIDA</v>
      </c>
      <c r="S669" s="22" t="str">
        <f>IF(C669="","",C669&amp;I669)</f>
        <v>AzukaSALIDA</v>
      </c>
      <c r="T669" t="str">
        <f>IF(OR(C669="",I669&lt;&gt;"ENTRADA"),"",TEXT(B669,"AAMMDD")&amp;"-"&amp;TEXT(VALUE(SUBSTITUTE(A669,"MOV-","")),"000"))</f>
        <v/>
      </c>
    </row>
    <row r="670" spans="1:20" hidden="1">
      <c r="A670" s="20" t="s">
        <v>1001</v>
      </c>
      <c r="B670" s="47">
        <v>46289</v>
      </c>
      <c r="C670" s="34" t="s">
        <v>782</v>
      </c>
      <c r="D670" s="34" t="s">
        <v>783</v>
      </c>
      <c r="E670" s="34" t="s">
        <v>34</v>
      </c>
      <c r="F670" s="34" t="s">
        <v>46</v>
      </c>
      <c r="G670" s="34" t="s">
        <v>27</v>
      </c>
      <c r="H670" s="20" t="s">
        <v>797</v>
      </c>
      <c r="I670" s="34" t="s">
        <v>65</v>
      </c>
      <c r="J670" s="30">
        <v>20</v>
      </c>
      <c r="K670" s="22">
        <f>IF(I670="","",IF(I670="ENTRADA",ABS(J670),-ABS(J670)))</f>
        <v>-20</v>
      </c>
      <c r="L670" s="34" t="s">
        <v>29</v>
      </c>
      <c r="M670" s="34"/>
      <c r="N670">
        <v>65231</v>
      </c>
      <c r="O670" s="34" t="s">
        <v>218</v>
      </c>
      <c r="P670">
        <v>1955</v>
      </c>
      <c r="Q670" s="47">
        <v>46294</v>
      </c>
      <c r="R670" s="22" t="str">
        <f>IF(H670="","",H670&amp;I670)</f>
        <v>260801-489SALIDA</v>
      </c>
      <c r="S670" s="22" t="str">
        <f>IF(C670="","",C670&amp;I670)</f>
        <v>PyroxateSALIDA</v>
      </c>
      <c r="T670" t="str">
        <f>IF(OR(C670="",I670&lt;&gt;"ENTRADA"),"",TEXT(B670,"AAMMDD")&amp;"-"&amp;TEXT(VALUE(SUBSTITUTE(A670,"MOV-","")),"000"))</f>
        <v/>
      </c>
    </row>
    <row r="671" spans="1:20" hidden="1">
      <c r="A671" s="20" t="s">
        <v>1002</v>
      </c>
      <c r="B671" s="47">
        <v>46289</v>
      </c>
      <c r="C671" t="s">
        <v>130</v>
      </c>
      <c r="D671" t="s">
        <v>131</v>
      </c>
      <c r="E671" t="s">
        <v>132</v>
      </c>
      <c r="G671" t="s">
        <v>133</v>
      </c>
      <c r="H671" s="20" t="s">
        <v>221</v>
      </c>
      <c r="I671" t="s">
        <v>65</v>
      </c>
      <c r="J671" s="30">
        <v>40</v>
      </c>
      <c r="K671" s="22">
        <f>IF(I671="","",IF(I671="ENTRADA",ABS(J671),-ABS(J671)))</f>
        <v>-40</v>
      </c>
      <c r="L671" t="s">
        <v>37</v>
      </c>
      <c r="N671">
        <v>65231</v>
      </c>
      <c r="O671" t="s">
        <v>218</v>
      </c>
      <c r="P671">
        <v>1955</v>
      </c>
      <c r="Q671" s="47">
        <v>46294</v>
      </c>
      <c r="R671" s="22" t="str">
        <f>IF(H671="","",H671&amp;I671)</f>
        <v>260414-029SALIDA</v>
      </c>
      <c r="S671" s="22" t="str">
        <f>IF(C671="","",C671&amp;I671)</f>
        <v>HarrierSALIDA</v>
      </c>
      <c r="T671" t="str">
        <f>IF(OR(C671="",I671&lt;&gt;"ENTRADA"),"",TEXT(B671,"AAMMDD")&amp;"-"&amp;TEXT(VALUE(SUBSTITUTE(A671,"MOV-","")),"000"))</f>
        <v/>
      </c>
    </row>
    <row r="672" spans="1:20" hidden="1">
      <c r="A672" s="20" t="s">
        <v>1003</v>
      </c>
      <c r="B672" s="47">
        <v>46289</v>
      </c>
      <c r="C672" t="s">
        <v>137</v>
      </c>
      <c r="D672" t="s">
        <v>138</v>
      </c>
      <c r="E672" t="s">
        <v>132</v>
      </c>
      <c r="G672" t="s">
        <v>133</v>
      </c>
      <c r="H672" s="20" t="s">
        <v>211</v>
      </c>
      <c r="I672" t="s">
        <v>65</v>
      </c>
      <c r="J672" s="30">
        <v>6</v>
      </c>
      <c r="K672" s="22">
        <f>IF(I672="","",IF(I672="ENTRADA",ABS(J672),-ABS(J672)))</f>
        <v>-6</v>
      </c>
      <c r="L672" t="s">
        <v>37</v>
      </c>
      <c r="N672">
        <v>65231</v>
      </c>
      <c r="O672" t="s">
        <v>218</v>
      </c>
      <c r="P672">
        <v>1955</v>
      </c>
      <c r="Q672" s="47">
        <v>46294</v>
      </c>
      <c r="R672" s="22" t="str">
        <f>IF(H672="","",H672&amp;I672)</f>
        <v>260414-030SALIDA</v>
      </c>
      <c r="S672" s="22" t="str">
        <f>IF(C672="","",C672&amp;I672)</f>
        <v>Full controlSALIDA</v>
      </c>
      <c r="T672" t="str">
        <f>IF(OR(C672="",I672&lt;&gt;"ENTRADA"),"",TEXT(B672,"AAMMDD")&amp;"-"&amp;TEXT(VALUE(SUBSTITUTE(A672,"MOV-","")),"000"))</f>
        <v/>
      </c>
    </row>
    <row r="673" spans="1:20" hidden="1">
      <c r="A673" s="20" t="s">
        <v>1004</v>
      </c>
      <c r="B673" s="47">
        <v>46287</v>
      </c>
      <c r="C673" t="s">
        <v>933</v>
      </c>
      <c r="D673" t="s">
        <v>934</v>
      </c>
      <c r="E673" t="s">
        <v>516</v>
      </c>
      <c r="G673" t="s">
        <v>36</v>
      </c>
      <c r="H673" s="20" t="s">
        <v>993</v>
      </c>
      <c r="I673" t="s">
        <v>65</v>
      </c>
      <c r="J673" s="30">
        <v>480</v>
      </c>
      <c r="K673" s="22">
        <f>IF(I673="","",IF(I673="ENTRADA",ABS(J673),-ABS(J673)))</f>
        <v>-480</v>
      </c>
      <c r="L673" t="s">
        <v>37</v>
      </c>
      <c r="N673">
        <v>65224</v>
      </c>
      <c r="O673" t="s">
        <v>387</v>
      </c>
      <c r="P673">
        <v>1951</v>
      </c>
      <c r="Q673" s="47">
        <v>46294</v>
      </c>
      <c r="R673" s="22" t="str">
        <f>IF(H673="","",H673&amp;I673)</f>
        <v>260914-621SALIDA</v>
      </c>
      <c r="S673" s="22" t="str">
        <f>IF(C673="","",C673&amp;I673)</f>
        <v>swing plusSALIDA</v>
      </c>
      <c r="T673" t="str">
        <f>IF(OR(C673="",I673&lt;&gt;"ENTRADA"),"",TEXT(B673,"AAMMDD")&amp;"-"&amp;TEXT(VALUE(SUBSTITUTE(A673,"MOV-","")),"000"))</f>
        <v/>
      </c>
    </row>
    <row r="674" spans="1:20" hidden="1">
      <c r="A674" s="20" t="s">
        <v>1005</v>
      </c>
      <c r="B674" s="47">
        <v>46290</v>
      </c>
      <c r="C674" t="s">
        <v>629</v>
      </c>
      <c r="D674" t="s">
        <v>630</v>
      </c>
      <c r="E674" t="s">
        <v>25</v>
      </c>
      <c r="F674" t="s">
        <v>631</v>
      </c>
      <c r="G674" t="s">
        <v>158</v>
      </c>
      <c r="H674" s="20" t="s">
        <v>947</v>
      </c>
      <c r="I674" t="s">
        <v>65</v>
      </c>
      <c r="J674" s="30">
        <v>25</v>
      </c>
      <c r="K674" s="22">
        <f>IF(I674="","",IF(I674="ENTRADA",ABS(J674),-ABS(J674)))</f>
        <v>-25</v>
      </c>
      <c r="L674" t="s">
        <v>632</v>
      </c>
      <c r="N674">
        <v>65232</v>
      </c>
      <c r="O674" t="s">
        <v>237</v>
      </c>
      <c r="P674">
        <v>1956</v>
      </c>
      <c r="Q674" s="47">
        <v>46294</v>
      </c>
      <c r="R674" s="22" t="str">
        <f>IF(H674="","",H674&amp;I674)</f>
        <v>260917-627SALIDA</v>
      </c>
      <c r="S674" s="22" t="str">
        <f>IF(C674="","",C674&amp;I674)</f>
        <v>semilla maiz DK 69-62 TRESALIDA</v>
      </c>
      <c r="T674" t="str">
        <f>IF(OR(C674="",I674&lt;&gt;"ENTRADA"),"",TEXT(B674,"AAMMDD")&amp;"-"&amp;TEXT(VALUE(SUBSTITUTE(A674,"MOV-","")),"000"))</f>
        <v/>
      </c>
    </row>
    <row r="675" spans="1:20" hidden="1">
      <c r="A675" s="20" t="s">
        <v>1006</v>
      </c>
      <c r="B675" s="47">
        <v>46290</v>
      </c>
      <c r="C675" t="s">
        <v>629</v>
      </c>
      <c r="D675" t="s">
        <v>630</v>
      </c>
      <c r="E675" t="s">
        <v>25</v>
      </c>
      <c r="F675" t="s">
        <v>631</v>
      </c>
      <c r="G675" t="s">
        <v>158</v>
      </c>
      <c r="H675" s="20" t="s">
        <v>947</v>
      </c>
      <c r="I675" t="s">
        <v>65</v>
      </c>
      <c r="J675" s="30">
        <v>40</v>
      </c>
      <c r="K675" s="22">
        <f>IF(I675="","",IF(I675="ENTRADA",ABS(J675),-ABS(J675)))</f>
        <v>-40</v>
      </c>
      <c r="L675" t="s">
        <v>632</v>
      </c>
      <c r="N675">
        <v>65233</v>
      </c>
      <c r="O675" t="s">
        <v>213</v>
      </c>
      <c r="P675">
        <v>1957</v>
      </c>
      <c r="Q675" s="47">
        <v>46294</v>
      </c>
      <c r="R675" s="22" t="str">
        <f>IF(H675="","",H675&amp;I675)</f>
        <v>260917-627SALIDA</v>
      </c>
      <c r="S675" s="22" t="str">
        <f>IF(C675="","",C675&amp;I675)</f>
        <v>semilla maiz DK 69-62 TRESALIDA</v>
      </c>
      <c r="T675" t="str">
        <f>IF(OR(C675="",I675&lt;&gt;"ENTRADA"),"",TEXT(B675,"AAMMDD")&amp;"-"&amp;TEXT(VALUE(SUBSTITUTE(A675,"MOV-","")),"000"))</f>
        <v/>
      </c>
    </row>
    <row r="676" spans="1:20" hidden="1">
      <c r="A676" s="20" t="s">
        <v>1007</v>
      </c>
      <c r="B676" s="47">
        <v>46290</v>
      </c>
      <c r="C676" t="s">
        <v>115</v>
      </c>
      <c r="D676" t="s">
        <v>116</v>
      </c>
      <c r="E676" t="s">
        <v>34</v>
      </c>
      <c r="F676" t="s">
        <v>35</v>
      </c>
      <c r="G676" t="s">
        <v>117</v>
      </c>
      <c r="H676" s="20" t="s">
        <v>971</v>
      </c>
      <c r="I676" t="s">
        <v>65</v>
      </c>
      <c r="J676" s="30">
        <v>5000</v>
      </c>
      <c r="K676" s="22">
        <f>IF(I676="","",IF(I676="ENTRADA",ABS(J676),-ABS(J676)))</f>
        <v>-5000</v>
      </c>
      <c r="L676" t="s">
        <v>37</v>
      </c>
      <c r="N676">
        <v>65234</v>
      </c>
      <c r="O676" t="s">
        <v>331</v>
      </c>
      <c r="P676">
        <v>1958</v>
      </c>
      <c r="Q676" s="47">
        <v>46294</v>
      </c>
      <c r="R676" s="22" t="str">
        <f>IF(H676="","",H676&amp;I676)</f>
        <v>260910-622SALIDA</v>
      </c>
      <c r="S676" s="22" t="str">
        <f>IF(C676="","",C676&amp;I676)</f>
        <v>AzukaSALIDA</v>
      </c>
      <c r="T676" t="str">
        <f>IF(OR(C676="",I676&lt;&gt;"ENTRADA"),"",TEXT(B676,"AAMMDD")&amp;"-"&amp;TEXT(VALUE(SUBSTITUTE(A676,"MOV-","")),"000"))</f>
        <v/>
      </c>
    </row>
    <row r="677" spans="1:20" hidden="1">
      <c r="A677" s="20" t="s">
        <v>1008</v>
      </c>
      <c r="B677" s="47">
        <v>46290</v>
      </c>
      <c r="C677" t="s">
        <v>115</v>
      </c>
      <c r="D677" t="s">
        <v>116</v>
      </c>
      <c r="E677" t="s">
        <v>34</v>
      </c>
      <c r="F677" t="s">
        <v>35</v>
      </c>
      <c r="G677" t="s">
        <v>117</v>
      </c>
      <c r="H677" s="20" t="s">
        <v>971</v>
      </c>
      <c r="I677" t="s">
        <v>65</v>
      </c>
      <c r="J677" s="30">
        <v>6000</v>
      </c>
      <c r="K677" s="22">
        <f>IF(I677="","",IF(I677="ENTRADA",ABS(J677),-ABS(J677)))</f>
        <v>-6000</v>
      </c>
      <c r="L677" t="s">
        <v>37</v>
      </c>
      <c r="N677">
        <v>65234</v>
      </c>
      <c r="O677" t="s">
        <v>309</v>
      </c>
      <c r="P677">
        <v>1958</v>
      </c>
      <c r="Q677" s="47">
        <v>46294</v>
      </c>
      <c r="R677" s="22" t="str">
        <f>IF(H677="","",H677&amp;I677)</f>
        <v>260910-622SALIDA</v>
      </c>
      <c r="S677" s="22" t="str">
        <f>IF(C677="","",C677&amp;I677)</f>
        <v>AzukaSALIDA</v>
      </c>
      <c r="T677" t="str">
        <f>IF(OR(C677="",I677&lt;&gt;"ENTRADA"),"",TEXT(B677,"AAMMDD")&amp;"-"&amp;TEXT(VALUE(SUBSTITUTE(A677,"MOV-","")),"000"))</f>
        <v/>
      </c>
    </row>
    <row r="678" spans="1:20" hidden="1">
      <c r="A678" s="20" t="s">
        <v>1009</v>
      </c>
      <c r="B678" s="47">
        <v>46290</v>
      </c>
      <c r="C678" t="s">
        <v>75</v>
      </c>
      <c r="D678" t="s">
        <v>76</v>
      </c>
      <c r="E678" t="s">
        <v>34</v>
      </c>
      <c r="F678" t="s">
        <v>35</v>
      </c>
      <c r="G678" t="s">
        <v>77</v>
      </c>
      <c r="H678" s="20" t="s">
        <v>94</v>
      </c>
      <c r="I678" t="s">
        <v>65</v>
      </c>
      <c r="J678" s="30">
        <v>700</v>
      </c>
      <c r="K678" s="22">
        <f>IF(I678="","",IF(I678="ENTRADA",ABS(J678),-ABS(J678)))</f>
        <v>-700</v>
      </c>
      <c r="L678" t="s">
        <v>37</v>
      </c>
      <c r="N678">
        <v>65234</v>
      </c>
      <c r="O678" t="s">
        <v>331</v>
      </c>
      <c r="P678">
        <v>1958</v>
      </c>
      <c r="Q678" s="47">
        <v>46294</v>
      </c>
      <c r="R678" s="22" t="str">
        <f>IF(H678="","",H678&amp;I678)</f>
        <v>260407-012SALIDA</v>
      </c>
      <c r="S678" s="22" t="str">
        <f>IF(C678="","",C678&amp;I678)</f>
        <v>Dedalo eliteSALIDA</v>
      </c>
      <c r="T678" t="str">
        <f>IF(OR(C678="",I678&lt;&gt;"ENTRADA"),"",TEXT(B678,"AAMMDD")&amp;"-"&amp;TEXT(VALUE(SUBSTITUTE(A678,"MOV-","")),"000"))</f>
        <v/>
      </c>
    </row>
    <row r="679" spans="1:20" hidden="1">
      <c r="A679" s="20" t="s">
        <v>1010</v>
      </c>
      <c r="B679" s="47">
        <v>46290</v>
      </c>
      <c r="C679" t="s">
        <v>75</v>
      </c>
      <c r="D679" t="s">
        <v>76</v>
      </c>
      <c r="E679" t="s">
        <v>34</v>
      </c>
      <c r="F679" t="s">
        <v>35</v>
      </c>
      <c r="G679" t="s">
        <v>77</v>
      </c>
      <c r="H679" s="20" t="s">
        <v>94</v>
      </c>
      <c r="I679" t="s">
        <v>65</v>
      </c>
      <c r="J679" s="30">
        <v>1500</v>
      </c>
      <c r="K679" s="22">
        <f>IF(I679="","",IF(I679="ENTRADA",ABS(J679),-ABS(J679)))</f>
        <v>-1500</v>
      </c>
      <c r="L679" t="s">
        <v>37</v>
      </c>
      <c r="N679">
        <v>65234</v>
      </c>
      <c r="O679" t="s">
        <v>309</v>
      </c>
      <c r="P679">
        <v>1958</v>
      </c>
      <c r="Q679" s="47">
        <v>46294</v>
      </c>
      <c r="R679" s="22" t="str">
        <f>IF(H679="","",H679&amp;I679)</f>
        <v>260407-012SALIDA</v>
      </c>
      <c r="S679" s="22" t="str">
        <f>IF(C679="","",C679&amp;I679)</f>
        <v>Dedalo eliteSALIDA</v>
      </c>
      <c r="T679" t="str">
        <f>IF(OR(C679="",I679&lt;&gt;"ENTRADA"),"",TEXT(B679,"AAMMDD")&amp;"-"&amp;TEXT(VALUE(SUBSTITUTE(A679,"MOV-","")),"000"))</f>
        <v/>
      </c>
    </row>
    <row r="680" spans="1:20" hidden="1">
      <c r="A680" s="20" t="s">
        <v>1011</v>
      </c>
      <c r="B680" s="47">
        <v>46290</v>
      </c>
      <c r="C680" t="s">
        <v>130</v>
      </c>
      <c r="D680" t="s">
        <v>131</v>
      </c>
      <c r="E680" t="s">
        <v>132</v>
      </c>
      <c r="G680" t="s">
        <v>133</v>
      </c>
      <c r="H680" s="20" t="s">
        <v>221</v>
      </c>
      <c r="I680" t="s">
        <v>65</v>
      </c>
      <c r="J680" s="30">
        <v>300</v>
      </c>
      <c r="K680" s="22">
        <f>IF(I680="","",IF(I680="ENTRADA",ABS(J680),-ABS(J680)))</f>
        <v>-300</v>
      </c>
      <c r="L680" t="s">
        <v>37</v>
      </c>
      <c r="N680">
        <v>65234</v>
      </c>
      <c r="O680" t="s">
        <v>331</v>
      </c>
      <c r="P680">
        <v>1958</v>
      </c>
      <c r="Q680" s="47">
        <v>46294</v>
      </c>
      <c r="R680" s="22" t="str">
        <f>IF(H680="","",H680&amp;I680)</f>
        <v>260414-029SALIDA</v>
      </c>
      <c r="S680" s="22" t="str">
        <f>IF(C680="","",C680&amp;I680)</f>
        <v>HarrierSALIDA</v>
      </c>
      <c r="T680" t="str">
        <f>IF(OR(C680="",I680&lt;&gt;"ENTRADA"),"",TEXT(B680,"AAMMDD")&amp;"-"&amp;TEXT(VALUE(SUBSTITUTE(A680,"MOV-","")),"000"))</f>
        <v/>
      </c>
    </row>
    <row r="681" spans="1:20" hidden="1">
      <c r="A681" s="20" t="s">
        <v>1012</v>
      </c>
      <c r="B681" s="47">
        <v>46290</v>
      </c>
      <c r="C681" s="34" t="s">
        <v>130</v>
      </c>
      <c r="D681" s="34" t="s">
        <v>131</v>
      </c>
      <c r="E681" s="34" t="s">
        <v>132</v>
      </c>
      <c r="F681" s="34"/>
      <c r="G681" s="34" t="s">
        <v>133</v>
      </c>
      <c r="H681" s="20" t="s">
        <v>221</v>
      </c>
      <c r="I681" s="34" t="s">
        <v>65</v>
      </c>
      <c r="J681" s="30">
        <v>200</v>
      </c>
      <c r="K681" s="22">
        <f>IF(I681="","",IF(I681="ENTRADA",ABS(J681),-ABS(J681)))</f>
        <v>-200</v>
      </c>
      <c r="L681" s="34" t="s">
        <v>37</v>
      </c>
      <c r="M681" s="34"/>
      <c r="N681">
        <v>65234</v>
      </c>
      <c r="O681" s="34" t="s">
        <v>309</v>
      </c>
      <c r="P681">
        <v>1958</v>
      </c>
      <c r="Q681" s="47">
        <v>46294</v>
      </c>
      <c r="R681" s="22" t="str">
        <f>IF(H681="","",H681&amp;I681)</f>
        <v>260414-029SALIDA</v>
      </c>
      <c r="S681" s="22" t="str">
        <f>IF(C681="","",C681&amp;I681)</f>
        <v>HarrierSALIDA</v>
      </c>
      <c r="T681" t="str">
        <f>IF(OR(C681="",I681&lt;&gt;"ENTRADA"),"",TEXT(B681,"AAMMDD")&amp;"-"&amp;TEXT(VALUE(SUBSTITUTE(A681,"MOV-","")),"000"))</f>
        <v/>
      </c>
    </row>
    <row r="682" spans="1:20" hidden="1">
      <c r="A682" s="20" t="s">
        <v>1013</v>
      </c>
      <c r="B682" s="47">
        <v>46290</v>
      </c>
      <c r="C682" t="s">
        <v>137</v>
      </c>
      <c r="D682" t="s">
        <v>138</v>
      </c>
      <c r="E682" t="s">
        <v>132</v>
      </c>
      <c r="G682" t="s">
        <v>133</v>
      </c>
      <c r="H682" s="20" t="s">
        <v>211</v>
      </c>
      <c r="I682" t="s">
        <v>65</v>
      </c>
      <c r="J682" s="30">
        <v>60</v>
      </c>
      <c r="K682" s="22">
        <f>IF(I682="","",IF(I682="ENTRADA",ABS(J682),-ABS(J682)))</f>
        <v>-60</v>
      </c>
      <c r="L682" t="s">
        <v>37</v>
      </c>
      <c r="N682">
        <v>65234</v>
      </c>
      <c r="O682" t="s">
        <v>331</v>
      </c>
      <c r="P682">
        <v>1958</v>
      </c>
      <c r="Q682" s="47">
        <v>46294</v>
      </c>
      <c r="R682" s="22" t="str">
        <f>IF(H682="","",H682&amp;I682)</f>
        <v>260414-030SALIDA</v>
      </c>
      <c r="S682" s="22" t="str">
        <f>IF(C682="","",C682&amp;I682)</f>
        <v>Full controlSALIDA</v>
      </c>
      <c r="T682" t="str">
        <f>IF(OR(C682="",I682&lt;&gt;"ENTRADA"),"",TEXT(B682,"AAMMDD")&amp;"-"&amp;TEXT(VALUE(SUBSTITUTE(A682,"MOV-","")),"000"))</f>
        <v/>
      </c>
    </row>
    <row r="683" spans="1:20" hidden="1">
      <c r="A683" s="20" t="s">
        <v>1014</v>
      </c>
      <c r="B683" s="47">
        <v>46290</v>
      </c>
      <c r="C683" t="s">
        <v>137</v>
      </c>
      <c r="D683" t="s">
        <v>138</v>
      </c>
      <c r="E683" t="s">
        <v>132</v>
      </c>
      <c r="G683" t="s">
        <v>133</v>
      </c>
      <c r="H683" s="20" t="s">
        <v>211</v>
      </c>
      <c r="I683" t="s">
        <v>65</v>
      </c>
      <c r="J683" s="30">
        <v>60</v>
      </c>
      <c r="K683" s="22">
        <f>IF(I683="","",IF(I683="ENTRADA",ABS(J683),-ABS(J683)))</f>
        <v>-60</v>
      </c>
      <c r="L683" t="s">
        <v>37</v>
      </c>
      <c r="N683">
        <v>65234</v>
      </c>
      <c r="O683" t="s">
        <v>309</v>
      </c>
      <c r="P683">
        <v>1958</v>
      </c>
      <c r="Q683" s="47">
        <v>46294</v>
      </c>
      <c r="R683" s="22" t="str">
        <f>IF(H683="","",H683&amp;I683)</f>
        <v>260414-030SALIDA</v>
      </c>
      <c r="S683" s="22" t="str">
        <f>IF(C683="","",C683&amp;I683)</f>
        <v>Full controlSALIDA</v>
      </c>
      <c r="T683" t="str">
        <f>IF(OR(C683="",I683&lt;&gt;"ENTRADA"),"",TEXT(B683,"AAMMDD")&amp;"-"&amp;TEXT(VALUE(SUBSTITUTE(A683,"MOV-","")),"000"))</f>
        <v/>
      </c>
    </row>
    <row r="684" spans="1:20" hidden="1">
      <c r="A684" s="20" t="s">
        <v>1015</v>
      </c>
      <c r="B684" s="47">
        <v>46290</v>
      </c>
      <c r="C684" t="s">
        <v>122</v>
      </c>
      <c r="D684" t="s">
        <v>123</v>
      </c>
      <c r="E684" t="s">
        <v>34</v>
      </c>
      <c r="F684" t="s">
        <v>35</v>
      </c>
      <c r="G684" t="s">
        <v>117</v>
      </c>
      <c r="H684" s="20" t="s">
        <v>938</v>
      </c>
      <c r="I684" t="s">
        <v>65</v>
      </c>
      <c r="J684" s="30">
        <v>480</v>
      </c>
      <c r="K684" s="22">
        <f>IF(I684="","",IF(I684="ENTRADA",ABS(J684),-ABS(J684)))</f>
        <v>-480</v>
      </c>
      <c r="L684" t="s">
        <v>37</v>
      </c>
      <c r="N684">
        <v>65234</v>
      </c>
      <c r="O684" t="s">
        <v>331</v>
      </c>
      <c r="P684">
        <v>1958</v>
      </c>
      <c r="Q684" s="47">
        <v>46294</v>
      </c>
      <c r="R684" s="22" t="str">
        <f>IF(H684="","",H684&amp;I684)</f>
        <v>260727-380SALIDA</v>
      </c>
      <c r="S684" s="22" t="str">
        <f>IF(C684="","",C684&amp;I684)</f>
        <v>PardoSALIDA</v>
      </c>
      <c r="T684" t="str">
        <f>IF(OR(C684="",I684&lt;&gt;"ENTRADA"),"",TEXT(B684,"AAMMDD")&amp;"-"&amp;TEXT(VALUE(SUBSTITUTE(A684,"MOV-","")),"000"))</f>
        <v/>
      </c>
    </row>
    <row r="685" spans="1:20" hidden="1">
      <c r="A685" s="20" t="s">
        <v>1016</v>
      </c>
      <c r="B685" s="47">
        <v>46290</v>
      </c>
      <c r="C685" t="s">
        <v>122</v>
      </c>
      <c r="D685" t="s">
        <v>123</v>
      </c>
      <c r="E685" t="s">
        <v>34</v>
      </c>
      <c r="F685" t="s">
        <v>35</v>
      </c>
      <c r="G685" t="s">
        <v>117</v>
      </c>
      <c r="H685" s="20" t="s">
        <v>938</v>
      </c>
      <c r="I685" t="s">
        <v>65</v>
      </c>
      <c r="J685" s="30">
        <v>1500</v>
      </c>
      <c r="K685" s="22">
        <f>IF(I685="","",IF(I685="ENTRADA",ABS(J685),-ABS(J685)))</f>
        <v>-1500</v>
      </c>
      <c r="L685" t="s">
        <v>37</v>
      </c>
      <c r="N685">
        <v>65234</v>
      </c>
      <c r="O685" t="s">
        <v>309</v>
      </c>
      <c r="P685">
        <v>1958</v>
      </c>
      <c r="Q685" s="47">
        <v>46294</v>
      </c>
      <c r="R685" s="22" t="str">
        <f>IF(H685="","",H685&amp;I685)</f>
        <v>260727-380SALIDA</v>
      </c>
      <c r="S685" s="22" t="str">
        <f>IF(C685="","",C685&amp;I685)</f>
        <v>PardoSALIDA</v>
      </c>
      <c r="T685" t="str">
        <f>IF(OR(C685="",I685&lt;&gt;"ENTRADA"),"",TEXT(B685,"AAMMDD")&amp;"-"&amp;TEXT(VALUE(SUBSTITUTE(A685,"MOV-","")),"000"))</f>
        <v/>
      </c>
    </row>
    <row r="686" spans="1:20" hidden="1">
      <c r="A686" s="20" t="s">
        <v>1017</v>
      </c>
      <c r="B686" s="47">
        <v>46290</v>
      </c>
      <c r="C686" t="s">
        <v>779</v>
      </c>
      <c r="D686" t="s">
        <v>780</v>
      </c>
      <c r="E686" t="s">
        <v>34</v>
      </c>
      <c r="G686" t="s">
        <v>27</v>
      </c>
      <c r="H686" s="20" t="s">
        <v>1018</v>
      </c>
      <c r="I686" t="s">
        <v>65</v>
      </c>
      <c r="J686" s="30">
        <v>200</v>
      </c>
      <c r="K686" s="22">
        <f>IF(I686="","",IF(I686="ENTRADA",ABS(J686),-ABS(J686)))</f>
        <v>-200</v>
      </c>
      <c r="L686" t="s">
        <v>37</v>
      </c>
      <c r="N686">
        <v>65234</v>
      </c>
      <c r="O686" t="s">
        <v>309</v>
      </c>
      <c r="P686">
        <v>1958</v>
      </c>
      <c r="Q686" s="47">
        <v>46294</v>
      </c>
      <c r="R686" s="22" t="str">
        <f>IF(H686="","",H686&amp;I686)</f>
        <v>260801-488SALIDA</v>
      </c>
      <c r="S686" s="22" t="str">
        <f>IF(C686="","",C686&amp;I686)</f>
        <v>Voraxor SALIDA</v>
      </c>
      <c r="T686" t="str">
        <f>IF(OR(C686="",I686&lt;&gt;"ENTRADA"),"",TEXT(B686,"AAMMDD")&amp;"-"&amp;TEXT(VALUE(SUBSTITUTE(A686,"MOV-","")),"000"))</f>
        <v/>
      </c>
    </row>
    <row r="687" spans="1:20" hidden="1">
      <c r="A687" s="20" t="s">
        <v>1019</v>
      </c>
      <c r="B687" s="47">
        <v>46290</v>
      </c>
      <c r="C687" t="s">
        <v>943</v>
      </c>
      <c r="D687" t="s">
        <v>944</v>
      </c>
      <c r="E687" t="s">
        <v>516</v>
      </c>
      <c r="G687" t="s">
        <v>777</v>
      </c>
      <c r="H687" s="20" t="s">
        <v>969</v>
      </c>
      <c r="I687" t="s">
        <v>65</v>
      </c>
      <c r="J687" s="30">
        <v>145</v>
      </c>
      <c r="K687" s="22">
        <f>IF(I687="","",IF(I687="ENTRADA",ABS(J687),-ABS(J687)))</f>
        <v>-145</v>
      </c>
      <c r="L687" t="s">
        <v>56</v>
      </c>
      <c r="N687">
        <v>65235</v>
      </c>
      <c r="O687" t="s">
        <v>382</v>
      </c>
      <c r="P687">
        <v>1959</v>
      </c>
      <c r="Q687" s="47">
        <v>46294</v>
      </c>
      <c r="R687" s="22" t="str">
        <f>IF(H687="","",H687&amp;I687)</f>
        <v>260917-626SALIDA</v>
      </c>
      <c r="S687" s="22" t="str">
        <f>IF(C687="","",C687&amp;I687)</f>
        <v>Miravis triple packSALIDA</v>
      </c>
      <c r="T687" t="str">
        <f>IF(OR(C687="",I687&lt;&gt;"ENTRADA"),"",TEXT(B687,"AAMMDD")&amp;"-"&amp;TEXT(VALUE(SUBSTITUTE(A687,"MOV-","")),"000"))</f>
        <v/>
      </c>
    </row>
    <row r="688" spans="1:20" hidden="1">
      <c r="A688" s="20" t="s">
        <v>1020</v>
      </c>
      <c r="B688" s="47">
        <v>46290</v>
      </c>
      <c r="C688" t="s">
        <v>130</v>
      </c>
      <c r="D688" t="s">
        <v>131</v>
      </c>
      <c r="E688" t="s">
        <v>132</v>
      </c>
      <c r="G688" t="s">
        <v>133</v>
      </c>
      <c r="H688" s="20" t="s">
        <v>221</v>
      </c>
      <c r="I688" t="s">
        <v>65</v>
      </c>
      <c r="J688" s="30">
        <v>160</v>
      </c>
      <c r="K688" s="22">
        <f>IF(I688="","",IF(I688="ENTRADA",ABS(J688),-ABS(J688)))</f>
        <v>-160</v>
      </c>
      <c r="L688" t="s">
        <v>37</v>
      </c>
      <c r="N688">
        <v>65235</v>
      </c>
      <c r="O688" t="s">
        <v>382</v>
      </c>
      <c r="P688">
        <v>1959</v>
      </c>
      <c r="Q688" s="47">
        <v>46294</v>
      </c>
      <c r="R688" s="22" t="str">
        <f>IF(H688="","",H688&amp;I688)</f>
        <v>260414-029SALIDA</v>
      </c>
      <c r="S688" s="22" t="str">
        <f>IF(C688="","",C688&amp;I688)</f>
        <v>HarrierSALIDA</v>
      </c>
      <c r="T688" t="str">
        <f>IF(OR(C688="",I688&lt;&gt;"ENTRADA"),"",TEXT(B688,"AAMMDD")&amp;"-"&amp;TEXT(VALUE(SUBSTITUTE(A688,"MOV-","")),"000"))</f>
        <v/>
      </c>
    </row>
    <row r="689" spans="1:20" hidden="1">
      <c r="A689" s="20" t="s">
        <v>1021</v>
      </c>
      <c r="B689" s="47">
        <v>46290</v>
      </c>
      <c r="C689" t="s">
        <v>137</v>
      </c>
      <c r="D689" t="s">
        <v>138</v>
      </c>
      <c r="E689" t="s">
        <v>132</v>
      </c>
      <c r="G689" t="s">
        <v>133</v>
      </c>
      <c r="H689" s="20" t="s">
        <v>211</v>
      </c>
      <c r="I689" t="s">
        <v>65</v>
      </c>
      <c r="J689" s="30">
        <v>30</v>
      </c>
      <c r="K689" s="22">
        <f>IF(I689="","",IF(I689="ENTRADA",ABS(J689),-ABS(J689)))</f>
        <v>-30</v>
      </c>
      <c r="L689" t="s">
        <v>37</v>
      </c>
      <c r="N689">
        <v>65235</v>
      </c>
      <c r="O689" t="s">
        <v>382</v>
      </c>
      <c r="P689">
        <v>1959</v>
      </c>
      <c r="Q689" s="47">
        <v>46294</v>
      </c>
      <c r="R689" s="22" t="str">
        <f>IF(H689="","",H689&amp;I689)</f>
        <v>260414-030SALIDA</v>
      </c>
      <c r="S689" s="22" t="str">
        <f>IF(C689="","",C689&amp;I689)</f>
        <v>Full controlSALIDA</v>
      </c>
      <c r="T689" t="str">
        <f>IF(OR(C689="",I689&lt;&gt;"ENTRADA"),"",TEXT(B689,"AAMMDD")&amp;"-"&amp;TEXT(VALUE(SUBSTITUTE(A689,"MOV-","")),"000"))</f>
        <v/>
      </c>
    </row>
    <row r="690" spans="1:20" hidden="1">
      <c r="A690" s="20" t="s">
        <v>1022</v>
      </c>
      <c r="B690" s="47">
        <v>46291</v>
      </c>
      <c r="C690" t="s">
        <v>115</v>
      </c>
      <c r="D690" t="s">
        <v>116</v>
      </c>
      <c r="E690" t="s">
        <v>34</v>
      </c>
      <c r="F690" t="s">
        <v>35</v>
      </c>
      <c r="G690" t="s">
        <v>117</v>
      </c>
      <c r="H690" s="20" t="s">
        <v>971</v>
      </c>
      <c r="I690" t="s">
        <v>65</v>
      </c>
      <c r="J690" s="30">
        <v>2500</v>
      </c>
      <c r="K690" s="22">
        <f>IF(I690="","",IF(I690="ENTRADA",ABS(J690),-ABS(J690)))</f>
        <v>-2500</v>
      </c>
      <c r="L690" t="s">
        <v>37</v>
      </c>
      <c r="N690">
        <v>65236</v>
      </c>
      <c r="O690" t="s">
        <v>1023</v>
      </c>
      <c r="P690">
        <v>1971</v>
      </c>
      <c r="Q690" s="47">
        <v>46297</v>
      </c>
      <c r="R690" s="22" t="str">
        <f>IF(H690="","",H690&amp;I690)</f>
        <v>260910-622SALIDA</v>
      </c>
      <c r="S690" s="22" t="str">
        <f>IF(C690="","",C690&amp;I690)</f>
        <v>AzukaSALIDA</v>
      </c>
      <c r="T690" t="str">
        <f>IF(OR(C690="",I690&lt;&gt;"ENTRADA"),"",TEXT(B690,"AAMMDD")&amp;"-"&amp;TEXT(VALUE(SUBSTITUTE(A690,"MOV-","")),"000"))</f>
        <v/>
      </c>
    </row>
    <row r="691" spans="1:20" hidden="1">
      <c r="A691" s="20" t="s">
        <v>1024</v>
      </c>
      <c r="B691" s="47">
        <v>46291</v>
      </c>
      <c r="C691" t="s">
        <v>122</v>
      </c>
      <c r="D691" t="s">
        <v>123</v>
      </c>
      <c r="E691" t="s">
        <v>34</v>
      </c>
      <c r="F691" t="s">
        <v>35</v>
      </c>
      <c r="G691" t="s">
        <v>117</v>
      </c>
      <c r="H691" s="20" t="s">
        <v>938</v>
      </c>
      <c r="I691" t="s">
        <v>65</v>
      </c>
      <c r="J691" s="30">
        <v>700</v>
      </c>
      <c r="K691" s="22">
        <f>IF(I691="","",IF(I691="ENTRADA",ABS(J691),-ABS(J691)))</f>
        <v>-700</v>
      </c>
      <c r="L691" t="s">
        <v>37</v>
      </c>
      <c r="N691">
        <v>65236</v>
      </c>
      <c r="O691" t="s">
        <v>1023</v>
      </c>
      <c r="P691">
        <v>1971</v>
      </c>
      <c r="Q691" s="47">
        <v>46297</v>
      </c>
      <c r="R691" s="22" t="str">
        <f>IF(H691="","",H691&amp;I691)</f>
        <v>260727-380SALIDA</v>
      </c>
      <c r="S691" s="22" t="str">
        <f>IF(C691="","",C691&amp;I691)</f>
        <v>PardoSALIDA</v>
      </c>
      <c r="T691" t="str">
        <f>IF(OR(C691="",I691&lt;&gt;"ENTRADA"),"",TEXT(B691,"AAMMDD")&amp;"-"&amp;TEXT(VALUE(SUBSTITUTE(A691,"MOV-","")),"000"))</f>
        <v/>
      </c>
    </row>
    <row r="692" spans="1:20" hidden="1">
      <c r="A692" s="20" t="s">
        <v>1025</v>
      </c>
      <c r="B692" s="47">
        <v>46291</v>
      </c>
      <c r="C692" s="34" t="s">
        <v>933</v>
      </c>
      <c r="D692" s="34" t="s">
        <v>934</v>
      </c>
      <c r="E692" s="34" t="s">
        <v>516</v>
      </c>
      <c r="F692" s="34"/>
      <c r="G692" s="34" t="s">
        <v>36</v>
      </c>
      <c r="H692" s="20" t="s">
        <v>993</v>
      </c>
      <c r="I692" s="34" t="s">
        <v>65</v>
      </c>
      <c r="J692" s="30">
        <v>500</v>
      </c>
      <c r="K692" s="22">
        <f>IF(I692="","",IF(I692="ENTRADA",ABS(J692),-ABS(J692)))</f>
        <v>-500</v>
      </c>
      <c r="L692" s="34" t="s">
        <v>37</v>
      </c>
      <c r="M692" s="34"/>
      <c r="N692">
        <v>65236</v>
      </c>
      <c r="O692" t="s">
        <v>1023</v>
      </c>
      <c r="P692">
        <v>1971</v>
      </c>
      <c r="Q692" s="47">
        <v>46297</v>
      </c>
      <c r="R692" s="22" t="str">
        <f>IF(H692="","",H692&amp;I692)</f>
        <v>260914-621SALIDA</v>
      </c>
      <c r="S692" s="22" t="str">
        <f>IF(C692="","",C692&amp;I692)</f>
        <v>swing plusSALIDA</v>
      </c>
      <c r="T692" t="str">
        <f>IF(OR(C692="",I692&lt;&gt;"ENTRADA"),"",TEXT(B692,"AAMMDD")&amp;"-"&amp;TEXT(VALUE(SUBSTITUTE(A692,"MOV-","")),"000"))</f>
        <v/>
      </c>
    </row>
    <row r="693" spans="1:20" hidden="1">
      <c r="A693" s="20" t="s">
        <v>1026</v>
      </c>
      <c r="B693" s="47">
        <v>46291</v>
      </c>
      <c r="C693" t="s">
        <v>137</v>
      </c>
      <c r="D693" t="s">
        <v>138</v>
      </c>
      <c r="E693" t="s">
        <v>132</v>
      </c>
      <c r="G693" t="s">
        <v>133</v>
      </c>
      <c r="H693" s="20" t="s">
        <v>211</v>
      </c>
      <c r="I693" t="s">
        <v>65</v>
      </c>
      <c r="J693" s="30">
        <v>30</v>
      </c>
      <c r="K693" s="22">
        <f>IF(I693="","",IF(I693="ENTRADA",ABS(J693),-ABS(J693)))</f>
        <v>-30</v>
      </c>
      <c r="L693" t="s">
        <v>37</v>
      </c>
      <c r="N693">
        <v>65236</v>
      </c>
      <c r="O693" t="s">
        <v>1023</v>
      </c>
      <c r="P693">
        <v>1971</v>
      </c>
      <c r="Q693" s="47">
        <v>46297</v>
      </c>
      <c r="R693" s="22" t="str">
        <f>IF(H693="","",H693&amp;I693)</f>
        <v>260414-030SALIDA</v>
      </c>
      <c r="S693" s="22" t="str">
        <f>IF(C693="","",C693&amp;I693)</f>
        <v>Full controlSALIDA</v>
      </c>
      <c r="T693" t="str">
        <f>IF(OR(C693="",I693&lt;&gt;"ENTRADA"),"",TEXT(B693,"AAMMDD")&amp;"-"&amp;TEXT(VALUE(SUBSTITUTE(A693,"MOV-","")),"000"))</f>
        <v/>
      </c>
    </row>
    <row r="694" spans="1:20" hidden="1">
      <c r="A694" s="20" t="s">
        <v>1027</v>
      </c>
      <c r="B694" s="47">
        <v>46291</v>
      </c>
      <c r="C694" t="s">
        <v>130</v>
      </c>
      <c r="D694" t="s">
        <v>131</v>
      </c>
      <c r="E694" t="s">
        <v>132</v>
      </c>
      <c r="G694" t="s">
        <v>133</v>
      </c>
      <c r="H694" s="20" t="s">
        <v>221</v>
      </c>
      <c r="I694" t="s">
        <v>65</v>
      </c>
      <c r="J694" s="30">
        <v>100</v>
      </c>
      <c r="K694" s="22">
        <f>IF(I694="","",IF(I694="ENTRADA",ABS(J694),-ABS(J694)))</f>
        <v>-100</v>
      </c>
      <c r="L694" t="s">
        <v>37</v>
      </c>
      <c r="N694">
        <v>65236</v>
      </c>
      <c r="O694" t="s">
        <v>1023</v>
      </c>
      <c r="P694">
        <v>1971</v>
      </c>
      <c r="Q694" s="47">
        <v>46297</v>
      </c>
      <c r="R694" s="22" t="str">
        <f>IF(H694="","",H694&amp;I694)</f>
        <v>260414-029SALIDA</v>
      </c>
      <c r="S694" s="22" t="str">
        <f>IF(C694="","",C694&amp;I694)</f>
        <v>HarrierSALIDA</v>
      </c>
      <c r="T694" t="str">
        <f>IF(OR(C694="",I694&lt;&gt;"ENTRADA"),"",TEXT(B694,"AAMMDD")&amp;"-"&amp;TEXT(VALUE(SUBSTITUTE(A694,"MOV-","")),"000"))</f>
        <v/>
      </c>
    </row>
    <row r="695" spans="1:20" hidden="1">
      <c r="A695" s="20" t="s">
        <v>1028</v>
      </c>
      <c r="B695" s="47">
        <v>46291</v>
      </c>
      <c r="C695" t="s">
        <v>90</v>
      </c>
      <c r="D695" t="s">
        <v>91</v>
      </c>
      <c r="E695" t="s">
        <v>34</v>
      </c>
      <c r="F695" t="s">
        <v>35</v>
      </c>
      <c r="G695" t="s">
        <v>36</v>
      </c>
      <c r="H695" s="20" t="s">
        <v>375</v>
      </c>
      <c r="I695" t="s">
        <v>65</v>
      </c>
      <c r="J695" s="30">
        <v>340</v>
      </c>
      <c r="K695" s="22">
        <f>IF(I695="","",IF(I695="ENTRADA",ABS(J695),-ABS(J695)))</f>
        <v>-340</v>
      </c>
      <c r="L695" t="s">
        <v>37</v>
      </c>
      <c r="N695">
        <v>65236</v>
      </c>
      <c r="O695" t="s">
        <v>1023</v>
      </c>
      <c r="P695">
        <v>1971</v>
      </c>
      <c r="Q695" s="47">
        <v>46297</v>
      </c>
      <c r="R695" s="22" t="str">
        <f>IF(H695="","",H695&amp;I695)</f>
        <v>260405-132SALIDA</v>
      </c>
      <c r="S695" s="22" t="str">
        <f>IF(C695="","",C695&amp;I695)</f>
        <v>PixxaroSALIDA</v>
      </c>
      <c r="T695" t="str">
        <f>IF(OR(C695="",I695&lt;&gt;"ENTRADA"),"",TEXT(B695,"AAMMDD")&amp;"-"&amp;TEXT(VALUE(SUBSTITUTE(A695,"MOV-","")),"000"))</f>
        <v/>
      </c>
    </row>
    <row r="696" spans="1:20" hidden="1">
      <c r="A696" s="20" t="s">
        <v>1029</v>
      </c>
      <c r="B696" s="47">
        <v>46293</v>
      </c>
      <c r="C696" t="s">
        <v>1030</v>
      </c>
      <c r="D696" t="s">
        <v>1031</v>
      </c>
      <c r="E696" t="s">
        <v>34</v>
      </c>
      <c r="F696" t="s">
        <v>35</v>
      </c>
      <c r="G696" t="s">
        <v>1032</v>
      </c>
      <c r="H696" s="20" t="str">
        <f>+T696</f>
        <v>260928-698</v>
      </c>
      <c r="I696" t="s">
        <v>28</v>
      </c>
      <c r="J696" s="30">
        <v>600</v>
      </c>
      <c r="K696" s="22">
        <f>IF(I696="","",IF(I696="ENTRADA",ABS(J696),-ABS(J696)))</f>
        <v>600</v>
      </c>
      <c r="L696" t="s">
        <v>37</v>
      </c>
      <c r="N696">
        <v>14744</v>
      </c>
      <c r="P696">
        <v>15208</v>
      </c>
      <c r="Q696" s="47">
        <v>46294</v>
      </c>
      <c r="R696" s="22" t="str">
        <f>IF(H696="","",H696&amp;I696)</f>
        <v>260928-698ENTRADA</v>
      </c>
      <c r="S696" s="22" t="str">
        <f>IF(C696="","",C696&amp;I696)</f>
        <v>Sauquat super ENTRADA</v>
      </c>
      <c r="T696" t="str">
        <f>IF(OR(C696="",I696&lt;&gt;"ENTRADA"),"",TEXT(B696,"AAMMDD")&amp;"-"&amp;TEXT(VALUE(SUBSTITUTE(A696,"MOV-","")),"000"))</f>
        <v>260928-698</v>
      </c>
    </row>
    <row r="697" spans="1:20" hidden="1">
      <c r="A697" s="20" t="s">
        <v>1033</v>
      </c>
      <c r="B697" s="47">
        <v>46287</v>
      </c>
      <c r="C697" t="s">
        <v>141</v>
      </c>
      <c r="D697" t="s">
        <v>142</v>
      </c>
      <c r="E697" t="s">
        <v>132</v>
      </c>
      <c r="G697" t="s">
        <v>133</v>
      </c>
      <c r="H697" s="20" t="s">
        <v>748</v>
      </c>
      <c r="I697" t="s">
        <v>65</v>
      </c>
      <c r="J697" s="30">
        <v>2</v>
      </c>
      <c r="K697" s="22">
        <f>IF(I697="","",IF(I697="ENTRADA",ABS(J697),-ABS(J697)))</f>
        <v>-2</v>
      </c>
      <c r="L697" t="s">
        <v>37</v>
      </c>
      <c r="N697">
        <v>65224</v>
      </c>
      <c r="O697" t="s">
        <v>387</v>
      </c>
      <c r="P697">
        <v>1951</v>
      </c>
      <c r="Q697" s="47">
        <v>46294</v>
      </c>
      <c r="R697" s="22" t="str">
        <f>IF(H697="","",H697&amp;I697)</f>
        <v>260827-473SALIDA</v>
      </c>
      <c r="S697" s="22" t="str">
        <f>IF(C697="","",C697&amp;I697)</f>
        <v>Maxi DropSALIDA</v>
      </c>
      <c r="T697" t="str">
        <f>IF(OR(C697="",I697&lt;&gt;"ENTRADA"),"",TEXT(B697,"AAMMDD")&amp;"-"&amp;TEXT(VALUE(SUBSTITUTE(A697,"MOV-","")),"000"))</f>
        <v/>
      </c>
    </row>
    <row r="698" spans="1:20" hidden="1">
      <c r="A698" s="20" t="s">
        <v>1034</v>
      </c>
      <c r="B698" s="47">
        <v>46295</v>
      </c>
      <c r="C698" t="s">
        <v>115</v>
      </c>
      <c r="D698" t="s">
        <v>116</v>
      </c>
      <c r="E698" t="s">
        <v>34</v>
      </c>
      <c r="F698" t="s">
        <v>35</v>
      </c>
      <c r="G698" t="s">
        <v>117</v>
      </c>
      <c r="H698" s="20" t="s">
        <v>971</v>
      </c>
      <c r="I698" t="s">
        <v>65</v>
      </c>
      <c r="J698" s="30">
        <v>960</v>
      </c>
      <c r="K698" s="22">
        <f>IF(I698="","",IF(I698="ENTRADA",ABS(J698),-ABS(J698)))</f>
        <v>-960</v>
      </c>
      <c r="L698" t="s">
        <v>37</v>
      </c>
      <c r="N698">
        <v>65237</v>
      </c>
      <c r="O698" t="s">
        <v>1023</v>
      </c>
      <c r="P698">
        <v>1972</v>
      </c>
      <c r="Q698" s="47">
        <v>46297</v>
      </c>
      <c r="R698" s="22" t="str">
        <f>IF(H698="","",H698&amp;I698)</f>
        <v>260910-622SALIDA</v>
      </c>
      <c r="S698" s="22" t="str">
        <f>IF(C698="","",C698&amp;I698)</f>
        <v>AzukaSALIDA</v>
      </c>
      <c r="T698" t="str">
        <f>IF(OR(C698="",I698&lt;&gt;"ENTRADA"),"",TEXT(B698,"AAMMDD")&amp;"-"&amp;TEXT(VALUE(SUBSTITUTE(A698,"MOV-","")),"000"))</f>
        <v/>
      </c>
    </row>
    <row r="699" spans="1:20" hidden="1">
      <c r="A699" s="20" t="s">
        <v>1035</v>
      </c>
      <c r="B699" s="47">
        <v>46295</v>
      </c>
      <c r="C699" t="s">
        <v>750</v>
      </c>
      <c r="D699" t="s">
        <v>87</v>
      </c>
      <c r="E699" t="s">
        <v>34</v>
      </c>
      <c r="G699" t="s">
        <v>301</v>
      </c>
      <c r="H699" s="20" t="s">
        <v>753</v>
      </c>
      <c r="I699" t="s">
        <v>65</v>
      </c>
      <c r="J699" s="30">
        <v>140</v>
      </c>
      <c r="K699" s="22">
        <f>IF(I699="","",IF(I699="ENTRADA",ABS(J699),-ABS(J699)))</f>
        <v>-140</v>
      </c>
      <c r="L699" t="s">
        <v>37</v>
      </c>
      <c r="N699">
        <v>65237</v>
      </c>
      <c r="O699" t="s">
        <v>1023</v>
      </c>
      <c r="P699">
        <v>1972</v>
      </c>
      <c r="Q699" s="47">
        <v>46297</v>
      </c>
      <c r="R699" s="22" t="str">
        <f>IF(H699="","",H699&amp;I699)</f>
        <v>260813-476SALIDA</v>
      </c>
      <c r="S699" s="22" t="str">
        <f>IF(C699="","",C699&amp;I699)</f>
        <v>Fluroxipir Forte 480SALIDA</v>
      </c>
      <c r="T699" t="str">
        <f>IF(OR(C699="",I699&lt;&gt;"ENTRADA"),"",TEXT(B699,"AAMMDD")&amp;"-"&amp;TEXT(VALUE(SUBSTITUTE(A699,"MOV-","")),"000"))</f>
        <v/>
      </c>
    </row>
    <row r="700" spans="1:20" hidden="1">
      <c r="A700" s="20" t="s">
        <v>1036</v>
      </c>
      <c r="B700" s="47">
        <v>46295</v>
      </c>
      <c r="C700" t="s">
        <v>122</v>
      </c>
      <c r="D700" t="s">
        <v>123</v>
      </c>
      <c r="E700" t="s">
        <v>34</v>
      </c>
      <c r="F700" t="s">
        <v>35</v>
      </c>
      <c r="G700" t="s">
        <v>117</v>
      </c>
      <c r="H700" s="20" t="s">
        <v>938</v>
      </c>
      <c r="I700" t="s">
        <v>65</v>
      </c>
      <c r="J700" s="30">
        <v>240</v>
      </c>
      <c r="K700" s="22">
        <f>IF(I700="","",IF(I700="ENTRADA",ABS(J700),-ABS(J700)))</f>
        <v>-240</v>
      </c>
      <c r="L700" t="s">
        <v>37</v>
      </c>
      <c r="N700">
        <v>65237</v>
      </c>
      <c r="O700" t="s">
        <v>1023</v>
      </c>
      <c r="P700">
        <v>1972</v>
      </c>
      <c r="Q700" s="47">
        <v>46297</v>
      </c>
      <c r="R700" s="22" t="str">
        <f>IF(H700="","",H700&amp;I700)</f>
        <v>260727-380SALIDA</v>
      </c>
      <c r="S700" s="22" t="str">
        <f>IF(C700="","",C700&amp;I700)</f>
        <v>PardoSALIDA</v>
      </c>
      <c r="T700" t="str">
        <f>IF(OR(C700="",I700&lt;&gt;"ENTRADA"),"",TEXT(B700,"AAMMDD")&amp;"-"&amp;TEXT(VALUE(SUBSTITUTE(A700,"MOV-","")),"000"))</f>
        <v/>
      </c>
    </row>
    <row r="701" spans="1:20" hidden="1">
      <c r="A701" s="20" t="s">
        <v>1037</v>
      </c>
      <c r="B701" s="47">
        <v>46295</v>
      </c>
      <c r="C701" t="s">
        <v>137</v>
      </c>
      <c r="D701" t="s">
        <v>138</v>
      </c>
      <c r="E701" t="s">
        <v>132</v>
      </c>
      <c r="G701" t="s">
        <v>133</v>
      </c>
      <c r="H701" s="20" t="s">
        <v>211</v>
      </c>
      <c r="I701" t="s">
        <v>65</v>
      </c>
      <c r="J701" s="30">
        <v>5</v>
      </c>
      <c r="K701" s="22">
        <f>IF(I701="","",IF(I701="ENTRADA",ABS(J701),-ABS(J701)))</f>
        <v>-5</v>
      </c>
      <c r="L701" t="s">
        <v>37</v>
      </c>
      <c r="N701">
        <v>65237</v>
      </c>
      <c r="O701" t="s">
        <v>1023</v>
      </c>
      <c r="P701">
        <v>1972</v>
      </c>
      <c r="Q701" s="47">
        <v>46297</v>
      </c>
      <c r="R701" s="22" t="str">
        <f>IF(H701="","",H701&amp;I701)</f>
        <v>260414-030SALIDA</v>
      </c>
      <c r="S701" s="22" t="str">
        <f>IF(C701="","",C701&amp;I701)</f>
        <v>Full controlSALIDA</v>
      </c>
      <c r="T701" t="str">
        <f>IF(OR(C701="",I701&lt;&gt;"ENTRADA"),"",TEXT(B701,"AAMMDD")&amp;"-"&amp;TEXT(VALUE(SUBSTITUTE(A701,"MOV-","")),"000"))</f>
        <v/>
      </c>
    </row>
    <row r="702" spans="1:20" hidden="1">
      <c r="A702" s="20" t="s">
        <v>1038</v>
      </c>
      <c r="B702" s="47">
        <v>46295</v>
      </c>
      <c r="C702" t="s">
        <v>656</v>
      </c>
      <c r="D702" t="s">
        <v>657</v>
      </c>
      <c r="E702" t="s">
        <v>132</v>
      </c>
      <c r="G702" t="s">
        <v>133</v>
      </c>
      <c r="H702" s="20" t="s">
        <v>659</v>
      </c>
      <c r="I702" t="s">
        <v>65</v>
      </c>
      <c r="J702" s="30">
        <v>25</v>
      </c>
      <c r="K702" s="22">
        <f>IF(I702="","",IF(I702="ENTRADA",ABS(J702),-ABS(J702)))</f>
        <v>-25</v>
      </c>
      <c r="L702" t="s">
        <v>37</v>
      </c>
      <c r="N702">
        <v>65237</v>
      </c>
      <c r="O702" t="s">
        <v>1023</v>
      </c>
      <c r="P702">
        <v>1972</v>
      </c>
      <c r="Q702" s="47">
        <v>46297</v>
      </c>
      <c r="R702" s="22" t="str">
        <f>IF(H702="","",H702&amp;I702)</f>
        <v>260729-393SALIDA</v>
      </c>
      <c r="S702" s="22" t="str">
        <f>IF(C702="","",C702&amp;I702)</f>
        <v>Harrier Drone SALIDA</v>
      </c>
      <c r="T702" t="str">
        <f>IF(OR(C702="",I702&lt;&gt;"ENTRADA"),"",TEXT(B702,"AAMMDD")&amp;"-"&amp;TEXT(VALUE(SUBSTITUTE(A702,"MOV-","")),"000"))</f>
        <v/>
      </c>
    </row>
    <row r="703" spans="1:20" hidden="1">
      <c r="A703" s="20" t="s">
        <v>1039</v>
      </c>
      <c r="B703" s="47">
        <v>46295</v>
      </c>
      <c r="C703" s="34" t="s">
        <v>933</v>
      </c>
      <c r="D703" s="34" t="s">
        <v>934</v>
      </c>
      <c r="E703" s="34" t="s">
        <v>516</v>
      </c>
      <c r="F703" s="34"/>
      <c r="G703" s="34" t="s">
        <v>36</v>
      </c>
      <c r="H703" s="20" t="s">
        <v>993</v>
      </c>
      <c r="I703" s="34" t="s">
        <v>65</v>
      </c>
      <c r="J703" s="30">
        <v>480</v>
      </c>
      <c r="K703" s="22">
        <f>IF(I703="","",IF(I703="ENTRADA",ABS(J703),-ABS(J703)))</f>
        <v>-480</v>
      </c>
      <c r="L703" s="34" t="s">
        <v>37</v>
      </c>
      <c r="M703" s="34"/>
      <c r="N703">
        <v>65238</v>
      </c>
      <c r="O703" s="34" t="s">
        <v>237</v>
      </c>
      <c r="P703" s="34">
        <v>1964</v>
      </c>
      <c r="Q703" s="35">
        <v>46295</v>
      </c>
      <c r="R703" s="22" t="str">
        <f>IF(H703="","",H703&amp;I703)</f>
        <v>260914-621SALIDA</v>
      </c>
      <c r="S703" s="22" t="str">
        <f>IF(C703="","",C703&amp;I703)</f>
        <v>swing plusSALIDA</v>
      </c>
      <c r="T703" t="str">
        <f>IF(OR(C703="",I703&lt;&gt;"ENTRADA"),"",TEXT(B703,"AAMMDD")&amp;"-"&amp;TEXT(VALUE(SUBSTITUTE(A703,"MOV-","")),"000"))</f>
        <v/>
      </c>
    </row>
    <row r="704" spans="1:20" hidden="1">
      <c r="A704" s="20" t="s">
        <v>1040</v>
      </c>
      <c r="B704" s="47">
        <v>46295</v>
      </c>
      <c r="C704" t="s">
        <v>75</v>
      </c>
      <c r="D704" t="s">
        <v>76</v>
      </c>
      <c r="E704" t="s">
        <v>34</v>
      </c>
      <c r="F704" t="s">
        <v>35</v>
      </c>
      <c r="G704" t="s">
        <v>77</v>
      </c>
      <c r="H704" s="20" t="s">
        <v>94</v>
      </c>
      <c r="I704" t="s">
        <v>65</v>
      </c>
      <c r="J704" s="30">
        <v>180</v>
      </c>
      <c r="K704" s="22">
        <f>IF(I704="","",IF(I704="ENTRADA",ABS(J704),-ABS(J704)))</f>
        <v>-180</v>
      </c>
      <c r="L704" t="s">
        <v>37</v>
      </c>
      <c r="N704">
        <v>65238</v>
      </c>
      <c r="O704" t="s">
        <v>237</v>
      </c>
      <c r="P704">
        <v>1964</v>
      </c>
      <c r="Q704" s="47">
        <v>46295</v>
      </c>
      <c r="R704" s="22" t="str">
        <f>IF(H704="","",H704&amp;I704)</f>
        <v>260407-012SALIDA</v>
      </c>
      <c r="S704" s="22" t="str">
        <f>IF(C704="","",C704&amp;I704)</f>
        <v>Dedalo eliteSALIDA</v>
      </c>
      <c r="T704" t="str">
        <f>IF(OR(C704="",I704&lt;&gt;"ENTRADA"),"",TEXT(B704,"AAMMDD")&amp;"-"&amp;TEXT(VALUE(SUBSTITUTE(A704,"MOV-","")),"000"))</f>
        <v/>
      </c>
    </row>
    <row r="705" spans="1:20" hidden="1">
      <c r="A705" s="20" t="s">
        <v>1041</v>
      </c>
      <c r="B705" s="47">
        <v>46295</v>
      </c>
      <c r="C705" t="s">
        <v>59</v>
      </c>
      <c r="D705" t="s">
        <v>60</v>
      </c>
      <c r="E705" t="s">
        <v>34</v>
      </c>
      <c r="F705" t="s">
        <v>35</v>
      </c>
      <c r="H705" s="20" t="s">
        <v>68</v>
      </c>
      <c r="I705" t="s">
        <v>65</v>
      </c>
      <c r="J705" s="30">
        <v>10</v>
      </c>
      <c r="K705" s="22">
        <f>IF(I705="","",IF(I705="ENTRADA",ABS(J705),-ABS(J705)))</f>
        <v>-10</v>
      </c>
      <c r="L705" t="s">
        <v>37</v>
      </c>
      <c r="O705" t="s">
        <v>1042</v>
      </c>
      <c r="R705" s="22" t="str">
        <f>IF(H705="","",H705&amp;I705)</f>
        <v>260401-008SALIDA</v>
      </c>
      <c r="S705" s="22" t="str">
        <f>IF(C705="","",C705&amp;I705)</f>
        <v>Venceweed extraSALIDA</v>
      </c>
      <c r="T705" t="str">
        <f>IF(OR(C705="",I705&lt;&gt;"ENTRADA"),"",TEXT(B705,"AAMMDD")&amp;"-"&amp;TEXT(VALUE(SUBSTITUTE(A705,"MOV-","")),"000"))</f>
        <v/>
      </c>
    </row>
    <row r="706" spans="1:20" hidden="1">
      <c r="A706" s="20" t="s">
        <v>1043</v>
      </c>
      <c r="B706" s="47">
        <v>46296</v>
      </c>
      <c r="C706" t="s">
        <v>933</v>
      </c>
      <c r="D706" t="s">
        <v>934</v>
      </c>
      <c r="E706" t="s">
        <v>516</v>
      </c>
      <c r="G706" t="s">
        <v>36</v>
      </c>
      <c r="H706" s="20" t="s">
        <v>993</v>
      </c>
      <c r="I706" t="s">
        <v>65</v>
      </c>
      <c r="J706" s="30">
        <v>500</v>
      </c>
      <c r="K706" s="22">
        <f>IF(I706="","",IF(I706="ENTRADA",ABS(J706),-ABS(J706)))</f>
        <v>-500</v>
      </c>
      <c r="L706" t="s">
        <v>37</v>
      </c>
      <c r="N706">
        <v>65239</v>
      </c>
      <c r="O706" t="s">
        <v>213</v>
      </c>
      <c r="P706">
        <v>1970</v>
      </c>
      <c r="Q706" s="47">
        <v>46297</v>
      </c>
      <c r="R706" s="22" t="str">
        <f>IF(H706="","",H706&amp;I706)</f>
        <v>260914-621SALIDA</v>
      </c>
      <c r="S706" s="22" t="str">
        <f>IF(C706="","",C706&amp;I706)</f>
        <v>swing plusSALIDA</v>
      </c>
      <c r="T706" t="str">
        <f>IF(OR(C706="",I706&lt;&gt;"ENTRADA"),"",TEXT(B706,"AAMMDD")&amp;"-"&amp;TEXT(VALUE(SUBSTITUTE(A706,"MOV-","")),"000"))</f>
        <v/>
      </c>
    </row>
    <row r="707" spans="1:20" hidden="1">
      <c r="A707" s="20" t="s">
        <v>1044</v>
      </c>
      <c r="B707" s="47">
        <v>46296</v>
      </c>
      <c r="C707" t="s">
        <v>115</v>
      </c>
      <c r="D707" t="s">
        <v>116</v>
      </c>
      <c r="E707" t="s">
        <v>34</v>
      </c>
      <c r="F707" t="s">
        <v>35</v>
      </c>
      <c r="G707" t="s">
        <v>117</v>
      </c>
      <c r="H707" s="20" t="s">
        <v>971</v>
      </c>
      <c r="I707" t="s">
        <v>28</v>
      </c>
      <c r="J707" s="30">
        <v>21120</v>
      </c>
      <c r="K707" s="22">
        <f>IF(I707="","",IF(I707="ENTRADA",ABS(J707),-ABS(J707)))</f>
        <v>21120</v>
      </c>
      <c r="L707" t="s">
        <v>37</v>
      </c>
      <c r="N707">
        <v>51428</v>
      </c>
      <c r="P707">
        <v>15227</v>
      </c>
      <c r="Q707" s="47">
        <v>46297</v>
      </c>
      <c r="R707" s="22" t="str">
        <f>IF(H707="","",H707&amp;I707)</f>
        <v>260910-622ENTRADA</v>
      </c>
      <c r="S707" s="22" t="str">
        <f>IF(C707="","",C707&amp;I707)</f>
        <v>AzukaENTRADA</v>
      </c>
      <c r="T707" t="str">
        <f>IF(OR(C707="",I707&lt;&gt;"ENTRADA"),"",TEXT(B707,"AAMMDD")&amp;"-"&amp;TEXT(VALUE(SUBSTITUTE(A707,"MOV-","")),"000"))</f>
        <v>261001-709</v>
      </c>
    </row>
    <row r="708" spans="1:20" hidden="1">
      <c r="A708" s="20" t="s">
        <v>1045</v>
      </c>
      <c r="B708" s="47">
        <v>46296</v>
      </c>
      <c r="C708" t="s">
        <v>115</v>
      </c>
      <c r="D708" t="s">
        <v>116</v>
      </c>
      <c r="E708" t="s">
        <v>34</v>
      </c>
      <c r="F708" t="s">
        <v>35</v>
      </c>
      <c r="G708" t="s">
        <v>117</v>
      </c>
      <c r="H708" s="20" t="s">
        <v>971</v>
      </c>
      <c r="I708" t="s">
        <v>65</v>
      </c>
      <c r="J708" s="30">
        <v>1060</v>
      </c>
      <c r="K708" s="22">
        <f>IF(I708="","",IF(I708="ENTRADA",ABS(J708),-ABS(J708)))</f>
        <v>-1060</v>
      </c>
      <c r="L708" t="s">
        <v>37</v>
      </c>
      <c r="N708">
        <v>65241</v>
      </c>
      <c r="O708" t="s">
        <v>1023</v>
      </c>
      <c r="P708">
        <v>1973</v>
      </c>
      <c r="Q708" s="47">
        <v>46297</v>
      </c>
      <c r="R708" s="22" t="str">
        <f>IF(H708="","",H708&amp;I708)</f>
        <v>260910-622SALIDA</v>
      </c>
      <c r="S708" s="22" t="str">
        <f>IF(C708="","",C708&amp;I708)</f>
        <v>AzukaSALIDA</v>
      </c>
      <c r="T708" t="str">
        <f>IF(OR(C708="",I708&lt;&gt;"ENTRADA"),"",TEXT(B708,"AAMMDD")&amp;"-"&amp;TEXT(VALUE(SUBSTITUTE(A708,"MOV-","")),"000"))</f>
        <v/>
      </c>
    </row>
    <row r="709" spans="1:20" hidden="1">
      <c r="A709" s="20" t="s">
        <v>1046</v>
      </c>
      <c r="B709" s="47">
        <v>46296</v>
      </c>
      <c r="C709" t="s">
        <v>122</v>
      </c>
      <c r="D709" t="s">
        <v>123</v>
      </c>
      <c r="E709" t="s">
        <v>34</v>
      </c>
      <c r="F709" t="s">
        <v>35</v>
      </c>
      <c r="G709" t="s">
        <v>117</v>
      </c>
      <c r="H709" s="20" t="s">
        <v>938</v>
      </c>
      <c r="I709" t="s">
        <v>65</v>
      </c>
      <c r="J709" s="30">
        <v>300</v>
      </c>
      <c r="K709" s="22">
        <f>IF(I709="","",IF(I709="ENTRADA",ABS(J709),-ABS(J709)))</f>
        <v>-300</v>
      </c>
      <c r="L709" t="s">
        <v>37</v>
      </c>
      <c r="N709">
        <v>65241</v>
      </c>
      <c r="O709" t="s">
        <v>1023</v>
      </c>
      <c r="P709">
        <v>1973</v>
      </c>
      <c r="Q709" s="47">
        <v>46297</v>
      </c>
      <c r="R709" s="22" t="str">
        <f>IF(H709="","",H709&amp;I709)</f>
        <v>260727-380SALIDA</v>
      </c>
      <c r="S709" s="22" t="str">
        <f>IF(C709="","",C709&amp;I709)</f>
        <v>PardoSALIDA</v>
      </c>
      <c r="T709" t="str">
        <f>IF(OR(C709="",I709&lt;&gt;"ENTRADA"),"",TEXT(B709,"AAMMDD")&amp;"-"&amp;TEXT(VALUE(SUBSTITUTE(A709,"MOV-","")),"000"))</f>
        <v/>
      </c>
    </row>
    <row r="710" spans="1:20" hidden="1">
      <c r="A710" s="20" t="s">
        <v>1047</v>
      </c>
      <c r="B710" s="47">
        <v>46296</v>
      </c>
      <c r="C710" t="s">
        <v>656</v>
      </c>
      <c r="D710" t="s">
        <v>657</v>
      </c>
      <c r="E710" t="s">
        <v>132</v>
      </c>
      <c r="G710" t="s">
        <v>133</v>
      </c>
      <c r="H710" s="20" t="s">
        <v>659</v>
      </c>
      <c r="I710" t="s">
        <v>65</v>
      </c>
      <c r="J710" s="30">
        <v>30</v>
      </c>
      <c r="K710" s="22">
        <f>IF(I710="","",IF(I710="ENTRADA",ABS(J710),-ABS(J710)))</f>
        <v>-30</v>
      </c>
      <c r="L710" t="s">
        <v>37</v>
      </c>
      <c r="N710">
        <v>65241</v>
      </c>
      <c r="O710" t="s">
        <v>1023</v>
      </c>
      <c r="P710">
        <v>1973</v>
      </c>
      <c r="Q710" s="47">
        <v>46297</v>
      </c>
      <c r="R710" s="22" t="str">
        <f>IF(H710="","",H710&amp;I710)</f>
        <v>260729-393SALIDA</v>
      </c>
      <c r="S710" s="22" t="str">
        <f>IF(C710="","",C710&amp;I710)</f>
        <v>Harrier Drone SALIDA</v>
      </c>
      <c r="T710" t="str">
        <f>IF(OR(C710="",I710&lt;&gt;"ENTRADA"),"",TEXT(B710,"AAMMDD")&amp;"-"&amp;TEXT(VALUE(SUBSTITUTE(A710,"MOV-","")),"000"))</f>
        <v/>
      </c>
    </row>
    <row r="711" spans="1:20" hidden="1">
      <c r="A711" s="20" t="s">
        <v>1048</v>
      </c>
      <c r="B711" s="47">
        <v>46296</v>
      </c>
      <c r="C711" t="s">
        <v>90</v>
      </c>
      <c r="D711" t="s">
        <v>91</v>
      </c>
      <c r="E711" t="s">
        <v>34</v>
      </c>
      <c r="F711" t="s">
        <v>35</v>
      </c>
      <c r="G711" t="s">
        <v>36</v>
      </c>
      <c r="H711" s="20" t="s">
        <v>375</v>
      </c>
      <c r="I711" t="s">
        <v>65</v>
      </c>
      <c r="J711" s="30">
        <v>120</v>
      </c>
      <c r="K711" s="22">
        <f>IF(I711="","",IF(I711="ENTRADA",ABS(J711),-ABS(J711)))</f>
        <v>-120</v>
      </c>
      <c r="L711" t="s">
        <v>37</v>
      </c>
      <c r="N711">
        <v>65241</v>
      </c>
      <c r="O711" t="s">
        <v>1023</v>
      </c>
      <c r="P711">
        <v>1973</v>
      </c>
      <c r="Q711" s="47">
        <v>46297</v>
      </c>
      <c r="R711" s="22" t="str">
        <f>IF(H711="","",H711&amp;I711)</f>
        <v>260405-132SALIDA</v>
      </c>
      <c r="S711" s="22" t="str">
        <f>IF(C711="","",C711&amp;I711)</f>
        <v>PixxaroSALIDA</v>
      </c>
      <c r="T711" t="str">
        <f>IF(OR(C711="",I711&lt;&gt;"ENTRADA"),"",TEXT(B711,"AAMMDD")&amp;"-"&amp;TEXT(VALUE(SUBSTITUTE(A711,"MOV-","")),"000"))</f>
        <v/>
      </c>
    </row>
    <row r="712" spans="1:20" hidden="1">
      <c r="A712" s="20" t="s">
        <v>1049</v>
      </c>
      <c r="B712" s="47">
        <v>46297</v>
      </c>
      <c r="C712" t="s">
        <v>933</v>
      </c>
      <c r="D712" t="s">
        <v>934</v>
      </c>
      <c r="E712" t="s">
        <v>516</v>
      </c>
      <c r="G712" t="s">
        <v>36</v>
      </c>
      <c r="H712" s="20" t="s">
        <v>993</v>
      </c>
      <c r="I712" t="s">
        <v>65</v>
      </c>
      <c r="J712" s="30">
        <v>450</v>
      </c>
      <c r="K712" s="22">
        <f>IF(I712="","",IF(I712="ENTRADA",ABS(J712),-ABS(J712)))</f>
        <v>-450</v>
      </c>
      <c r="L712" t="s">
        <v>37</v>
      </c>
      <c r="N712">
        <v>65240</v>
      </c>
      <c r="O712" t="s">
        <v>218</v>
      </c>
      <c r="P712">
        <v>1974</v>
      </c>
      <c r="Q712" s="47">
        <v>46297</v>
      </c>
      <c r="R712" s="22" t="str">
        <f>IF(H712="","",H712&amp;I712)</f>
        <v>260914-621SALIDA</v>
      </c>
      <c r="S712" s="22" t="str">
        <f>IF(C712="","",C712&amp;I712)</f>
        <v>swing plusSALIDA</v>
      </c>
      <c r="T712" t="str">
        <f>IF(OR(C712="",I712&lt;&gt;"ENTRADA"),"",TEXT(B712,"AAMMDD")&amp;"-"&amp;TEXT(VALUE(SUBSTITUTE(A712,"MOV-","")),"000"))</f>
        <v/>
      </c>
    </row>
    <row r="713" spans="1:20" hidden="1">
      <c r="A713" s="20" t="s">
        <v>1050</v>
      </c>
      <c r="B713" s="47">
        <v>46297</v>
      </c>
      <c r="C713" t="s">
        <v>141</v>
      </c>
      <c r="D713" t="s">
        <v>142</v>
      </c>
      <c r="E713" t="s">
        <v>132</v>
      </c>
      <c r="G713" t="s">
        <v>133</v>
      </c>
      <c r="H713" s="20" t="s">
        <v>748</v>
      </c>
      <c r="I713" t="s">
        <v>65</v>
      </c>
      <c r="J713" s="30">
        <v>1</v>
      </c>
      <c r="K713" s="22">
        <f>IF(I713="","",IF(I713="ENTRADA",ABS(J713),-ABS(J713)))</f>
        <v>-1</v>
      </c>
      <c r="L713" t="s">
        <v>37</v>
      </c>
      <c r="N713">
        <v>65240</v>
      </c>
      <c r="O713" t="s">
        <v>218</v>
      </c>
      <c r="P713">
        <v>1974</v>
      </c>
      <c r="Q713" s="47">
        <v>46297</v>
      </c>
      <c r="R713" s="22" t="str">
        <f>IF(H713="","",H713&amp;I713)</f>
        <v>260827-473SALIDA</v>
      </c>
      <c r="S713" s="22" t="str">
        <f>IF(C713="","",C713&amp;I713)</f>
        <v>Maxi DropSALIDA</v>
      </c>
      <c r="T713" t="str">
        <f>IF(OR(C713="",I713&lt;&gt;"ENTRADA"),"",TEXT(B713,"AAMMDD")&amp;"-"&amp;TEXT(VALUE(SUBSTITUTE(A713,"MOV-","")),"000"))</f>
        <v/>
      </c>
    </row>
    <row r="714" spans="1:20" hidden="1">
      <c r="A714" s="20" t="s">
        <v>1051</v>
      </c>
      <c r="B714" s="47">
        <v>46297</v>
      </c>
      <c r="C714" s="34" t="s">
        <v>137</v>
      </c>
      <c r="D714" s="34" t="s">
        <v>138</v>
      </c>
      <c r="E714" s="34" t="s">
        <v>132</v>
      </c>
      <c r="F714" s="34"/>
      <c r="G714" s="34" t="s">
        <v>133</v>
      </c>
      <c r="H714" s="20" t="s">
        <v>211</v>
      </c>
      <c r="I714" s="34" t="s">
        <v>65</v>
      </c>
      <c r="J714" s="30">
        <v>6</v>
      </c>
      <c r="K714" s="22">
        <f>IF(I714="","",IF(I714="ENTRADA",ABS(J714),-ABS(J714)))</f>
        <v>-6</v>
      </c>
      <c r="L714" s="34" t="s">
        <v>37</v>
      </c>
      <c r="M714" s="34"/>
      <c r="N714">
        <v>65240</v>
      </c>
      <c r="O714" s="34" t="s">
        <v>218</v>
      </c>
      <c r="P714">
        <v>1974</v>
      </c>
      <c r="Q714" s="47">
        <v>46297</v>
      </c>
      <c r="R714" s="22" t="str">
        <f>IF(H714="","",H714&amp;I714)</f>
        <v>260414-030SALIDA</v>
      </c>
      <c r="S714" s="22" t="str">
        <f>IF(C714="","",C714&amp;I714)</f>
        <v>Full controlSALIDA</v>
      </c>
      <c r="T714" t="str">
        <f>IF(OR(C714="",I714&lt;&gt;"ENTRADA"),"",TEXT(B714,"AAMMDD")&amp;"-"&amp;TEXT(VALUE(SUBSTITUTE(A714,"MOV-","")),"000"))</f>
        <v/>
      </c>
    </row>
    <row r="715" spans="1:20" hidden="1">
      <c r="A715" s="20" t="s">
        <v>1052</v>
      </c>
      <c r="B715" s="47">
        <v>46297</v>
      </c>
      <c r="C715" t="s">
        <v>656</v>
      </c>
      <c r="D715" t="s">
        <v>657</v>
      </c>
      <c r="E715" t="s">
        <v>132</v>
      </c>
      <c r="G715" t="s">
        <v>133</v>
      </c>
      <c r="H715" s="20" t="s">
        <v>659</v>
      </c>
      <c r="I715" t="s">
        <v>65</v>
      </c>
      <c r="J715" s="30">
        <v>40</v>
      </c>
      <c r="K715" s="22">
        <f>IF(I715="","",IF(I715="ENTRADA",ABS(J715),-ABS(J715)))</f>
        <v>-40</v>
      </c>
      <c r="L715" t="s">
        <v>37</v>
      </c>
      <c r="N715">
        <v>65240</v>
      </c>
      <c r="O715" t="s">
        <v>218</v>
      </c>
      <c r="P715">
        <v>1974</v>
      </c>
      <c r="Q715" s="47">
        <v>46297</v>
      </c>
      <c r="R715" s="22" t="str">
        <f>IF(H715="","",H715&amp;I715)</f>
        <v>260729-393SALIDA</v>
      </c>
      <c r="S715" s="22" t="str">
        <f>IF(C715="","",C715&amp;I715)</f>
        <v>Harrier Drone SALIDA</v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1053</v>
      </c>
      <c r="B716" s="47">
        <v>46301</v>
      </c>
      <c r="C716" t="s">
        <v>1054</v>
      </c>
      <c r="D716" t="s">
        <v>1055</v>
      </c>
      <c r="E716" t="s">
        <v>25</v>
      </c>
      <c r="F716" t="s">
        <v>1056</v>
      </c>
      <c r="G716" t="s">
        <v>180</v>
      </c>
      <c r="H716" s="20" t="str">
        <f>+T716</f>
        <v>261006-718</v>
      </c>
      <c r="I716" t="s">
        <v>28</v>
      </c>
      <c r="J716" s="30">
        <v>834</v>
      </c>
      <c r="K716" s="22">
        <f>IF(I716="","",IF(I716="ENTRADA",ABS(J716),-ABS(J716)))</f>
        <v>834</v>
      </c>
      <c r="L716" t="s">
        <v>632</v>
      </c>
      <c r="N716">
        <v>8199</v>
      </c>
      <c r="R716" s="22" t="str">
        <f>IF(H716="","",H716&amp;I716)</f>
        <v>261006-718ENTRADA</v>
      </c>
      <c r="S716" s="22" t="str">
        <f>IF(C716="","",C716&amp;I716)</f>
        <v>Sorgo forrajero ENTRADA</v>
      </c>
      <c r="T716" t="str">
        <f>IF(OR(C716="",I716&lt;&gt;"ENTRADA"),"",TEXT(B716,"AAMMDD")&amp;"-"&amp;TEXT(VALUE(SUBSTITUTE(A716,"MOV-","")),"000"))</f>
        <v>261006-718</v>
      </c>
    </row>
    <row r="717" spans="1:20">
      <c r="A717" s="20" t="s">
        <v>1057</v>
      </c>
      <c r="B717" s="47">
        <v>46301</v>
      </c>
      <c r="C717" t="s">
        <v>1054</v>
      </c>
      <c r="D717" t="s">
        <v>1058</v>
      </c>
      <c r="E717" t="s">
        <v>25</v>
      </c>
      <c r="F717" t="s">
        <v>1056</v>
      </c>
      <c r="G717" t="s">
        <v>180</v>
      </c>
      <c r="H717" s="20" t="str">
        <f>+T717</f>
        <v>261006-719</v>
      </c>
      <c r="I717" t="s">
        <v>28</v>
      </c>
      <c r="J717" s="30">
        <v>125</v>
      </c>
      <c r="K717" s="22">
        <f>IF(I717="","",IF(I717="ENTRADA",ABS(J717),-ABS(J717)))</f>
        <v>125</v>
      </c>
      <c r="L717" t="s">
        <v>632</v>
      </c>
      <c r="N717">
        <v>8199</v>
      </c>
      <c r="R717" s="22" t="str">
        <f>IF(H717="","",H717&amp;I717)</f>
        <v>261006-719ENTRADA</v>
      </c>
      <c r="S717" s="22" t="str">
        <f>IF(C717="","",C717&amp;I717)</f>
        <v>Sorgo forrajero ENTRADA</v>
      </c>
      <c r="T717" t="str">
        <f>IF(OR(C717="",I717&lt;&gt;"ENTRADA"),"",TEXT(B717,"AAMMDD")&amp;"-"&amp;TEXT(VALUE(SUBSTITUTE(A717,"MOV-","")),"000"))</f>
        <v>261006-719</v>
      </c>
    </row>
    <row r="718" spans="1:20" hidden="1">
      <c r="A718" s="20" t="s">
        <v>1059</v>
      </c>
      <c r="B718" s="47">
        <v>46301</v>
      </c>
      <c r="C718" t="s">
        <v>1060</v>
      </c>
      <c r="D718" t="s">
        <v>1061</v>
      </c>
      <c r="E718" t="s">
        <v>34</v>
      </c>
      <c r="G718" t="s">
        <v>180</v>
      </c>
      <c r="H718" s="20" t="str">
        <f>+T718</f>
        <v>261006-720</v>
      </c>
      <c r="I718" t="s">
        <v>28</v>
      </c>
      <c r="J718" s="30">
        <v>18</v>
      </c>
      <c r="K718" s="22">
        <f>IF(I718="","",IF(I718="ENTRADA",ABS(J718),-ABS(J718)))</f>
        <v>18</v>
      </c>
      <c r="L718" t="s">
        <v>29</v>
      </c>
      <c r="N718">
        <v>7981</v>
      </c>
      <c r="P718">
        <v>15724</v>
      </c>
      <c r="Q718" s="47">
        <v>46309</v>
      </c>
      <c r="R718" s="22" t="str">
        <f>IF(H718="","",H718&amp;I718)</f>
        <v>261006-720ENTRADA</v>
      </c>
      <c r="S718" s="22" t="str">
        <f>IF(C718="","",C718&amp;I718)</f>
        <v>Semar ENTRADA</v>
      </c>
      <c r="T718" t="str">
        <f>IF(OR(C718="",I718&lt;&gt;"ENTRADA"),"",TEXT(B718,"AAMMDD")&amp;"-"&amp;TEXT(VALUE(SUBSTITUTE(A718,"MOV-","")),"000"))</f>
        <v>261006-720</v>
      </c>
    </row>
    <row r="719" spans="1:20" hidden="1">
      <c r="A719" s="20" t="s">
        <v>1062</v>
      </c>
      <c r="B719" s="47">
        <v>46301</v>
      </c>
      <c r="C719" t="s">
        <v>137</v>
      </c>
      <c r="D719" t="s">
        <v>138</v>
      </c>
      <c r="E719" t="s">
        <v>132</v>
      </c>
      <c r="G719" t="s">
        <v>133</v>
      </c>
      <c r="H719" s="20" t="s">
        <v>211</v>
      </c>
      <c r="I719" t="s">
        <v>65</v>
      </c>
      <c r="J719" s="30">
        <v>9</v>
      </c>
      <c r="K719" s="22">
        <f>IF(I719="","",IF(I719="ENTRADA",ABS(J719),-ABS(J719)))</f>
        <v>-9</v>
      </c>
      <c r="L719" t="s">
        <v>385</v>
      </c>
      <c r="N719">
        <v>65242</v>
      </c>
      <c r="O719" t="s">
        <v>218</v>
      </c>
      <c r="P719">
        <v>1977</v>
      </c>
      <c r="Q719" s="47">
        <v>46301</v>
      </c>
      <c r="R719" s="22" t="str">
        <f>IF(H719="","",H719&amp;I719)</f>
        <v>260414-030SALIDA</v>
      </c>
      <c r="S719" s="22" t="str">
        <f>IF(C719="","",C719&amp;I719)</f>
        <v>Full controlSALIDA</v>
      </c>
      <c r="T719" t="str">
        <f>IF(OR(C719="",I719&lt;&gt;"ENTRADA"),"",TEXT(B719,"AAMMDD")&amp;"-"&amp;TEXT(VALUE(SUBSTITUTE(A719,"MOV-","")),"000"))</f>
        <v/>
      </c>
    </row>
    <row r="720" spans="1:20" hidden="1">
      <c r="A720" s="20" t="s">
        <v>1063</v>
      </c>
      <c r="B720" s="47">
        <v>46301</v>
      </c>
      <c r="C720" t="s">
        <v>130</v>
      </c>
      <c r="D720" t="s">
        <v>131</v>
      </c>
      <c r="E720" t="s">
        <v>132</v>
      </c>
      <c r="G720" t="s">
        <v>133</v>
      </c>
      <c r="H720" s="20" t="s">
        <v>221</v>
      </c>
      <c r="I720" t="s">
        <v>65</v>
      </c>
      <c r="J720" s="30">
        <v>40</v>
      </c>
      <c r="K720" s="22">
        <f>IF(I720="","",IF(I720="ENTRADA",ABS(J720),-ABS(J720)))</f>
        <v>-40</v>
      </c>
      <c r="L720" t="s">
        <v>37</v>
      </c>
      <c r="N720">
        <v>65242</v>
      </c>
      <c r="O720" t="s">
        <v>218</v>
      </c>
      <c r="P720">
        <v>1977</v>
      </c>
      <c r="Q720" s="47">
        <v>46301</v>
      </c>
      <c r="R720" s="22" t="str">
        <f>IF(H720="","",H720&amp;I720)</f>
        <v>260414-029SALIDA</v>
      </c>
      <c r="S720" s="22" t="str">
        <f>IF(C720="","",C720&amp;I720)</f>
        <v>HarrierSALIDA</v>
      </c>
      <c r="T720" t="str">
        <f>IF(OR(C720="",I720&lt;&gt;"ENTRADA"),"",TEXT(B720,"AAMMDD")&amp;"-"&amp;TEXT(VALUE(SUBSTITUTE(A720,"MOV-","")),"000"))</f>
        <v/>
      </c>
    </row>
    <row r="721" spans="1:22" hidden="1">
      <c r="A721" s="20" t="s">
        <v>1064</v>
      </c>
      <c r="B721" s="47">
        <v>46301</v>
      </c>
      <c r="C721" t="s">
        <v>943</v>
      </c>
      <c r="D721" t="s">
        <v>944</v>
      </c>
      <c r="E721" t="s">
        <v>516</v>
      </c>
      <c r="G721" t="s">
        <v>777</v>
      </c>
      <c r="H721" s="20" t="s">
        <v>969</v>
      </c>
      <c r="I721" t="s">
        <v>65</v>
      </c>
      <c r="J721" s="30">
        <v>34</v>
      </c>
      <c r="K721" s="22">
        <f>IF(I721="","",IF(I721="ENTRADA",ABS(J721),-ABS(J721)))</f>
        <v>-34</v>
      </c>
      <c r="L721" t="s">
        <v>56</v>
      </c>
      <c r="N721">
        <v>65242</v>
      </c>
      <c r="O721" t="s">
        <v>218</v>
      </c>
      <c r="P721">
        <v>1977</v>
      </c>
      <c r="Q721" s="47">
        <v>46301</v>
      </c>
      <c r="R721" s="22" t="str">
        <f>IF(H721="","",H721&amp;I721)</f>
        <v>260917-626SALIDA</v>
      </c>
      <c r="S721" s="22" t="str">
        <f>IF(C721="","",C721&amp;I721)</f>
        <v>Miravis triple packSALIDA</v>
      </c>
      <c r="T721" t="str">
        <f>IF(OR(C721="",I721&lt;&gt;"ENTRADA"),"",TEXT(B721,"AAMMDD")&amp;"-"&amp;TEXT(VALUE(SUBSTITUTE(A721,"MOV-","")),"000"))</f>
        <v/>
      </c>
    </row>
    <row r="722" spans="1:22">
      <c r="A722" s="20" t="s">
        <v>1065</v>
      </c>
      <c r="B722" s="47">
        <v>46301</v>
      </c>
      <c r="C722" t="s">
        <v>1054</v>
      </c>
      <c r="D722" t="s">
        <v>1055</v>
      </c>
      <c r="E722" t="s">
        <v>25</v>
      </c>
      <c r="F722" t="s">
        <v>1056</v>
      </c>
      <c r="G722" t="s">
        <v>180</v>
      </c>
      <c r="H722" s="20" t="s">
        <v>1066</v>
      </c>
      <c r="I722" t="s">
        <v>65</v>
      </c>
      <c r="J722" s="30">
        <v>115</v>
      </c>
      <c r="K722" s="22">
        <f>IF(I722="","",IF(I722="ENTRADA",ABS(J722),-ABS(J722)))</f>
        <v>-115</v>
      </c>
      <c r="L722" t="s">
        <v>632</v>
      </c>
      <c r="O722" t="s">
        <v>237</v>
      </c>
      <c r="R722" s="22" t="str">
        <f>IF(H722="","",H722&amp;I722)</f>
        <v>261006-718SALIDA</v>
      </c>
      <c r="S722" s="22" t="str">
        <f>IF(C722="","",C722&amp;I722)</f>
        <v>Sorgo forrajero SALIDA</v>
      </c>
      <c r="T722" t="str">
        <f>IF(OR(C722="",I722&lt;&gt;"ENTRADA"),"",TEXT(B722,"AAMMDD")&amp;"-"&amp;TEXT(VALUE(SUBSTITUTE(A722,"MOV-","")),"000"))</f>
        <v/>
      </c>
    </row>
    <row r="723" spans="1:22" hidden="1">
      <c r="A723" s="20" t="s">
        <v>1067</v>
      </c>
      <c r="B723" s="47">
        <v>46301</v>
      </c>
      <c r="C723" t="s">
        <v>656</v>
      </c>
      <c r="D723" t="s">
        <v>657</v>
      </c>
      <c r="E723" t="s">
        <v>132</v>
      </c>
      <c r="G723" t="s">
        <v>133</v>
      </c>
      <c r="H723" s="20" t="s">
        <v>659</v>
      </c>
      <c r="I723" t="s">
        <v>28</v>
      </c>
      <c r="J723" s="30">
        <v>500</v>
      </c>
      <c r="K723" s="22">
        <f>IF(I723="","",IF(I723="ENTRADA",ABS(J723),-ABS(J723)))</f>
        <v>500</v>
      </c>
      <c r="L723" t="s">
        <v>37</v>
      </c>
      <c r="N723">
        <v>489</v>
      </c>
      <c r="P723">
        <v>15271</v>
      </c>
      <c r="Q723" s="47">
        <v>46309</v>
      </c>
      <c r="R723" s="22" t="str">
        <f>IF(H723="","",H723&amp;I723)</f>
        <v>260729-393ENTRADA</v>
      </c>
      <c r="S723" s="22" t="str">
        <f>IF(C723="","",C723&amp;I723)</f>
        <v>Harrier Drone ENTRADA</v>
      </c>
      <c r="T723" t="str">
        <f>IF(OR(C723="",I723&lt;&gt;"ENTRADA"),"",TEXT(B723,"AAMMDD")&amp;"-"&amp;TEXT(VALUE(SUBSTITUTE(A723,"MOV-","")),"000"))</f>
        <v>261006-725</v>
      </c>
    </row>
    <row r="724" spans="1:22" hidden="1">
      <c r="A724" s="20" t="s">
        <v>1068</v>
      </c>
      <c r="B724" s="47">
        <v>46301</v>
      </c>
      <c r="C724" t="s">
        <v>130</v>
      </c>
      <c r="D724" t="s">
        <v>131</v>
      </c>
      <c r="E724" t="s">
        <v>132</v>
      </c>
      <c r="G724" t="s">
        <v>133</v>
      </c>
      <c r="H724" s="20" t="s">
        <v>221</v>
      </c>
      <c r="I724" t="s">
        <v>65</v>
      </c>
      <c r="J724" s="30">
        <v>500</v>
      </c>
      <c r="K724" s="22">
        <f>IF(I724="","",IF(I724="ENTRADA",ABS(J724),-ABS(J724)))</f>
        <v>-500</v>
      </c>
      <c r="L724" t="s">
        <v>37</v>
      </c>
      <c r="N724">
        <v>65244</v>
      </c>
      <c r="O724" t="s">
        <v>213</v>
      </c>
      <c r="R724" s="22" t="str">
        <f>IF(H724="","",H724&amp;I724)</f>
        <v>260414-029SALIDA</v>
      </c>
      <c r="S724" s="22" t="str">
        <f>IF(C724="","",C724&amp;I724)</f>
        <v>HarrierSALIDA</v>
      </c>
      <c r="T724" t="str">
        <f>IF(OR(C724="",I724&lt;&gt;"ENTRADA"),"",TEXT(B724,"AAMMDD")&amp;"-"&amp;TEXT(VALUE(SUBSTITUTE(A724,"MOV-","")),"000"))</f>
        <v/>
      </c>
    </row>
    <row r="725" spans="1:22">
      <c r="A725" s="20" t="s">
        <v>1069</v>
      </c>
      <c r="B725" s="47">
        <v>46301</v>
      </c>
      <c r="C725" s="34" t="s">
        <v>1054</v>
      </c>
      <c r="D725" s="34" t="s">
        <v>1055</v>
      </c>
      <c r="E725" s="34" t="s">
        <v>25</v>
      </c>
      <c r="F725" s="34" t="s">
        <v>1056</v>
      </c>
      <c r="G725" s="34" t="s">
        <v>180</v>
      </c>
      <c r="H725" s="20" t="s">
        <v>1066</v>
      </c>
      <c r="I725" s="34" t="s">
        <v>65</v>
      </c>
      <c r="J725" s="30">
        <v>115</v>
      </c>
      <c r="K725" s="22">
        <f>IF(I725="","",IF(I725="ENTRADA",ABS(J725),-ABS(J725)))</f>
        <v>-115</v>
      </c>
      <c r="L725" s="34" t="s">
        <v>632</v>
      </c>
      <c r="M725" s="34"/>
      <c r="N725">
        <v>65244</v>
      </c>
      <c r="O725" s="34" t="s">
        <v>213</v>
      </c>
      <c r="P725" s="34"/>
      <c r="Q725" s="35"/>
      <c r="R725" s="22" t="str">
        <f>IF(H725="","",H725&amp;I725)</f>
        <v>261006-718SALIDA</v>
      </c>
      <c r="S725" s="22" t="str">
        <f>IF(C725="","",C725&amp;I725)</f>
        <v>Sorgo forrajero SALIDA</v>
      </c>
      <c r="T725" t="str">
        <f>IF(OR(C725="",I725&lt;&gt;"ENTRADA"),"",TEXT(B725,"AAMMDD")&amp;"-"&amp;TEXT(VALUE(SUBSTITUTE(A725,"MOV-","")),"000"))</f>
        <v/>
      </c>
    </row>
    <row r="726" spans="1:22" hidden="1">
      <c r="A726" s="20" t="s">
        <v>1070</v>
      </c>
      <c r="B726" s="47">
        <v>46302</v>
      </c>
      <c r="C726" t="s">
        <v>933</v>
      </c>
      <c r="D726" t="s">
        <v>934</v>
      </c>
      <c r="E726" t="s">
        <v>516</v>
      </c>
      <c r="G726" t="s">
        <v>36</v>
      </c>
      <c r="H726" s="20" t="s">
        <v>993</v>
      </c>
      <c r="I726" t="s">
        <v>65</v>
      </c>
      <c r="J726" s="30">
        <v>190</v>
      </c>
      <c r="K726" s="22">
        <f>IF(I726="","",IF(I726="ENTRADA",ABS(J726),-ABS(J726)))</f>
        <v>-190</v>
      </c>
      <c r="L726" t="s">
        <v>37</v>
      </c>
      <c r="N726">
        <v>65245</v>
      </c>
      <c r="O726" t="s">
        <v>218</v>
      </c>
      <c r="R726" s="22" t="str">
        <f>IF(H726="","",H726&amp;I726)</f>
        <v>260914-621SALIDA</v>
      </c>
      <c r="S726" s="22" t="str">
        <f>IF(C726="","",C726&amp;I726)</f>
        <v>swing plusSALIDA</v>
      </c>
      <c r="T726" t="str">
        <f>IF(OR(C726="",I726&lt;&gt;"ENTRADA"),"",TEXT(B726,"AAMMDD")&amp;"-"&amp;TEXT(VALUE(SUBSTITUTE(A726,"MOV-","")),"000"))</f>
        <v/>
      </c>
    </row>
    <row r="727" spans="1:22" hidden="1">
      <c r="A727" s="20" t="s">
        <v>1071</v>
      </c>
      <c r="B727" s="47">
        <v>46302</v>
      </c>
      <c r="C727" t="s">
        <v>141</v>
      </c>
      <c r="D727" t="s">
        <v>142</v>
      </c>
      <c r="E727" t="s">
        <v>132</v>
      </c>
      <c r="G727" t="s">
        <v>133</v>
      </c>
      <c r="H727" s="20" t="s">
        <v>748</v>
      </c>
      <c r="I727" t="s">
        <v>65</v>
      </c>
      <c r="J727" s="30">
        <v>1</v>
      </c>
      <c r="K727" s="22">
        <f>IF(I727="","",IF(I727="ENTRADA",ABS(J727),-ABS(J727)))</f>
        <v>-1</v>
      </c>
      <c r="L727" t="s">
        <v>37</v>
      </c>
      <c r="N727">
        <v>65245</v>
      </c>
      <c r="O727" t="s">
        <v>218</v>
      </c>
      <c r="R727" s="22" t="str">
        <f>IF(H727="","",H727&amp;I727)</f>
        <v>260827-473SALIDA</v>
      </c>
      <c r="S727" s="22" t="str">
        <f>IF(C727="","",C727&amp;I727)</f>
        <v>Maxi DropSALIDA</v>
      </c>
      <c r="T727" t="str">
        <f>IF(OR(C727="",I727&lt;&gt;"ENTRADA"),"",TEXT(B727,"AAMMDD")&amp;"-"&amp;TEXT(VALUE(SUBSTITUTE(A727,"MOV-","")),"000"))</f>
        <v/>
      </c>
    </row>
    <row r="728" spans="1:22" hidden="1">
      <c r="A728" s="20" t="s">
        <v>1072</v>
      </c>
      <c r="B728" s="47">
        <v>46302</v>
      </c>
      <c r="C728" t="s">
        <v>656</v>
      </c>
      <c r="D728" t="s">
        <v>657</v>
      </c>
      <c r="E728" t="s">
        <v>132</v>
      </c>
      <c r="G728" t="s">
        <v>133</v>
      </c>
      <c r="H728" s="20" t="s">
        <v>659</v>
      </c>
      <c r="I728" t="s">
        <v>65</v>
      </c>
      <c r="J728" s="30">
        <v>20</v>
      </c>
      <c r="K728" s="22">
        <f>IF(I728="","",IF(I728="ENTRADA",ABS(J728),-ABS(J728)))</f>
        <v>-20</v>
      </c>
      <c r="L728" t="s">
        <v>37</v>
      </c>
      <c r="N728">
        <v>65245</v>
      </c>
      <c r="O728" t="s">
        <v>218</v>
      </c>
      <c r="R728" s="22" t="str">
        <f>IF(H728="","",H728&amp;I728)</f>
        <v>260729-393SALIDA</v>
      </c>
      <c r="S728" s="22" t="str">
        <f>IF(C728="","",C728&amp;I728)</f>
        <v>Harrier Drone SALIDA</v>
      </c>
      <c r="T728" t="str">
        <f>IF(OR(C728="",I728&lt;&gt;"ENTRADA"),"",TEXT(B728,"AAMMDD")&amp;"-"&amp;TEXT(VALUE(SUBSTITUTE(A728,"MOV-","")),"000"))</f>
        <v/>
      </c>
    </row>
    <row r="729" spans="1:22" hidden="1">
      <c r="A729" s="20" t="s">
        <v>1073</v>
      </c>
      <c r="B729" s="47">
        <v>46302</v>
      </c>
      <c r="C729" t="s">
        <v>943</v>
      </c>
      <c r="D729" t="s">
        <v>944</v>
      </c>
      <c r="E729" t="s">
        <v>516</v>
      </c>
      <c r="G729" t="s">
        <v>777</v>
      </c>
      <c r="H729" s="20" t="s">
        <v>969</v>
      </c>
      <c r="I729" t="s">
        <v>65</v>
      </c>
      <c r="J729" s="30">
        <v>3</v>
      </c>
      <c r="K729" s="22">
        <f>IF(I729="","",IF(I729="ENTRADA",ABS(J729),-ABS(J729)))</f>
        <v>-3</v>
      </c>
      <c r="L729" t="s">
        <v>1074</v>
      </c>
      <c r="N729">
        <v>65245</v>
      </c>
      <c r="O729" t="s">
        <v>218</v>
      </c>
      <c r="R729" s="22" t="str">
        <f>IF(H729="","",H729&amp;I729)</f>
        <v>260917-626SALIDA</v>
      </c>
      <c r="S729" s="22" t="str">
        <f>IF(C729="","",C729&amp;I729)</f>
        <v>Miravis triple packSALIDA</v>
      </c>
      <c r="T729" t="str">
        <f>IF(OR(C729="",I729&lt;&gt;"ENTRADA"),"",TEXT(B729,"AAMMDD")&amp;"-"&amp;TEXT(VALUE(SUBSTITUTE(A729,"MOV-","")),"000"))</f>
        <v/>
      </c>
    </row>
    <row r="730" spans="1:22" hidden="1">
      <c r="A730" s="20" t="s">
        <v>1075</v>
      </c>
      <c r="B730" s="47">
        <v>46302</v>
      </c>
      <c r="C730" t="s">
        <v>137</v>
      </c>
      <c r="D730" t="s">
        <v>138</v>
      </c>
      <c r="E730" t="s">
        <v>132</v>
      </c>
      <c r="G730" t="s">
        <v>133</v>
      </c>
      <c r="H730" s="20" t="s">
        <v>211</v>
      </c>
      <c r="I730" t="s">
        <v>65</v>
      </c>
      <c r="J730" s="30">
        <v>3</v>
      </c>
      <c r="K730" s="22">
        <f>IF(I730="","",IF(I730="ENTRADA",ABS(J730),-ABS(J730)))</f>
        <v>-3</v>
      </c>
      <c r="L730" t="s">
        <v>37</v>
      </c>
      <c r="N730">
        <v>65245</v>
      </c>
      <c r="O730" t="s">
        <v>218</v>
      </c>
      <c r="R730" s="22" t="str">
        <f>IF(H730="","",H730&amp;I730)</f>
        <v>260414-030SALIDA</v>
      </c>
      <c r="S730" s="22" t="str">
        <f>IF(C730="","",C730&amp;I730)</f>
        <v>Full controlSALIDA</v>
      </c>
      <c r="T730" t="str">
        <f>IF(OR(C730="",I730&lt;&gt;"ENTRADA"),"",TEXT(B730,"AAMMDD")&amp;"-"&amp;TEXT(VALUE(SUBSTITUTE(A730,"MOV-","")),"000"))</f>
        <v/>
      </c>
    </row>
    <row r="731" spans="1:22" hidden="1">
      <c r="A731" s="20" t="s">
        <v>1076</v>
      </c>
      <c r="B731" s="47">
        <v>46303</v>
      </c>
      <c r="C731" t="s">
        <v>840</v>
      </c>
      <c r="D731" t="s">
        <v>630</v>
      </c>
      <c r="E731" t="s">
        <v>25</v>
      </c>
      <c r="F731" t="s">
        <v>631</v>
      </c>
      <c r="G731" t="s">
        <v>301</v>
      </c>
      <c r="H731" s="20" t="s">
        <v>841</v>
      </c>
      <c r="I731" t="s">
        <v>28</v>
      </c>
      <c r="J731" s="30">
        <v>20</v>
      </c>
      <c r="K731" s="22">
        <f>IF(I731="","",IF(I731="ENTRADA",ABS(J731),-ABS(J731)))</f>
        <v>20</v>
      </c>
      <c r="L731" t="s">
        <v>632</v>
      </c>
      <c r="N731">
        <v>2003</v>
      </c>
      <c r="P731">
        <v>15251</v>
      </c>
      <c r="Q731" s="47">
        <v>46303</v>
      </c>
      <c r="R731" s="22" t="str">
        <f>IF(H731="","",H731&amp;I731)</f>
        <v>260903-531ENTRADA</v>
      </c>
      <c r="S731" s="22" t="str">
        <f>IF(C731="","",C731&amp;I731)</f>
        <v>Maiz Nk 800 tgcl refugio ENTRADA</v>
      </c>
      <c r="T731" t="str">
        <f>IF(OR(C731="",I731&lt;&gt;"ENTRADA"),"",TEXT(B731,"AAMMDD")&amp;"-"&amp;TEXT(VALUE(SUBSTITUTE(A731,"MOV-","")),"000"))</f>
        <v>261008-733</v>
      </c>
    </row>
    <row r="732" spans="1:22">
      <c r="A732" s="20" t="s">
        <v>1077</v>
      </c>
      <c r="B732" s="47">
        <v>46303</v>
      </c>
      <c r="C732" t="s">
        <v>1054</v>
      </c>
      <c r="D732" t="s">
        <v>1058</v>
      </c>
      <c r="E732" t="s">
        <v>25</v>
      </c>
      <c r="F732" t="s">
        <v>1056</v>
      </c>
      <c r="G732" t="s">
        <v>180</v>
      </c>
      <c r="H732" s="20" t="s">
        <v>1078</v>
      </c>
      <c r="I732" t="s">
        <v>65</v>
      </c>
      <c r="J732" s="30">
        <v>38</v>
      </c>
      <c r="K732" s="22">
        <f>IF(I732="","",IF(I732="ENTRADA",ABS(J732),-ABS(J732)))</f>
        <v>-38</v>
      </c>
      <c r="L732" t="s">
        <v>632</v>
      </c>
      <c r="N732">
        <v>65247</v>
      </c>
      <c r="O732" t="s">
        <v>213</v>
      </c>
      <c r="R732" s="22" t="str">
        <f>IF(H732="","",H732&amp;I732)</f>
        <v>261006-719SALIDA</v>
      </c>
      <c r="S732" s="22" t="str">
        <f>IF(C732="","",C732&amp;I732)</f>
        <v>Sorgo forrajero SALIDA</v>
      </c>
      <c r="T732" t="str">
        <f>IF(OR(C732="",I732&lt;&gt;"ENTRADA"),"",TEXT(B732,"AAMMDD")&amp;"-"&amp;TEXT(VALUE(SUBSTITUTE(A732,"MOV-","")),"000"))</f>
        <v/>
      </c>
      <c r="V732" t="s">
        <v>1079</v>
      </c>
    </row>
    <row r="733" spans="1:22" hidden="1">
      <c r="A733" s="20" t="s">
        <v>1080</v>
      </c>
      <c r="B733" s="47">
        <v>46304</v>
      </c>
      <c r="C733" t="s">
        <v>122</v>
      </c>
      <c r="D733" t="s">
        <v>123</v>
      </c>
      <c r="E733" t="s">
        <v>34</v>
      </c>
      <c r="F733" t="s">
        <v>35</v>
      </c>
      <c r="G733" t="s">
        <v>117</v>
      </c>
      <c r="H733" s="20" t="s">
        <v>938</v>
      </c>
      <c r="I733" t="s">
        <v>65</v>
      </c>
      <c r="J733" s="30">
        <v>640</v>
      </c>
      <c r="K733" s="22">
        <f>IF(I733="","",IF(I733="ENTRADA",ABS(J733),-ABS(J733)))</f>
        <v>-640</v>
      </c>
      <c r="L733" t="s">
        <v>37</v>
      </c>
      <c r="N733">
        <v>65248</v>
      </c>
      <c r="O733" t="s">
        <v>66</v>
      </c>
      <c r="R733" s="22" t="str">
        <f>IF(H733="","",H733&amp;I733)</f>
        <v>260727-380SALIDA</v>
      </c>
      <c r="S733" s="22" t="str">
        <f>IF(C733="","",C733&amp;I733)</f>
        <v>PardoSALIDA</v>
      </c>
      <c r="T733" t="str">
        <f>IF(OR(C733="",I733&lt;&gt;"ENTRADA"),"",TEXT(B733,"AAMMDD")&amp;"-"&amp;TEXT(VALUE(SUBSTITUTE(A733,"MOV-","")),"000"))</f>
        <v/>
      </c>
      <c r="V733" t="s">
        <v>1081</v>
      </c>
    </row>
    <row r="734" spans="1:22" hidden="1">
      <c r="A734" s="20" t="s">
        <v>1082</v>
      </c>
      <c r="B734" s="47">
        <v>46304</v>
      </c>
      <c r="C734" t="s">
        <v>1060</v>
      </c>
      <c r="D734" t="s">
        <v>1061</v>
      </c>
      <c r="E734" t="s">
        <v>34</v>
      </c>
      <c r="G734" t="s">
        <v>180</v>
      </c>
      <c r="H734" s="20" t="s">
        <v>1083</v>
      </c>
      <c r="I734" t="s">
        <v>65</v>
      </c>
      <c r="J734" s="30">
        <v>15</v>
      </c>
      <c r="K734" s="22">
        <f>IF(I734="","",IF(I734="ENTRADA",ABS(J734),-ABS(J734)))</f>
        <v>-15</v>
      </c>
      <c r="L734" t="s">
        <v>29</v>
      </c>
      <c r="N734">
        <v>65248</v>
      </c>
      <c r="O734" t="s">
        <v>66</v>
      </c>
      <c r="R734" s="22" t="str">
        <f>IF(H734="","",H734&amp;I734)</f>
        <v>261006-720SALIDA</v>
      </c>
      <c r="S734" s="22" t="str">
        <f>IF(C734="","",C734&amp;I734)</f>
        <v>Semar SALIDA</v>
      </c>
      <c r="T734" t="str">
        <f>IF(OR(C734="",I734&lt;&gt;"ENTRADA"),"",TEXT(B734,"AAMMDD")&amp;"-"&amp;TEXT(VALUE(SUBSTITUTE(A734,"MOV-","")),"000"))</f>
        <v/>
      </c>
      <c r="V734" t="s">
        <v>1081</v>
      </c>
    </row>
    <row r="735" spans="1:22" hidden="1">
      <c r="A735" s="20" t="s">
        <v>1084</v>
      </c>
      <c r="B735" s="47">
        <v>46304</v>
      </c>
      <c r="C735" t="s">
        <v>782</v>
      </c>
      <c r="D735" t="s">
        <v>783</v>
      </c>
      <c r="E735" t="s">
        <v>34</v>
      </c>
      <c r="F735" t="s">
        <v>46</v>
      </c>
      <c r="G735" t="s">
        <v>27</v>
      </c>
      <c r="H735" s="20" t="s">
        <v>797</v>
      </c>
      <c r="I735" t="s">
        <v>65</v>
      </c>
      <c r="J735" s="30">
        <v>180</v>
      </c>
      <c r="K735" s="22">
        <f>IF(I735="","",IF(I735="ENTRADA",ABS(J735),-ABS(J735)))</f>
        <v>-180</v>
      </c>
      <c r="L735" t="s">
        <v>29</v>
      </c>
      <c r="N735">
        <v>65248</v>
      </c>
      <c r="O735" t="s">
        <v>66</v>
      </c>
      <c r="R735" s="22" t="str">
        <f>IF(H735="","",H735&amp;I735)</f>
        <v>260801-489SALIDA</v>
      </c>
      <c r="S735" s="22" t="str">
        <f>IF(C735="","",C735&amp;I735)</f>
        <v>PyroxateSALIDA</v>
      </c>
      <c r="T735" t="str">
        <f>IF(OR(C735="",I735&lt;&gt;"ENTRADA"),"",TEXT(B735,"AAMMDD")&amp;"-"&amp;TEXT(VALUE(SUBSTITUTE(A735,"MOV-","")),"000"))</f>
        <v/>
      </c>
      <c r="V735" t="s">
        <v>1081</v>
      </c>
    </row>
    <row r="736" spans="1:22" hidden="1">
      <c r="A736" s="20" t="s">
        <v>1085</v>
      </c>
      <c r="B736" s="47">
        <v>46304</v>
      </c>
      <c r="C736" s="34" t="s">
        <v>115</v>
      </c>
      <c r="D736" s="34" t="s">
        <v>116</v>
      </c>
      <c r="E736" s="34" t="s">
        <v>34</v>
      </c>
      <c r="F736" s="34" t="s">
        <v>35</v>
      </c>
      <c r="G736" s="34" t="s">
        <v>117</v>
      </c>
      <c r="H736" s="20" t="s">
        <v>971</v>
      </c>
      <c r="I736" s="34" t="s">
        <v>65</v>
      </c>
      <c r="J736" s="30">
        <v>2000</v>
      </c>
      <c r="K736" s="22">
        <f>IF(I736="","",IF(I736="ENTRADA",ABS(J736),-ABS(J736)))</f>
        <v>-2000</v>
      </c>
      <c r="L736" s="34" t="s">
        <v>37</v>
      </c>
      <c r="M736" s="34"/>
      <c r="N736">
        <v>65248</v>
      </c>
      <c r="O736" s="34" t="s">
        <v>66</v>
      </c>
      <c r="P736" s="34"/>
      <c r="Q736" s="35"/>
      <c r="R736" s="22" t="str">
        <f>IF(H736="","",H736&amp;I736)</f>
        <v>260910-622SALIDA</v>
      </c>
      <c r="S736" s="22" t="str">
        <f>IF(C736="","",C736&amp;I736)</f>
        <v>AzukaSALIDA</v>
      </c>
      <c r="T736" t="str">
        <f>IF(OR(C736="",I736&lt;&gt;"ENTRADA"),"",TEXT(B736,"AAMMDD")&amp;"-"&amp;TEXT(VALUE(SUBSTITUTE(A736,"MOV-","")),"000"))</f>
        <v/>
      </c>
      <c r="V736" t="s">
        <v>1081</v>
      </c>
    </row>
    <row r="737" spans="1:22">
      <c r="A737" s="20" t="s">
        <v>1086</v>
      </c>
      <c r="B737" s="47">
        <v>46304</v>
      </c>
      <c r="C737" t="s">
        <v>1054</v>
      </c>
      <c r="D737" t="s">
        <v>1058</v>
      </c>
      <c r="E737" t="s">
        <v>25</v>
      </c>
      <c r="F737" t="s">
        <v>1056</v>
      </c>
      <c r="G737" t="s">
        <v>180</v>
      </c>
      <c r="H737" s="20" t="s">
        <v>1078</v>
      </c>
      <c r="I737" t="s">
        <v>65</v>
      </c>
      <c r="J737" s="30">
        <v>87</v>
      </c>
      <c r="K737" s="22">
        <f>IF(I737="","",IF(I737="ENTRADA",ABS(J737),-ABS(J737)))</f>
        <v>-87</v>
      </c>
      <c r="L737" t="s">
        <v>632</v>
      </c>
      <c r="N737">
        <v>65248</v>
      </c>
      <c r="O737" t="s">
        <v>66</v>
      </c>
      <c r="R737" s="22" t="str">
        <f>IF(H737="","",H737&amp;I737)</f>
        <v>261006-719SALIDA</v>
      </c>
      <c r="S737" s="22" t="str">
        <f>IF(C737="","",C737&amp;I737)</f>
        <v>Sorgo forrajero SALIDA</v>
      </c>
      <c r="T737" t="str">
        <f>IF(OR(C737="",I737&lt;&gt;"ENTRADA"),"",TEXT(B737,"AAMMDD")&amp;"-"&amp;TEXT(VALUE(SUBSTITUTE(A737,"MOV-","")),"000"))</f>
        <v/>
      </c>
      <c r="V737" t="s">
        <v>1081</v>
      </c>
    </row>
    <row r="738" spans="1:22">
      <c r="A738" s="20" t="s">
        <v>1087</v>
      </c>
      <c r="B738" s="47">
        <v>46304</v>
      </c>
      <c r="C738" t="s">
        <v>1054</v>
      </c>
      <c r="D738" t="s">
        <v>1055</v>
      </c>
      <c r="E738" t="s">
        <v>25</v>
      </c>
      <c r="F738" t="s">
        <v>1056</v>
      </c>
      <c r="G738" t="s">
        <v>180</v>
      </c>
      <c r="H738" s="20" t="s">
        <v>1066</v>
      </c>
      <c r="I738" t="s">
        <v>65</v>
      </c>
      <c r="J738" s="30">
        <v>32</v>
      </c>
      <c r="K738" s="22">
        <f>IF(I738="","",IF(I738="ENTRADA",ABS(J738),-ABS(J738)))</f>
        <v>-32</v>
      </c>
      <c r="L738" t="s">
        <v>632</v>
      </c>
      <c r="N738">
        <v>65248</v>
      </c>
      <c r="O738" t="s">
        <v>66</v>
      </c>
      <c r="R738" s="22" t="str">
        <f>IF(H738="","",H738&amp;I738)</f>
        <v>261006-718SALIDA</v>
      </c>
      <c r="S738" s="22" t="str">
        <f>IF(C738="","",C738&amp;I738)</f>
        <v>Sorgo forrajero SALIDA</v>
      </c>
      <c r="T738" t="str">
        <f>IF(OR(C738="",I738&lt;&gt;"ENTRADA"),"",TEXT(B738,"AAMMDD")&amp;"-"&amp;TEXT(VALUE(SUBSTITUTE(A738,"MOV-","")),"000"))</f>
        <v/>
      </c>
      <c r="V738" t="s">
        <v>1081</v>
      </c>
    </row>
    <row r="739" spans="1:22" hidden="1">
      <c r="A739" s="20" t="s">
        <v>1088</v>
      </c>
      <c r="B739" s="47">
        <v>46302</v>
      </c>
      <c r="C739" t="s">
        <v>115</v>
      </c>
      <c r="D739" t="s">
        <v>116</v>
      </c>
      <c r="E739" t="s">
        <v>34</v>
      </c>
      <c r="F739" t="s">
        <v>35</v>
      </c>
      <c r="G739" t="s">
        <v>117</v>
      </c>
      <c r="H739" s="20" t="str">
        <f>+T739</f>
        <v>261007-741</v>
      </c>
      <c r="I739" t="s">
        <v>28</v>
      </c>
      <c r="J739" s="30">
        <v>560</v>
      </c>
      <c r="K739" s="22">
        <f>IF(I739="","",IF(I739="ENTRADA",ABS(J739),-ABS(J739)))</f>
        <v>560</v>
      </c>
      <c r="L739" t="s">
        <v>37</v>
      </c>
      <c r="N739">
        <v>65246</v>
      </c>
      <c r="O739" t="s">
        <v>1023</v>
      </c>
      <c r="R739" s="22" t="str">
        <f>IF(H739="","",H739&amp;I739)</f>
        <v>261007-741ENTRADA</v>
      </c>
      <c r="S739" s="22" t="str">
        <f>IF(C739="","",C739&amp;I739)</f>
        <v>AzukaENTRADA</v>
      </c>
      <c r="T739" t="str">
        <f>IF(OR(C739="",I739&lt;&gt;"ENTRADA"),"",TEXT(B739,"AAMMDD")&amp;"-"&amp;TEXT(VALUE(SUBSTITUTE(A739,"MOV-","")),"000"))</f>
        <v>261007-741</v>
      </c>
      <c r="V739" t="s">
        <v>1089</v>
      </c>
    </row>
    <row r="740" spans="1:22" hidden="1">
      <c r="A740" s="20" t="s">
        <v>1090</v>
      </c>
      <c r="B740" s="47">
        <v>46302</v>
      </c>
      <c r="C740" t="s">
        <v>122</v>
      </c>
      <c r="D740" t="s">
        <v>123</v>
      </c>
      <c r="E740" t="s">
        <v>34</v>
      </c>
      <c r="F740" t="s">
        <v>35</v>
      </c>
      <c r="G740" t="s">
        <v>117</v>
      </c>
      <c r="H740" s="20" t="s">
        <v>938</v>
      </c>
      <c r="I740" t="s">
        <v>28</v>
      </c>
      <c r="J740" s="30">
        <v>220</v>
      </c>
      <c r="K740" s="22">
        <f>IF(I740="","",IF(I740="ENTRADA",ABS(J740),-ABS(J740)))</f>
        <v>220</v>
      </c>
      <c r="L740" t="s">
        <v>37</v>
      </c>
      <c r="N740">
        <v>65246</v>
      </c>
      <c r="O740" t="s">
        <v>1023</v>
      </c>
      <c r="R740" s="22" t="str">
        <f>IF(H740="","",H740&amp;I740)</f>
        <v>260727-380ENTRADA</v>
      </c>
      <c r="S740" s="22" t="str">
        <f>IF(C740="","",C740&amp;I740)</f>
        <v>PardoENTRADA</v>
      </c>
      <c r="T740" t="str">
        <f>IF(OR(C740="",I740&lt;&gt;"ENTRADA"),"",TEXT(B740,"AAMMDD")&amp;"-"&amp;TEXT(VALUE(SUBSTITUTE(A740,"MOV-","")),"000"))</f>
        <v>261007-742</v>
      </c>
      <c r="V740" t="s">
        <v>1089</v>
      </c>
    </row>
    <row r="741" spans="1:22" hidden="1">
      <c r="A741" s="20" t="s">
        <v>1091</v>
      </c>
      <c r="B741" s="47">
        <v>46302</v>
      </c>
      <c r="C741" t="s">
        <v>90</v>
      </c>
      <c r="D741" t="s">
        <v>91</v>
      </c>
      <c r="F741" t="s">
        <v>35</v>
      </c>
      <c r="G741" t="s">
        <v>36</v>
      </c>
      <c r="H741" s="20" t="s">
        <v>375</v>
      </c>
      <c r="I741" t="s">
        <v>28</v>
      </c>
      <c r="J741" s="30">
        <v>145</v>
      </c>
      <c r="K741" s="22">
        <f>IF(I741="","",IF(I741="ENTRADA",ABS(J741),-ABS(J741)))</f>
        <v>145</v>
      </c>
      <c r="L741" t="s">
        <v>37</v>
      </c>
      <c r="N741">
        <v>65246</v>
      </c>
      <c r="O741" t="s">
        <v>1023</v>
      </c>
      <c r="R741" s="22" t="str">
        <f>IF(H741="","",H741&amp;I741)</f>
        <v>260405-132ENTRADA</v>
      </c>
      <c r="S741" s="22" t="str">
        <f>IF(C741="","",C741&amp;I741)</f>
        <v>PixxaroENTRADA</v>
      </c>
      <c r="T741" t="str">
        <f>IF(OR(C741="",I741&lt;&gt;"ENTRADA"),"",TEXT(B741,"AAMMDD")&amp;"-"&amp;TEXT(VALUE(SUBSTITUTE(A741,"MOV-","")),"000"))</f>
        <v>261007-743</v>
      </c>
      <c r="V741" t="s">
        <v>1089</v>
      </c>
    </row>
    <row r="742" spans="1:22" hidden="1">
      <c r="A742" s="20" t="s">
        <v>1092</v>
      </c>
      <c r="B742" s="47">
        <v>46302</v>
      </c>
      <c r="C742" t="s">
        <v>130</v>
      </c>
      <c r="D742" t="s">
        <v>131</v>
      </c>
      <c r="E742" t="s">
        <v>132</v>
      </c>
      <c r="G742" t="s">
        <v>133</v>
      </c>
      <c r="H742" s="20" t="s">
        <v>221</v>
      </c>
      <c r="I742" t="s">
        <v>28</v>
      </c>
      <c r="J742" s="30">
        <v>20</v>
      </c>
      <c r="K742" s="22">
        <f>IF(I742="","",IF(I742="ENTRADA",ABS(J742),-ABS(J742)))</f>
        <v>20</v>
      </c>
      <c r="L742" t="s">
        <v>37</v>
      </c>
      <c r="N742">
        <v>65246</v>
      </c>
      <c r="O742" t="s">
        <v>1023</v>
      </c>
      <c r="R742" s="22" t="str">
        <f>IF(H742="","",H742&amp;I742)</f>
        <v>260414-029ENTRADA</v>
      </c>
      <c r="S742" s="22" t="str">
        <f>IF(C742="","",C742&amp;I742)</f>
        <v>HarrierENTRADA</v>
      </c>
      <c r="T742" t="str">
        <f>IF(OR(C742="",I742&lt;&gt;"ENTRADA"),"",TEXT(B742,"AAMMDD")&amp;"-"&amp;TEXT(VALUE(SUBSTITUTE(A742,"MOV-","")),"000"))</f>
        <v>261007-744</v>
      </c>
      <c r="V742" t="s">
        <v>1089</v>
      </c>
    </row>
    <row r="743" spans="1:22" hidden="1">
      <c r="A743" s="20" t="s">
        <v>1093</v>
      </c>
      <c r="B743" s="47">
        <v>46302</v>
      </c>
      <c r="C743" t="s">
        <v>1094</v>
      </c>
      <c r="D743" t="s">
        <v>1095</v>
      </c>
      <c r="E743" t="s">
        <v>34</v>
      </c>
      <c r="F743" t="s">
        <v>35</v>
      </c>
      <c r="G743" t="s">
        <v>180</v>
      </c>
      <c r="H743" s="20" t="str">
        <f>+T743</f>
        <v>261007-745</v>
      </c>
      <c r="I743" t="s">
        <v>28</v>
      </c>
      <c r="J743" s="30">
        <v>30</v>
      </c>
      <c r="K743" s="22">
        <f>IF(I743="","",IF(I743="ENTRADA",ABS(J743),-ABS(J743)))</f>
        <v>30</v>
      </c>
      <c r="L743" t="s">
        <v>37</v>
      </c>
      <c r="N743">
        <v>65246</v>
      </c>
      <c r="O743" t="s">
        <v>1023</v>
      </c>
      <c r="R743" s="22" t="str">
        <f>IF(H743="","",H743&amp;I743)</f>
        <v>261007-745ENTRADA</v>
      </c>
      <c r="S743" s="22" t="str">
        <f>IF(C743="","",C743&amp;I743)</f>
        <v>irvix full ENTRADA</v>
      </c>
      <c r="T743" t="str">
        <f>IF(OR(C743="",I743&lt;&gt;"ENTRADA"),"",TEXT(B743,"AAMMDD")&amp;"-"&amp;TEXT(VALUE(SUBSTITUTE(A743,"MOV-","")),"000"))</f>
        <v>261007-745</v>
      </c>
      <c r="V743" t="s">
        <v>1089</v>
      </c>
    </row>
    <row r="744" spans="1:22" hidden="1">
      <c r="A744" s="20" t="s">
        <v>1096</v>
      </c>
      <c r="B744" s="47">
        <v>46302</v>
      </c>
      <c r="C744" t="s">
        <v>137</v>
      </c>
      <c r="D744" t="s">
        <v>138</v>
      </c>
      <c r="E744" t="s">
        <v>132</v>
      </c>
      <c r="G744" t="s">
        <v>133</v>
      </c>
      <c r="H744" s="20" t="s">
        <v>211</v>
      </c>
      <c r="I744" t="s">
        <v>28</v>
      </c>
      <c r="J744" s="30">
        <v>22</v>
      </c>
      <c r="K744" s="22">
        <f>IF(I744="","",IF(I744="ENTRADA",ABS(J744),-ABS(J744)))</f>
        <v>22</v>
      </c>
      <c r="L744" t="s">
        <v>37</v>
      </c>
      <c r="N744">
        <v>65246</v>
      </c>
      <c r="O744" t="s">
        <v>1023</v>
      </c>
      <c r="R744" s="22" t="str">
        <f>IF(H744="","",H744&amp;I744)</f>
        <v>260414-030ENTRADA</v>
      </c>
      <c r="S744" s="22" t="str">
        <f>IF(C744="","",C744&amp;I744)</f>
        <v>Full controlENTRADA</v>
      </c>
      <c r="T744" t="str">
        <f>IF(OR(C744="",I744&lt;&gt;"ENTRADA"),"",TEXT(B744,"AAMMDD")&amp;"-"&amp;TEXT(VALUE(SUBSTITUTE(A744,"MOV-","")),"000"))</f>
        <v>261007-746</v>
      </c>
      <c r="V744" t="s">
        <v>1089</v>
      </c>
    </row>
    <row r="745" spans="1:22" hidden="1">
      <c r="A745" s="20" t="s">
        <v>1097</v>
      </c>
      <c r="B745" s="47">
        <v>46305</v>
      </c>
      <c r="C745" t="s">
        <v>1030</v>
      </c>
      <c r="D745" t="s">
        <v>1031</v>
      </c>
      <c r="E745" t="s">
        <v>34</v>
      </c>
      <c r="F745" t="s">
        <v>35</v>
      </c>
      <c r="G745" t="s">
        <v>1032</v>
      </c>
      <c r="H745" s="20" t="s">
        <v>1098</v>
      </c>
      <c r="I745" t="s">
        <v>65</v>
      </c>
      <c r="J745" s="30">
        <v>280</v>
      </c>
      <c r="K745" s="22">
        <f>IF(I745="","",IF(I745="ENTRADA",ABS(J745),-ABS(J745)))</f>
        <v>-280</v>
      </c>
      <c r="L745" t="s">
        <v>37</v>
      </c>
      <c r="N745">
        <v>65249</v>
      </c>
      <c r="O745" t="s">
        <v>1023</v>
      </c>
      <c r="R745" s="22" t="str">
        <f>IF(H745="","",H745&amp;I745)</f>
        <v>260928-698SALIDA</v>
      </c>
      <c r="S745" s="22" t="str">
        <f>IF(C745="","",C745&amp;I745)</f>
        <v>Sauquat super SALIDA</v>
      </c>
      <c r="T745" t="str">
        <f>IF(OR(C745="",I745&lt;&gt;"ENTRADA"),"",TEXT(B745,"AAMMDD")&amp;"-"&amp;TEXT(VALUE(SUBSTITUTE(A745,"MOV-","")),"000"))</f>
        <v/>
      </c>
      <c r="V745" t="s">
        <v>1099</v>
      </c>
    </row>
    <row r="746" spans="1:22" hidden="1">
      <c r="A746" s="20" t="s">
        <v>1100</v>
      </c>
      <c r="B746" s="47">
        <v>46305</v>
      </c>
      <c r="C746" t="s">
        <v>141</v>
      </c>
      <c r="D746" t="s">
        <v>142</v>
      </c>
      <c r="E746" t="s">
        <v>132</v>
      </c>
      <c r="G746" t="s">
        <v>133</v>
      </c>
      <c r="H746" s="20" t="s">
        <v>748</v>
      </c>
      <c r="I746" t="s">
        <v>65</v>
      </c>
      <c r="J746" s="30">
        <v>1</v>
      </c>
      <c r="K746" s="22">
        <f>IF(I746="","",IF(I746="ENTRADA",ABS(J746),-ABS(J746)))</f>
        <v>-1</v>
      </c>
      <c r="L746" t="s">
        <v>37</v>
      </c>
      <c r="N746">
        <v>65249</v>
      </c>
      <c r="O746" t="s">
        <v>1023</v>
      </c>
      <c r="R746" s="22" t="str">
        <f>IF(H746="","",H746&amp;I746)</f>
        <v>260827-473SALIDA</v>
      </c>
      <c r="S746" s="22" t="str">
        <f>IF(C746="","",C746&amp;I746)</f>
        <v>Maxi DropSALIDA</v>
      </c>
      <c r="T746" t="str">
        <f>IF(OR(C746="",I746&lt;&gt;"ENTRADA"),"",TEXT(B746,"AAMMDD")&amp;"-"&amp;TEXT(VALUE(SUBSTITUTE(A746,"MOV-","")),"000"))</f>
        <v/>
      </c>
      <c r="V746" t="s">
        <v>1099</v>
      </c>
    </row>
    <row r="747" spans="1:22" hidden="1">
      <c r="A747" s="20" t="s">
        <v>1101</v>
      </c>
      <c r="B747" s="47">
        <v>46305</v>
      </c>
      <c r="C747" s="34" t="s">
        <v>656</v>
      </c>
      <c r="D747" s="34" t="s">
        <v>657</v>
      </c>
      <c r="E747" s="34" t="s">
        <v>132</v>
      </c>
      <c r="F747" s="34"/>
      <c r="G747" s="34" t="s">
        <v>133</v>
      </c>
      <c r="H747" s="20" t="s">
        <v>659</v>
      </c>
      <c r="I747" s="34" t="s">
        <v>65</v>
      </c>
      <c r="J747" s="36">
        <v>10</v>
      </c>
      <c r="K747" s="22">
        <f>IF(I747="","",IF(I747="ENTRADA",ABS(J747),-ABS(J747)))</f>
        <v>-10</v>
      </c>
      <c r="L747" s="34" t="s">
        <v>37</v>
      </c>
      <c r="M747" s="34"/>
      <c r="N747">
        <v>65249</v>
      </c>
      <c r="O747" t="s">
        <v>1023</v>
      </c>
      <c r="P747" s="34"/>
      <c r="Q747" s="35"/>
      <c r="R747" s="22" t="str">
        <f>IF(H747="","",H747&amp;I747)</f>
        <v>260729-393SALIDA</v>
      </c>
      <c r="S747" s="22" t="str">
        <f>IF(C747="","",C747&amp;I747)</f>
        <v>Harrier Drone SALIDA</v>
      </c>
      <c r="T747" t="str">
        <f>IF(OR(C747="",I747&lt;&gt;"ENTRADA"),"",TEXT(B747,"AAMMDD")&amp;"-"&amp;TEXT(VALUE(SUBSTITUTE(A747,"MOV-","")),"000"))</f>
        <v/>
      </c>
      <c r="V747" t="s">
        <v>1099</v>
      </c>
    </row>
    <row r="748" spans="1:22" hidden="1">
      <c r="A748" s="20" t="s">
        <v>1102</v>
      </c>
      <c r="B748" s="47">
        <v>46305</v>
      </c>
      <c r="C748" t="s">
        <v>782</v>
      </c>
      <c r="D748" t="s">
        <v>783</v>
      </c>
      <c r="E748" t="s">
        <v>34</v>
      </c>
      <c r="F748" t="s">
        <v>46</v>
      </c>
      <c r="G748" t="s">
        <v>27</v>
      </c>
      <c r="H748" s="20" t="s">
        <v>797</v>
      </c>
      <c r="I748" t="s">
        <v>65</v>
      </c>
      <c r="J748" s="30">
        <v>20</v>
      </c>
      <c r="K748" s="22">
        <f>IF(I748="","",IF(I748="ENTRADA",ABS(J748),-ABS(J748)))</f>
        <v>-20</v>
      </c>
      <c r="L748" t="s">
        <v>29</v>
      </c>
      <c r="N748">
        <v>65249</v>
      </c>
      <c r="O748" t="s">
        <v>1023</v>
      </c>
      <c r="R748" s="22" t="str">
        <f>IF(H748="","",H748&amp;I748)</f>
        <v>260801-489SALIDA</v>
      </c>
      <c r="S748" s="22" t="str">
        <f>IF(C748="","",C748&amp;I748)</f>
        <v>PyroxateSALIDA</v>
      </c>
      <c r="T748" t="str">
        <f>IF(OR(C748="",I748&lt;&gt;"ENTRADA"),"",TEXT(B748,"AAMMDD")&amp;"-"&amp;TEXT(VALUE(SUBSTITUTE(A748,"MOV-","")),"000"))</f>
        <v/>
      </c>
      <c r="V748" t="s">
        <v>1099</v>
      </c>
    </row>
    <row r="749" spans="1:22" hidden="1">
      <c r="A749" s="20" t="s">
        <v>1103</v>
      </c>
      <c r="B749" s="47">
        <v>46305</v>
      </c>
      <c r="C749" t="s">
        <v>137</v>
      </c>
      <c r="D749" t="s">
        <v>138</v>
      </c>
      <c r="E749" t="s">
        <v>132</v>
      </c>
      <c r="G749" t="s">
        <v>133</v>
      </c>
      <c r="H749" s="20" t="s">
        <v>211</v>
      </c>
      <c r="I749" t="s">
        <v>65</v>
      </c>
      <c r="J749" s="30">
        <v>3</v>
      </c>
      <c r="K749" s="22">
        <f>IF(I749="","",IF(I749="ENTRADA",ABS(J749),-ABS(J749)))</f>
        <v>-3</v>
      </c>
      <c r="L749" t="s">
        <v>37</v>
      </c>
      <c r="N749">
        <v>65249</v>
      </c>
      <c r="O749" t="s">
        <v>1023</v>
      </c>
      <c r="R749" s="22" t="str">
        <f>IF(H749="","",H749&amp;I749)</f>
        <v>260414-030SALIDA</v>
      </c>
      <c r="S749" s="22" t="str">
        <f>IF(C749="","",C749&amp;I749)</f>
        <v>Full controlSALIDA</v>
      </c>
      <c r="T749" t="str">
        <f>IF(OR(C749="",I749&lt;&gt;"ENTRADA"),"",TEXT(B749,"AAMMDD")&amp;"-"&amp;TEXT(VALUE(SUBSTITUTE(A749,"MOV-","")),"000"))</f>
        <v/>
      </c>
      <c r="V749" t="s">
        <v>1099</v>
      </c>
    </row>
    <row r="750" spans="1:22" hidden="1">
      <c r="A750" s="20" t="s">
        <v>1104</v>
      </c>
      <c r="B750" s="47">
        <v>46305</v>
      </c>
      <c r="C750" t="s">
        <v>1030</v>
      </c>
      <c r="D750" t="s">
        <v>1031</v>
      </c>
      <c r="E750" t="s">
        <v>34</v>
      </c>
      <c r="F750" t="s">
        <v>35</v>
      </c>
      <c r="G750" t="s">
        <v>1032</v>
      </c>
      <c r="H750" s="20" t="s">
        <v>1098</v>
      </c>
      <c r="I750" t="s">
        <v>65</v>
      </c>
      <c r="J750" s="30">
        <v>320</v>
      </c>
      <c r="K750" s="22">
        <f>IF(I750="","",IF(I750="ENTRADA",ABS(J750),-ABS(J750)))</f>
        <v>-320</v>
      </c>
      <c r="L750" t="s">
        <v>37</v>
      </c>
      <c r="N750">
        <v>65250</v>
      </c>
      <c r="O750" t="s">
        <v>1023</v>
      </c>
      <c r="R750" s="22" t="str">
        <f>IF(H750="","",H750&amp;I750)</f>
        <v>260928-698SALIDA</v>
      </c>
      <c r="S750" s="22" t="str">
        <f>IF(C750="","",C750&amp;I750)</f>
        <v>Sauquat super SALIDA</v>
      </c>
      <c r="T750" t="str">
        <f>IF(OR(C750="",I750&lt;&gt;"ENTRADA"),"",TEXT(B750,"AAMMDD")&amp;"-"&amp;TEXT(VALUE(SUBSTITUTE(A750,"MOV-","")),"000"))</f>
        <v/>
      </c>
      <c r="V750" t="s">
        <v>1105</v>
      </c>
    </row>
    <row r="751" spans="1:22" hidden="1">
      <c r="A751" s="20" t="s">
        <v>1106</v>
      </c>
      <c r="B751" s="47">
        <v>46305</v>
      </c>
      <c r="C751" t="s">
        <v>782</v>
      </c>
      <c r="D751" t="s">
        <v>783</v>
      </c>
      <c r="E751" t="s">
        <v>34</v>
      </c>
      <c r="F751" t="s">
        <v>46</v>
      </c>
      <c r="G751" t="s">
        <v>27</v>
      </c>
      <c r="H751" s="20" t="s">
        <v>797</v>
      </c>
      <c r="I751" t="s">
        <v>65</v>
      </c>
      <c r="J751" s="30">
        <v>30</v>
      </c>
      <c r="K751" s="22">
        <f>IF(I751="","",IF(I751="ENTRADA",ABS(J751),-ABS(J751)))</f>
        <v>-30</v>
      </c>
      <c r="L751" t="s">
        <v>29</v>
      </c>
      <c r="N751">
        <v>65250</v>
      </c>
      <c r="O751" t="s">
        <v>1023</v>
      </c>
      <c r="R751" s="22" t="str">
        <f>IF(H751="","",H751&amp;I751)</f>
        <v>260801-489SALIDA</v>
      </c>
      <c r="S751" s="22" t="str">
        <f>IF(C751="","",C751&amp;I751)</f>
        <v>PyroxateSALIDA</v>
      </c>
      <c r="T751" t="str">
        <f>IF(OR(C751="",I751&lt;&gt;"ENTRADA"),"",TEXT(B751,"AAMMDD")&amp;"-"&amp;TEXT(VALUE(SUBSTITUTE(A751,"MOV-","")),"000"))</f>
        <v/>
      </c>
      <c r="V751" t="s">
        <v>1105</v>
      </c>
    </row>
    <row r="752" spans="1:22" hidden="1">
      <c r="A752" s="20" t="s">
        <v>1107</v>
      </c>
      <c r="B752" s="47">
        <v>46305</v>
      </c>
      <c r="C752" t="s">
        <v>656</v>
      </c>
      <c r="D752" t="s">
        <v>657</v>
      </c>
      <c r="E752" t="s">
        <v>132</v>
      </c>
      <c r="G752" t="s">
        <v>133</v>
      </c>
      <c r="H752" s="20" t="s">
        <v>659</v>
      </c>
      <c r="I752" t="s">
        <v>65</v>
      </c>
      <c r="J752" s="30">
        <v>20</v>
      </c>
      <c r="K752" s="22">
        <f>IF(I752="","",IF(I752="ENTRADA",ABS(J752),-ABS(J752)))</f>
        <v>-20</v>
      </c>
      <c r="L752" t="s">
        <v>37</v>
      </c>
      <c r="N752">
        <v>65250</v>
      </c>
      <c r="O752" t="s">
        <v>1023</v>
      </c>
      <c r="R752" s="22" t="str">
        <f>IF(H752="","",H752&amp;I752)</f>
        <v>260729-393SALIDA</v>
      </c>
      <c r="S752" s="22" t="str">
        <f>IF(C752="","",C752&amp;I752)</f>
        <v>Harrier Drone SALIDA</v>
      </c>
      <c r="T752" t="str">
        <f>IF(OR(C752="",I752&lt;&gt;"ENTRADA"),"",TEXT(B752,"AAMMDD")&amp;"-"&amp;TEXT(VALUE(SUBSTITUTE(A752,"MOV-","")),"000"))</f>
        <v/>
      </c>
      <c r="V752" t="s">
        <v>1105</v>
      </c>
    </row>
    <row r="753" spans="1:22" hidden="1">
      <c r="A753" s="20" t="s">
        <v>1108</v>
      </c>
      <c r="B753" s="47">
        <v>46305</v>
      </c>
      <c r="C753" t="s">
        <v>137</v>
      </c>
      <c r="D753" t="s">
        <v>138</v>
      </c>
      <c r="E753" t="s">
        <v>132</v>
      </c>
      <c r="G753" t="s">
        <v>133</v>
      </c>
      <c r="H753" s="20" t="s">
        <v>211</v>
      </c>
      <c r="I753" t="s">
        <v>65</v>
      </c>
      <c r="J753" s="30">
        <v>3</v>
      </c>
      <c r="K753" s="22">
        <f>IF(I753="","",IF(I753="ENTRADA",ABS(J753),-ABS(J753)))</f>
        <v>-3</v>
      </c>
      <c r="L753" t="s">
        <v>37</v>
      </c>
      <c r="N753">
        <v>65250</v>
      </c>
      <c r="O753" t="s">
        <v>1023</v>
      </c>
      <c r="R753" s="22" t="str">
        <f>IF(H753="","",H753&amp;I753)</f>
        <v>260414-030SALIDA</v>
      </c>
      <c r="S753" s="22" t="str">
        <f>IF(C753="","",C753&amp;I753)</f>
        <v>Full controlSALIDA</v>
      </c>
      <c r="T753" t="str">
        <f>IF(OR(C753="",I753&lt;&gt;"ENTRADA"),"",TEXT(B753,"AAMMDD")&amp;"-"&amp;TEXT(VALUE(SUBSTITUTE(A753,"MOV-","")),"000"))</f>
        <v/>
      </c>
      <c r="V753" t="s">
        <v>1105</v>
      </c>
    </row>
    <row r="754" spans="1:22" hidden="1">
      <c r="A754" s="20" t="s">
        <v>1109</v>
      </c>
      <c r="B754" s="47">
        <v>46308</v>
      </c>
      <c r="C754" t="s">
        <v>115</v>
      </c>
      <c r="D754" t="s">
        <v>116</v>
      </c>
      <c r="E754" t="s">
        <v>34</v>
      </c>
      <c r="F754" t="s">
        <v>35</v>
      </c>
      <c r="G754" t="s">
        <v>117</v>
      </c>
      <c r="H754" s="20" t="s">
        <v>971</v>
      </c>
      <c r="I754" t="s">
        <v>65</v>
      </c>
      <c r="J754" s="30">
        <v>1120</v>
      </c>
      <c r="K754" s="22">
        <f>IF(I754="","",IF(I754="ENTRADA",ABS(J754),-ABS(J754)))</f>
        <v>-1120</v>
      </c>
      <c r="L754" t="s">
        <v>37</v>
      </c>
      <c r="N754">
        <v>65301</v>
      </c>
      <c r="O754" t="s">
        <v>218</v>
      </c>
      <c r="R754" s="22" t="str">
        <f>IF(H754="","",H754&amp;I754)</f>
        <v>260910-622SALIDA</v>
      </c>
      <c r="S754" s="22" t="str">
        <f>IF(C754="","",C754&amp;I754)</f>
        <v>AzukaSALIDA</v>
      </c>
      <c r="T754" t="str">
        <f>IF(OR(C754="",I754&lt;&gt;"ENTRADA"),"",TEXT(B754,"AAMMDD")&amp;"-"&amp;TEXT(VALUE(SUBSTITUTE(A754,"MOV-","")),"000"))</f>
        <v/>
      </c>
      <c r="V754" t="s">
        <v>1110</v>
      </c>
    </row>
    <row r="755" spans="1:22" hidden="1">
      <c r="A755" s="20" t="s">
        <v>1111</v>
      </c>
      <c r="B755" s="47">
        <v>46308</v>
      </c>
      <c r="C755" t="s">
        <v>782</v>
      </c>
      <c r="D755" t="s">
        <v>783</v>
      </c>
      <c r="E755" t="s">
        <v>34</v>
      </c>
      <c r="F755" t="s">
        <v>46</v>
      </c>
      <c r="G755" t="s">
        <v>27</v>
      </c>
      <c r="H755" s="20" t="s">
        <v>797</v>
      </c>
      <c r="I755" t="s">
        <v>65</v>
      </c>
      <c r="J755" s="30">
        <v>40</v>
      </c>
      <c r="K755" s="22">
        <f>IF(I755="","",IF(I755="ENTRADA",ABS(J755),-ABS(J755)))</f>
        <v>-40</v>
      </c>
      <c r="L755" t="s">
        <v>29</v>
      </c>
      <c r="N755">
        <v>65301</v>
      </c>
      <c r="O755" t="s">
        <v>218</v>
      </c>
      <c r="R755" s="22" t="str">
        <f>IF(H755="","",H755&amp;I755)</f>
        <v>260801-489SALIDA</v>
      </c>
      <c r="S755" s="22" t="str">
        <f>IF(C755="","",C755&amp;I755)</f>
        <v>PyroxateSALIDA</v>
      </c>
      <c r="T755" t="str">
        <f>IF(OR(C755="",I755&lt;&gt;"ENTRADA"),"",TEXT(B755,"AAMMDD")&amp;"-"&amp;TEXT(VALUE(SUBSTITUTE(A755,"MOV-","")),"000"))</f>
        <v/>
      </c>
      <c r="V755" t="s">
        <v>1110</v>
      </c>
    </row>
    <row r="756" spans="1:22" hidden="1">
      <c r="A756" s="20" t="s">
        <v>1112</v>
      </c>
      <c r="B756" s="47">
        <v>46308</v>
      </c>
      <c r="C756" t="s">
        <v>130</v>
      </c>
      <c r="D756" t="s">
        <v>131</v>
      </c>
      <c r="E756" t="s">
        <v>132</v>
      </c>
      <c r="G756" t="s">
        <v>133</v>
      </c>
      <c r="H756" s="20" t="s">
        <v>221</v>
      </c>
      <c r="I756" t="s">
        <v>65</v>
      </c>
      <c r="J756" s="30">
        <v>40</v>
      </c>
      <c r="K756" s="22">
        <f>IF(I756="","",IF(I756="ENTRADA",ABS(J756),-ABS(J756)))</f>
        <v>-40</v>
      </c>
      <c r="L756" t="s">
        <v>37</v>
      </c>
      <c r="N756">
        <v>65301</v>
      </c>
      <c r="O756" t="s">
        <v>218</v>
      </c>
      <c r="R756" s="22" t="str">
        <f>IF(H756="","",H756&amp;I756)</f>
        <v>260414-029SALIDA</v>
      </c>
      <c r="S756" s="22" t="str">
        <f>IF(C756="","",C756&amp;I756)</f>
        <v>HarrierSALIDA</v>
      </c>
      <c r="T756" t="str">
        <f>IF(OR(C756="",I756&lt;&gt;"ENTRADA"),"",TEXT(B756,"AAMMDD")&amp;"-"&amp;TEXT(VALUE(SUBSTITUTE(A756,"MOV-","")),"000"))</f>
        <v/>
      </c>
      <c r="V756" t="s">
        <v>1110</v>
      </c>
    </row>
    <row r="757" spans="1:22" hidden="1">
      <c r="A757" s="20" t="s">
        <v>1113</v>
      </c>
      <c r="B757" s="47">
        <v>46308</v>
      </c>
      <c r="C757" t="s">
        <v>137</v>
      </c>
      <c r="D757" t="s">
        <v>138</v>
      </c>
      <c r="E757" t="s">
        <v>132</v>
      </c>
      <c r="G757" t="s">
        <v>133</v>
      </c>
      <c r="H757" s="20" t="s">
        <v>211</v>
      </c>
      <c r="I757" t="s">
        <v>65</v>
      </c>
      <c r="J757" s="30">
        <v>15</v>
      </c>
      <c r="K757" s="22">
        <f>IF(I757="","",IF(I757="ENTRADA",ABS(J757),-ABS(J757)))</f>
        <v>-15</v>
      </c>
      <c r="L757" t="s">
        <v>37</v>
      </c>
      <c r="N757">
        <v>65301</v>
      </c>
      <c r="O757" t="s">
        <v>218</v>
      </c>
      <c r="R757" s="22" t="str">
        <f>IF(H757="","",H757&amp;I757)</f>
        <v>260414-030SALIDA</v>
      </c>
      <c r="S757" s="22" t="str">
        <f>IF(C757="","",C757&amp;I757)</f>
        <v>Full controlSALIDA</v>
      </c>
      <c r="T757" t="str">
        <f>IF(OR(C757="",I757&lt;&gt;"ENTRADA"),"",TEXT(B757,"AAMMDD")&amp;"-"&amp;TEXT(VALUE(SUBSTITUTE(A757,"MOV-","")),"000"))</f>
        <v/>
      </c>
      <c r="V757" t="s">
        <v>1110</v>
      </c>
    </row>
    <row r="758" spans="1:22" hidden="1">
      <c r="A758" s="20" t="s">
        <v>1114</v>
      </c>
      <c r="B758" s="47">
        <v>46308</v>
      </c>
      <c r="C758" s="34" t="s">
        <v>137</v>
      </c>
      <c r="D758" s="34" t="s">
        <v>138</v>
      </c>
      <c r="E758" s="34" t="s">
        <v>132</v>
      </c>
      <c r="F758" s="34"/>
      <c r="G758" s="34" t="s">
        <v>133</v>
      </c>
      <c r="H758" s="20" t="s">
        <v>211</v>
      </c>
      <c r="I758" s="34" t="s">
        <v>65</v>
      </c>
      <c r="J758" s="36">
        <v>8</v>
      </c>
      <c r="K758" s="22">
        <f>IF(I758="","",IF(I758="ENTRADA",ABS(J758),-ABS(J758)))</f>
        <v>-8</v>
      </c>
      <c r="L758" s="34" t="s">
        <v>37</v>
      </c>
      <c r="M758" s="34"/>
      <c r="N758" s="34">
        <v>65302</v>
      </c>
      <c r="O758" s="34" t="s">
        <v>1023</v>
      </c>
      <c r="P758" s="34"/>
      <c r="Q758" s="35"/>
      <c r="R758" s="22" t="str">
        <f>IF(H758="","",H758&amp;I758)</f>
        <v>260414-030SALIDA</v>
      </c>
      <c r="S758" s="22" t="str">
        <f>IF(C758="","",C758&amp;I758)</f>
        <v>Full controlSALIDA</v>
      </c>
      <c r="T758" t="str">
        <f>IF(OR(C758="",I758&lt;&gt;"ENTRADA"),"",TEXT(B758,"AAMMDD")&amp;"-"&amp;TEXT(VALUE(SUBSTITUTE(A758,"MOV-","")),"000"))</f>
        <v/>
      </c>
      <c r="V758" t="s">
        <v>1110</v>
      </c>
    </row>
    <row r="759" spans="1:22" hidden="1">
      <c r="A759" s="20" t="s">
        <v>1115</v>
      </c>
      <c r="B759" s="47">
        <v>46308</v>
      </c>
      <c r="C759" t="s">
        <v>130</v>
      </c>
      <c r="D759" t="s">
        <v>131</v>
      </c>
      <c r="E759" t="s">
        <v>132</v>
      </c>
      <c r="G759" t="s">
        <v>133</v>
      </c>
      <c r="H759" s="20" t="s">
        <v>221</v>
      </c>
      <c r="I759" t="s">
        <v>65</v>
      </c>
      <c r="J759" s="30">
        <v>40</v>
      </c>
      <c r="K759" s="22">
        <f>IF(I759="","",IF(I759="ENTRADA",ABS(J759),-ABS(J759)))</f>
        <v>-40</v>
      </c>
      <c r="L759" t="s">
        <v>37</v>
      </c>
      <c r="N759">
        <v>65302</v>
      </c>
      <c r="O759" t="s">
        <v>1023</v>
      </c>
      <c r="R759" s="22" t="str">
        <f>IF(H759="","",H759&amp;I759)</f>
        <v>260414-029SALIDA</v>
      </c>
      <c r="S759" s="22" t="str">
        <f>IF(C759="","",C759&amp;I759)</f>
        <v>HarrierSALIDA</v>
      </c>
      <c r="T759" t="str">
        <f>IF(OR(C759="",I759&lt;&gt;"ENTRADA"),"",TEXT(B759,"AAMMDD")&amp;"-"&amp;TEXT(VALUE(SUBSTITUTE(A759,"MOV-","")),"000"))</f>
        <v/>
      </c>
      <c r="V759" t="s">
        <v>1110</v>
      </c>
    </row>
    <row r="760" spans="1:22">
      <c r="A760" s="20" t="s">
        <v>1116</v>
      </c>
      <c r="B760" s="47">
        <v>46308</v>
      </c>
      <c r="C760" t="s">
        <v>1054</v>
      </c>
      <c r="D760" t="s">
        <v>1055</v>
      </c>
      <c r="E760" t="s">
        <v>25</v>
      </c>
      <c r="F760" t="s">
        <v>1056</v>
      </c>
      <c r="G760" t="s">
        <v>180</v>
      </c>
      <c r="H760" s="20" t="s">
        <v>1066</v>
      </c>
      <c r="I760" t="s">
        <v>65</v>
      </c>
      <c r="J760" s="30">
        <v>145</v>
      </c>
      <c r="K760" s="22">
        <f>IF(I760="","",IF(I760="ENTRADA",ABS(J760),-ABS(J760)))</f>
        <v>-145</v>
      </c>
      <c r="L760" t="s">
        <v>632</v>
      </c>
      <c r="N760">
        <v>65303</v>
      </c>
      <c r="O760" t="s">
        <v>309</v>
      </c>
      <c r="R760" s="22" t="str">
        <f>IF(H760="","",H760&amp;I760)</f>
        <v>261006-718SALIDA</v>
      </c>
      <c r="S760" s="22" t="str">
        <f>IF(C760="","",C760&amp;I760)</f>
        <v>Sorgo forrajero SALIDA</v>
      </c>
      <c r="T760" t="str">
        <f>IF(OR(C760="",I760&lt;&gt;"ENTRADA"),"",TEXT(B760,"AAMMDD")&amp;"-"&amp;TEXT(VALUE(SUBSTITUTE(A760,"MOV-","")),"000"))</f>
        <v/>
      </c>
      <c r="V760" t="s">
        <v>1117</v>
      </c>
    </row>
    <row r="761" spans="1:22" hidden="1">
      <c r="A761" s="20" t="s">
        <v>1118</v>
      </c>
      <c r="B761" s="47">
        <v>46309</v>
      </c>
      <c r="C761" t="s">
        <v>115</v>
      </c>
      <c r="D761" t="s">
        <v>116</v>
      </c>
      <c r="F761" t="s">
        <v>35</v>
      </c>
      <c r="G761" t="s">
        <v>117</v>
      </c>
      <c r="H761" s="20" t="s">
        <v>971</v>
      </c>
      <c r="I761" t="s">
        <v>65</v>
      </c>
      <c r="J761" s="30">
        <v>860</v>
      </c>
      <c r="K761" s="22">
        <f>IF(I761="","",IF(I761="ENTRADA",ABS(J761),-ABS(J761)))</f>
        <v>-860</v>
      </c>
      <c r="L761" t="s">
        <v>37</v>
      </c>
      <c r="N761">
        <v>65304</v>
      </c>
      <c r="O761" t="s">
        <v>218</v>
      </c>
      <c r="R761" s="22" t="str">
        <f>IF(H761="","",H761&amp;I761)</f>
        <v>260910-622SALIDA</v>
      </c>
      <c r="S761" s="22" t="str">
        <f>IF(C761="","",C761&amp;I761)</f>
        <v>AzukaSALIDA</v>
      </c>
      <c r="T761" t="str">
        <f>IF(OR(C761="",I761&lt;&gt;"ENTRADA"),"",TEXT(B761,"AAMMDD")&amp;"-"&amp;TEXT(VALUE(SUBSTITUTE(A761,"MOV-","")),"000"))</f>
        <v/>
      </c>
      <c r="V761" t="s">
        <v>1119</v>
      </c>
    </row>
    <row r="762" spans="1:22" hidden="1">
      <c r="A762" s="20" t="s">
        <v>1120</v>
      </c>
      <c r="B762" s="47">
        <v>46309</v>
      </c>
      <c r="C762" t="s">
        <v>782</v>
      </c>
      <c r="D762" t="s">
        <v>783</v>
      </c>
      <c r="E762" t="s">
        <v>34</v>
      </c>
      <c r="F762" t="s">
        <v>46</v>
      </c>
      <c r="G762" t="s">
        <v>27</v>
      </c>
      <c r="H762" s="20" t="s">
        <v>797</v>
      </c>
      <c r="I762" t="s">
        <v>65</v>
      </c>
      <c r="J762" s="30">
        <v>30</v>
      </c>
      <c r="K762" s="22">
        <f>IF(I762="","",IF(I762="ENTRADA",ABS(J762),-ABS(J762)))</f>
        <v>-30</v>
      </c>
      <c r="L762" t="s">
        <v>29</v>
      </c>
      <c r="N762">
        <v>65304</v>
      </c>
      <c r="O762" t="s">
        <v>218</v>
      </c>
      <c r="R762" s="22" t="str">
        <f>IF(H762="","",H762&amp;I762)</f>
        <v>260801-489SALIDA</v>
      </c>
      <c r="S762" s="22" t="str">
        <f>IF(C762="","",C762&amp;I762)</f>
        <v>PyroxateSALIDA</v>
      </c>
      <c r="T762" t="str">
        <f>IF(OR(C762="",I762&lt;&gt;"ENTRADA"),"",TEXT(B762,"AAMMDD")&amp;"-"&amp;TEXT(VALUE(SUBSTITUTE(A762,"MOV-","")),"000"))</f>
        <v/>
      </c>
    </row>
    <row r="763" spans="1:22" hidden="1">
      <c r="A763" s="20" t="s">
        <v>1121</v>
      </c>
      <c r="B763" s="47">
        <v>46309</v>
      </c>
      <c r="C763" t="s">
        <v>130</v>
      </c>
      <c r="D763" t="s">
        <v>131</v>
      </c>
      <c r="E763" t="s">
        <v>132</v>
      </c>
      <c r="G763" t="s">
        <v>133</v>
      </c>
      <c r="H763" s="20" t="s">
        <v>221</v>
      </c>
      <c r="I763" t="s">
        <v>65</v>
      </c>
      <c r="J763" s="30">
        <v>5</v>
      </c>
      <c r="K763" s="22">
        <f>IF(I763="","",IF(I763="ENTRADA",ABS(J763),-ABS(J763)))</f>
        <v>-5</v>
      </c>
      <c r="L763" t="s">
        <v>37</v>
      </c>
      <c r="N763">
        <v>65304</v>
      </c>
      <c r="O763" t="s">
        <v>218</v>
      </c>
      <c r="R763" s="22" t="str">
        <f>IF(H763="","",H763&amp;I763)</f>
        <v>260414-029SALIDA</v>
      </c>
      <c r="S763" s="22" t="str">
        <f>IF(C763="","",C763&amp;I763)</f>
        <v>HarrierSALIDA</v>
      </c>
      <c r="T763" t="str">
        <f>IF(OR(C763="",I763&lt;&gt;"ENTRADA"),"",TEXT(B763,"AAMMDD")&amp;"-"&amp;TEXT(VALUE(SUBSTITUTE(A763,"MOV-","")),"000"))</f>
        <v/>
      </c>
      <c r="V763" t="s">
        <v>1119</v>
      </c>
    </row>
    <row r="764" spans="1:22" hidden="1">
      <c r="A764" s="20" t="s">
        <v>1122</v>
      </c>
      <c r="B764" s="47">
        <v>46309</v>
      </c>
      <c r="C764" t="s">
        <v>137</v>
      </c>
      <c r="D764" t="s">
        <v>138</v>
      </c>
      <c r="E764" t="s">
        <v>132</v>
      </c>
      <c r="G764" t="s">
        <v>133</v>
      </c>
      <c r="H764" s="20" t="s">
        <v>211</v>
      </c>
      <c r="I764" t="s">
        <v>65</v>
      </c>
      <c r="J764" s="30">
        <v>3</v>
      </c>
      <c r="K764" s="22">
        <f>IF(I764="","",IF(I764="ENTRADA",ABS(J764),-ABS(J764)))</f>
        <v>-3</v>
      </c>
      <c r="L764" t="s">
        <v>37</v>
      </c>
      <c r="N764">
        <v>65304</v>
      </c>
      <c r="O764" t="s">
        <v>218</v>
      </c>
      <c r="R764" s="22" t="str">
        <f>IF(H764="","",H764&amp;I764)</f>
        <v>260414-030SALIDA</v>
      </c>
      <c r="S764" s="22" t="str">
        <f>IF(C764="","",C764&amp;I764)</f>
        <v>Full controlSALIDA</v>
      </c>
      <c r="T764" t="str">
        <f>IF(OR(C764="",I764&lt;&gt;"ENTRADA"),"",TEXT(B764,"AAMMDD")&amp;"-"&amp;TEXT(VALUE(SUBSTITUTE(A764,"MOV-","")),"000"))</f>
        <v/>
      </c>
      <c r="V764" t="s">
        <v>1119</v>
      </c>
    </row>
    <row r="765" spans="1:22" hidden="1">
      <c r="A765" s="20" t="s">
        <v>1123</v>
      </c>
      <c r="B765" s="47">
        <v>46309</v>
      </c>
      <c r="C765" t="s">
        <v>782</v>
      </c>
      <c r="D765" t="s">
        <v>783</v>
      </c>
      <c r="E765" t="s">
        <v>34</v>
      </c>
      <c r="F765" t="s">
        <v>46</v>
      </c>
      <c r="G765" t="s">
        <v>27</v>
      </c>
      <c r="H765" s="20" t="s">
        <v>797</v>
      </c>
      <c r="I765" t="s">
        <v>65</v>
      </c>
      <c r="J765" s="30">
        <v>250</v>
      </c>
      <c r="K765" s="22">
        <f>IF(I765="","",IF(I765="ENTRADA",ABS(J765),-ABS(J765)))</f>
        <v>-250</v>
      </c>
      <c r="L765" t="s">
        <v>29</v>
      </c>
      <c r="N765">
        <v>65305</v>
      </c>
      <c r="O765" t="s">
        <v>213</v>
      </c>
      <c r="R765" s="22" t="str">
        <f>IF(H765="","",H765&amp;I765)</f>
        <v>260801-489SALIDA</v>
      </c>
      <c r="S765" s="22" t="str">
        <f>IF(C765="","",C765&amp;I765)</f>
        <v>PyroxateSALIDA</v>
      </c>
      <c r="T765" t="str">
        <f>IF(OR(C765="",I765&lt;&gt;"ENTRADA"),"",TEXT(B765,"AAMMDD")&amp;"-"&amp;TEXT(VALUE(SUBSTITUTE(A765,"MOV-","")),"000"))</f>
        <v/>
      </c>
      <c r="V765" t="s">
        <v>1124</v>
      </c>
    </row>
    <row r="766" spans="1:22" hidden="1">
      <c r="A766" s="20" t="s">
        <v>1125</v>
      </c>
      <c r="B766" s="47">
        <v>46309</v>
      </c>
      <c r="C766" t="s">
        <v>1126</v>
      </c>
      <c r="D766" t="s">
        <v>783</v>
      </c>
      <c r="E766" t="s">
        <v>34</v>
      </c>
      <c r="F766" t="s">
        <v>46</v>
      </c>
      <c r="G766" t="s">
        <v>117</v>
      </c>
      <c r="H766" s="20" t="str">
        <f>+T766</f>
        <v>261014-768</v>
      </c>
      <c r="I766" t="s">
        <v>28</v>
      </c>
      <c r="J766" s="30">
        <v>300</v>
      </c>
      <c r="K766" s="22">
        <f>IF(I766="","",IF(I766="ENTRADA",ABS(J766),-ABS(J766)))</f>
        <v>300</v>
      </c>
      <c r="L766" t="s">
        <v>29</v>
      </c>
      <c r="N766">
        <v>51660</v>
      </c>
      <c r="R766" s="22" t="str">
        <f>IF(H766="","",H766&amp;I766)</f>
        <v>261014-768ENTRADA</v>
      </c>
      <c r="S766" s="22" t="str">
        <f>IF(C766="","",C766&amp;I766)</f>
        <v>bravo ENTRADA</v>
      </c>
      <c r="T766" t="str">
        <f>IF(OR(C766="",I766&lt;&gt;"ENTRADA"),"",TEXT(B766,"AAMMDD")&amp;"-"&amp;TEXT(VALUE(SUBSTITUTE(A766,"MOV-","")),"000"))</f>
        <v>261014-768</v>
      </c>
    </row>
    <row r="767" spans="1:22">
      <c r="A767" s="20" t="s">
        <v>1127</v>
      </c>
      <c r="B767" s="47">
        <v>46309</v>
      </c>
      <c r="C767" t="s">
        <v>1054</v>
      </c>
      <c r="D767" t="s">
        <v>1055</v>
      </c>
      <c r="E767" t="s">
        <v>25</v>
      </c>
      <c r="F767" t="s">
        <v>1056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 xml:space="preserve">Sorgo forrajero </v>
      </c>
      <c r="T767" t="str">
        <f>IF(OR(C767="",I767&lt;&gt;"ENTRADA"),"",TEXT(B767,"AAMMDD")&amp;"-"&amp;TEXT(VALUE(SUBSTITUTE(A767,"MOV-","")),"000"))</f>
        <v/>
      </c>
    </row>
    <row r="768" spans="1:22" hidden="1">
      <c r="A768" s="20" t="s">
        <v>1128</v>
      </c>
      <c r="B768" s="47">
        <v>46309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 hidden="1">
      <c r="A769" s="20" t="s">
        <v>1129</v>
      </c>
      <c r="B769" s="34"/>
      <c r="C769" s="34"/>
      <c r="D769" s="34"/>
      <c r="E769" s="34"/>
      <c r="F769" s="34"/>
      <c r="G769" s="34"/>
      <c r="H769" s="20" t="str">
        <f>+T769</f>
        <v/>
      </c>
      <c r="I769" s="34"/>
      <c r="J769" s="36"/>
      <c r="K769" s="22" t="str">
        <f>IF(I769="","",IF(I769="ENTRADA",ABS(J769),-ABS(J769)))</f>
        <v/>
      </c>
      <c r="L769" s="34"/>
      <c r="M769" s="34"/>
      <c r="N769" s="34"/>
      <c r="O769" s="34"/>
      <c r="P769" s="34"/>
      <c r="Q769" s="35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 hidden="1">
      <c r="A770" s="20" t="s">
        <v>1130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 hidden="1">
      <c r="A771" s="20" t="s">
        <v>1131</v>
      </c>
      <c r="H771" s="20" t="str">
        <f>+T771</f>
        <v/>
      </c>
      <c r="J771" s="30"/>
      <c r="K771" s="22" t="str">
        <f>IF(I771="","",IF(I771="ENTRADA",ABS(J771),-ABS(J771)))</f>
        <v/>
      </c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 hidden="1">
      <c r="A772" s="20" t="s">
        <v>1132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 hidden="1">
      <c r="A773" s="20" t="s">
        <v>1133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 hidden="1">
      <c r="A774" s="20" t="s">
        <v>1134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 hidden="1">
      <c r="A775" s="20" t="s">
        <v>1135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 hidden="1">
      <c r="A776" s="20" t="s">
        <v>1136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 hidden="1">
      <c r="A777" s="20" t="s">
        <v>1137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 hidden="1">
      <c r="A778" s="20" t="s">
        <v>1138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 hidden="1">
      <c r="A779" s="20" t="s">
        <v>1139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 hidden="1">
      <c r="A780" s="20" t="s">
        <v>1140</v>
      </c>
      <c r="B780" s="34"/>
      <c r="C780" s="34"/>
      <c r="D780" s="34"/>
      <c r="E780" s="34"/>
      <c r="F780" s="34"/>
      <c r="G780" s="34"/>
      <c r="H780" s="20" t="str">
        <f>+T780</f>
        <v/>
      </c>
      <c r="I780" s="34"/>
      <c r="J780" s="36"/>
      <c r="K780" s="22" t="str">
        <f>IF(I780="","",IF(I780="ENTRADA",ABS(J780),-ABS(J780)))</f>
        <v/>
      </c>
      <c r="L780" s="34"/>
      <c r="M780" s="34"/>
      <c r="N780" s="34"/>
      <c r="O780" s="34"/>
      <c r="P780" s="34"/>
      <c r="Q780" s="35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 hidden="1">
      <c r="A781" s="20" t="s">
        <v>1141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 hidden="1">
      <c r="A782" s="20" t="s">
        <v>1142</v>
      </c>
      <c r="H782" s="20" t="str">
        <f>+T782</f>
        <v/>
      </c>
      <c r="J782" s="30"/>
      <c r="K782" s="22" t="str">
        <f>IF(I782="","",IF(I782="ENTRADA",ABS(J782),-ABS(J782)))</f>
        <v/>
      </c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 hidden="1">
      <c r="A783" s="20" t="s">
        <v>1143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 hidden="1">
      <c r="A784" s="20" t="s">
        <v>1144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 hidden="1">
      <c r="A785" s="20" t="s">
        <v>1145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 hidden="1">
      <c r="A786" s="20" t="s">
        <v>1146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 hidden="1">
      <c r="A787" s="20" t="s">
        <v>1147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 hidden="1">
      <c r="A788" s="20" t="s">
        <v>1148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 hidden="1">
      <c r="A789" s="20" t="s">
        <v>1149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 hidden="1">
      <c r="A790" s="20" t="s">
        <v>1150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 hidden="1">
      <c r="A791" s="20" t="s">
        <v>1151</v>
      </c>
      <c r="B791" s="34"/>
      <c r="C791" s="34"/>
      <c r="D791" s="34"/>
      <c r="E791" s="34"/>
      <c r="F791" s="34"/>
      <c r="G791" s="34"/>
      <c r="H791" s="20" t="str">
        <f>+T791</f>
        <v/>
      </c>
      <c r="I791" s="34"/>
      <c r="J791" s="36"/>
      <c r="K791" s="22" t="str">
        <f>IF(I791="","",IF(I791="ENTRADA",ABS(J791),-ABS(J791)))</f>
        <v/>
      </c>
      <c r="L791" s="34"/>
      <c r="M791" s="34"/>
      <c r="N791" s="34"/>
      <c r="O791" s="34"/>
      <c r="P791" s="34"/>
      <c r="Q791" s="35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 hidden="1">
      <c r="A792" s="20" t="s">
        <v>1152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 hidden="1">
      <c r="A793" s="20" t="s">
        <v>1153</v>
      </c>
      <c r="H793" s="20" t="str">
        <f>+T793</f>
        <v/>
      </c>
      <c r="J793" s="30"/>
      <c r="K793" s="22" t="str">
        <f>IF(I793="","",IF(I793="ENTRADA",ABS(J793),-ABS(J793)))</f>
        <v/>
      </c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 hidden="1">
      <c r="A794" s="20" t="s">
        <v>1154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 hidden="1">
      <c r="A795" s="20" t="s">
        <v>1155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 hidden="1">
      <c r="A796" s="20" t="s">
        <v>1156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 hidden="1">
      <c r="A797" s="20" t="s">
        <v>1157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 hidden="1">
      <c r="A798" s="20" t="s">
        <v>1158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 hidden="1">
      <c r="A799" s="20" t="s">
        <v>1159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 hidden="1">
      <c r="A800" s="20" t="s">
        <v>1160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 hidden="1">
      <c r="A801" s="20" t="s">
        <v>1161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 hidden="1">
      <c r="A802" s="20" t="s">
        <v>1162</v>
      </c>
      <c r="B802" s="34"/>
      <c r="C802" s="34"/>
      <c r="D802" s="34"/>
      <c r="E802" s="34"/>
      <c r="F802" s="34"/>
      <c r="G802" s="34"/>
      <c r="H802" s="20" t="str">
        <f>+T802</f>
        <v/>
      </c>
      <c r="I802" s="34"/>
      <c r="J802" s="36"/>
      <c r="K802" s="22" t="str">
        <f>IF(I802="","",IF(I802="ENTRADA",ABS(J802),-ABS(J802)))</f>
        <v/>
      </c>
      <c r="L802" s="34"/>
      <c r="M802" s="34"/>
      <c r="N802" s="34"/>
      <c r="O802" s="34"/>
      <c r="P802" s="34"/>
      <c r="Q802" s="35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 hidden="1">
      <c r="A803" s="20" t="s">
        <v>1163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 hidden="1">
      <c r="A804" s="20" t="s">
        <v>1164</v>
      </c>
      <c r="H804" s="20" t="str">
        <f>+T804</f>
        <v/>
      </c>
      <c r="J804" s="30"/>
      <c r="K804" s="22" t="str">
        <f>IF(I804="","",IF(I804="ENTRADA",ABS(J804),-ABS(J804)))</f>
        <v/>
      </c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 hidden="1">
      <c r="A805" s="20" t="s">
        <v>1165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 hidden="1">
      <c r="A806" s="20" t="s">
        <v>1166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 hidden="1">
      <c r="A807" s="20" t="s">
        <v>1167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 hidden="1">
      <c r="A808" s="20" t="s">
        <v>1168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 hidden="1">
      <c r="A809" s="20" t="s">
        <v>1169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 hidden="1">
      <c r="A810" s="20" t="s">
        <v>1170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 hidden="1">
      <c r="A811" s="20" t="s">
        <v>1171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 hidden="1">
      <c r="A812" s="20" t="s">
        <v>1172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 hidden="1">
      <c r="A813" s="20" t="s">
        <v>1173</v>
      </c>
      <c r="B813" s="34"/>
      <c r="C813" s="34"/>
      <c r="D813" s="34"/>
      <c r="E813" s="34"/>
      <c r="F813" s="34"/>
      <c r="G813" s="34"/>
      <c r="H813" s="20" t="str">
        <f>+T813</f>
        <v/>
      </c>
      <c r="I813" s="34"/>
      <c r="J813" s="36"/>
      <c r="K813" s="22" t="str">
        <f>IF(I813="","",IF(I813="ENTRADA",ABS(J813),-ABS(J813)))</f>
        <v/>
      </c>
      <c r="L813" s="34"/>
      <c r="M813" s="34"/>
      <c r="N813" s="34"/>
      <c r="O813" s="34"/>
      <c r="P813" s="34"/>
      <c r="Q813" s="35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 hidden="1">
      <c r="A814" s="20" t="s">
        <v>1174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 hidden="1">
      <c r="A815" s="20" t="s">
        <v>1175</v>
      </c>
      <c r="H815" s="20" t="str">
        <f>+T815</f>
        <v/>
      </c>
      <c r="J815" s="30"/>
      <c r="K815" s="22" t="str">
        <f>IF(I815="","",IF(I815="ENTRADA",ABS(J815),-ABS(J815)))</f>
        <v/>
      </c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 hidden="1">
      <c r="A816" s="20" t="s">
        <v>1176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 hidden="1">
      <c r="A817" s="20" t="s">
        <v>1177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 hidden="1">
      <c r="A818" s="20" t="s">
        <v>1178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 hidden="1">
      <c r="A819" s="20" t="s">
        <v>1179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 hidden="1">
      <c r="A820" s="20" t="s">
        <v>1180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 hidden="1">
      <c r="A821" s="20" t="s">
        <v>1181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 hidden="1">
      <c r="A822" s="20" t="s">
        <v>1182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 hidden="1">
      <c r="A823" s="20" t="s">
        <v>1183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 hidden="1">
      <c r="A824" s="20" t="s">
        <v>1184</v>
      </c>
      <c r="B824" s="34"/>
      <c r="C824" s="34"/>
      <c r="D824" s="34"/>
      <c r="E824" s="34"/>
      <c r="F824" s="34"/>
      <c r="G824" s="34"/>
      <c r="H824" s="20" t="str">
        <f>+T824</f>
        <v/>
      </c>
      <c r="I824" s="34"/>
      <c r="J824" s="36"/>
      <c r="K824" s="22" t="str">
        <f>IF(I824="","",IF(I824="ENTRADA",ABS(J824),-ABS(J824)))</f>
        <v/>
      </c>
      <c r="L824" s="34"/>
      <c r="M824" s="34"/>
      <c r="N824" s="34"/>
      <c r="O824" s="34"/>
      <c r="P824" s="34"/>
      <c r="Q824" s="35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 hidden="1">
      <c r="A825" s="20" t="s">
        <v>1185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 hidden="1">
      <c r="A826" s="20" t="s">
        <v>1186</v>
      </c>
      <c r="H826" s="20" t="str">
        <f>+T826</f>
        <v/>
      </c>
      <c r="J826" s="30"/>
      <c r="K826" s="22" t="str">
        <f>IF(I826="","",IF(I826="ENTRADA",ABS(J826),-ABS(J826)))</f>
        <v/>
      </c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 hidden="1">
      <c r="A827" s="20" t="s">
        <v>1187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 hidden="1">
      <c r="A828" s="20" t="s">
        <v>1188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 hidden="1">
      <c r="A829" s="20" t="s">
        <v>1189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 hidden="1">
      <c r="A830" s="20" t="s">
        <v>1190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 hidden="1">
      <c r="A831" s="20" t="s">
        <v>1191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 hidden="1">
      <c r="A832" s="20" t="s">
        <v>1192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 hidden="1">
      <c r="A833" s="20" t="s">
        <v>1193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 hidden="1">
      <c r="A834" s="20" t="s">
        <v>1194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 hidden="1">
      <c r="A835" s="20" t="s">
        <v>1195</v>
      </c>
      <c r="B835" s="34"/>
      <c r="C835" s="34"/>
      <c r="D835" s="34"/>
      <c r="E835" s="34"/>
      <c r="F835" s="34"/>
      <c r="G835" s="34"/>
      <c r="H835" s="20" t="str">
        <f>+T835</f>
        <v/>
      </c>
      <c r="I835" s="34"/>
      <c r="J835" s="36"/>
      <c r="K835" s="22" t="str">
        <f>IF(I835="","",IF(I835="ENTRADA",ABS(J835),-ABS(J835)))</f>
        <v/>
      </c>
      <c r="L835" s="34"/>
      <c r="M835" s="34"/>
      <c r="N835" s="34"/>
      <c r="O835" s="34"/>
      <c r="P835" s="34"/>
      <c r="Q835" s="35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 hidden="1">
      <c r="A836" s="20" t="s">
        <v>1196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 hidden="1">
      <c r="A837" s="20" t="s">
        <v>1197</v>
      </c>
      <c r="H837" s="20" t="str">
        <f>+T837</f>
        <v/>
      </c>
      <c r="J837" s="30"/>
      <c r="K837" s="22" t="str">
        <f>IF(I837="","",IF(I837="ENTRADA",ABS(J837),-ABS(J837)))</f>
        <v/>
      </c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 hidden="1">
      <c r="A838" s="20" t="s">
        <v>1198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 hidden="1">
      <c r="A839" s="20" t="s">
        <v>1199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 hidden="1">
      <c r="A840" s="20" t="s">
        <v>1200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 hidden="1">
      <c r="A841" s="20" t="s">
        <v>1201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 hidden="1">
      <c r="A842" s="20" t="s">
        <v>1202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 hidden="1">
      <c r="A843" s="20" t="s">
        <v>1203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 hidden="1">
      <c r="A844" s="20" t="s">
        <v>1204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 hidden="1">
      <c r="A845" s="20" t="s">
        <v>1205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 hidden="1">
      <c r="A846" s="20" t="s">
        <v>1206</v>
      </c>
      <c r="B846" s="34"/>
      <c r="C846" s="34"/>
      <c r="D846" s="34"/>
      <c r="E846" s="34"/>
      <c r="F846" s="34"/>
      <c r="G846" s="34"/>
      <c r="H846" s="20" t="str">
        <f>+T846</f>
        <v/>
      </c>
      <c r="I846" s="34"/>
      <c r="J846" s="36"/>
      <c r="K846" s="22" t="str">
        <f>IF(I846="","",IF(I846="ENTRADA",ABS(J846),-ABS(J846)))</f>
        <v/>
      </c>
      <c r="L846" s="34"/>
      <c r="M846" s="34"/>
      <c r="N846" s="34"/>
      <c r="O846" s="34"/>
      <c r="P846" s="34"/>
      <c r="Q846" s="35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 hidden="1">
      <c r="A847" s="20" t="s">
        <v>1207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 hidden="1">
      <c r="A848" s="20" t="s">
        <v>1208</v>
      </c>
      <c r="H848" s="20" t="str">
        <f>+T848</f>
        <v/>
      </c>
      <c r="J848" s="30"/>
      <c r="K848" s="22" t="str">
        <f>IF(I848="","",IF(I848="ENTRADA",ABS(J848),-ABS(J848)))</f>
        <v/>
      </c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 hidden="1">
      <c r="A849" s="20" t="s">
        <v>1209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 hidden="1">
      <c r="A850" s="20" t="s">
        <v>1210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 hidden="1">
      <c r="A851" s="20" t="s">
        <v>1211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 hidden="1">
      <c r="A852" s="20" t="s">
        <v>1212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 hidden="1">
      <c r="A853" s="20" t="s">
        <v>1213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 hidden="1">
      <c r="A854" s="20" t="s">
        <v>1214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 hidden="1">
      <c r="A855" s="20" t="s">
        <v>1215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 hidden="1">
      <c r="A856" s="20" t="s">
        <v>1216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 hidden="1">
      <c r="A857" s="20" t="s">
        <v>1217</v>
      </c>
      <c r="B857" s="34"/>
      <c r="C857" s="34"/>
      <c r="D857" s="34"/>
      <c r="E857" s="34"/>
      <c r="F857" s="34"/>
      <c r="G857" s="34"/>
      <c r="H857" s="20" t="str">
        <f>+T857</f>
        <v/>
      </c>
      <c r="I857" s="34"/>
      <c r="J857" s="36"/>
      <c r="K857" s="22" t="str">
        <f>IF(I857="","",IF(I857="ENTRADA",ABS(J857),-ABS(J857)))</f>
        <v/>
      </c>
      <c r="L857" s="34"/>
      <c r="M857" s="34"/>
      <c r="N857" s="34"/>
      <c r="O857" s="34"/>
      <c r="P857" s="34"/>
      <c r="Q857" s="35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 hidden="1">
      <c r="A858" s="20" t="s">
        <v>1218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 hidden="1">
      <c r="A859" s="20" t="s">
        <v>1219</v>
      </c>
      <c r="H859" s="20" t="str">
        <f>+T859</f>
        <v/>
      </c>
      <c r="J859" s="30"/>
      <c r="K859" s="22" t="str">
        <f>IF(I859="","",IF(I859="ENTRADA",ABS(J859),-ABS(J859)))</f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 hidden="1">
      <c r="A860" s="20" t="s">
        <v>1220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 hidden="1">
      <c r="A861" s="20" t="s">
        <v>1221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 hidden="1">
      <c r="A862" s="20" t="s">
        <v>1222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 hidden="1">
      <c r="A863" s="20" t="s">
        <v>1223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 hidden="1">
      <c r="A864" s="20" t="s">
        <v>1224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 hidden="1">
      <c r="A865" s="20" t="s">
        <v>1225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 hidden="1">
      <c r="A866" s="20" t="s">
        <v>1226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 hidden="1">
      <c r="A867" s="20" t="s">
        <v>1227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 hidden="1">
      <c r="A868" s="20" t="s">
        <v>1228</v>
      </c>
      <c r="B868" s="34"/>
      <c r="C868" s="34"/>
      <c r="D868" s="34"/>
      <c r="E868" s="34"/>
      <c r="F868" s="34"/>
      <c r="G868" s="34"/>
      <c r="H868" s="20" t="str">
        <f>+T868</f>
        <v/>
      </c>
      <c r="I868" s="34"/>
      <c r="J868" s="36"/>
      <c r="K868" s="22" t="str">
        <f>IF(I868="","",IF(I868="ENTRADA",ABS(J868),-ABS(J868)))</f>
        <v/>
      </c>
      <c r="L868" s="34"/>
      <c r="M868" s="34"/>
      <c r="N868" s="34"/>
      <c r="O868" s="34"/>
      <c r="P868" s="34"/>
      <c r="Q868" s="35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 hidden="1">
      <c r="A869" s="20" t="s">
        <v>1229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 hidden="1">
      <c r="A870" s="20" t="s">
        <v>1230</v>
      </c>
      <c r="H870" s="20" t="str">
        <f>+T870</f>
        <v/>
      </c>
      <c r="J870" s="30"/>
      <c r="K870" s="22" t="str">
        <f>IF(I870="","",IF(I870="ENTRADA",ABS(J870),-ABS(J870)))</f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 hidden="1">
      <c r="A871" s="20" t="s">
        <v>1231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 hidden="1">
      <c r="A872" s="20" t="s">
        <v>1232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 hidden="1">
      <c r="A873" s="20" t="s">
        <v>1233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 hidden="1">
      <c r="A874" s="20" t="s">
        <v>1234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 hidden="1">
      <c r="A875" s="20" t="s">
        <v>1235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 hidden="1">
      <c r="A876" s="20" t="s">
        <v>1236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 hidden="1">
      <c r="A877" s="20" t="s">
        <v>1237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 hidden="1">
      <c r="A878" s="20" t="s">
        <v>1238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 hidden="1">
      <c r="A879" s="20" t="s">
        <v>1239</v>
      </c>
      <c r="B879" s="34"/>
      <c r="C879" s="34"/>
      <c r="D879" s="34"/>
      <c r="E879" s="34"/>
      <c r="F879" s="34"/>
      <c r="G879" s="34"/>
      <c r="H879" s="20" t="str">
        <f>+T879</f>
        <v/>
      </c>
      <c r="I879" s="34"/>
      <c r="J879" s="36"/>
      <c r="K879" s="22" t="str">
        <f>IF(I879="","",IF(I879="ENTRADA",ABS(J879),-ABS(J879)))</f>
        <v/>
      </c>
      <c r="L879" s="34"/>
      <c r="M879" s="34"/>
      <c r="N879" s="34"/>
      <c r="O879" s="34"/>
      <c r="P879" s="34"/>
      <c r="Q879" s="35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 hidden="1">
      <c r="A880" s="20" t="s">
        <v>1240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 hidden="1">
      <c r="A881" s="20" t="s">
        <v>1241</v>
      </c>
      <c r="H881" s="20" t="str">
        <f>+T881</f>
        <v/>
      </c>
      <c r="J881" s="30"/>
      <c r="K881" s="22" t="str">
        <f>IF(I881="","",IF(I881="ENTRADA",ABS(J881),-ABS(J881)))</f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 hidden="1">
      <c r="A882" s="20" t="s">
        <v>1242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 hidden="1">
      <c r="A883" s="20" t="s">
        <v>1243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 hidden="1">
      <c r="A884" s="20" t="s">
        <v>1244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 hidden="1">
      <c r="A885" s="20" t="s">
        <v>1245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 hidden="1">
      <c r="A886" s="20" t="s">
        <v>1246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 hidden="1">
      <c r="A887" s="20" t="s">
        <v>1247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 hidden="1">
      <c r="A888" s="20" t="s">
        <v>1248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 hidden="1">
      <c r="A889" s="20" t="s">
        <v>1249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 hidden="1">
      <c r="A890" s="20" t="s">
        <v>1250</v>
      </c>
      <c r="B890" s="34"/>
      <c r="C890" s="34"/>
      <c r="D890" s="34"/>
      <c r="E890" s="34"/>
      <c r="F890" s="34"/>
      <c r="G890" s="34"/>
      <c r="H890" s="20" t="str">
        <f>+T890</f>
        <v/>
      </c>
      <c r="I890" s="34"/>
      <c r="J890" s="36"/>
      <c r="K890" s="22" t="str">
        <f>IF(I890="","",IF(I890="ENTRADA",ABS(J890),-ABS(J890)))</f>
        <v/>
      </c>
      <c r="L890" s="34"/>
      <c r="M890" s="34"/>
      <c r="N890" s="34"/>
      <c r="O890" s="34"/>
      <c r="P890" s="34"/>
      <c r="Q890" s="35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 hidden="1">
      <c r="A891" s="20" t="s">
        <v>1251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 hidden="1">
      <c r="A892" s="20" t="s">
        <v>1252</v>
      </c>
      <c r="H892" s="20" t="str">
        <f>+T892</f>
        <v/>
      </c>
      <c r="J892" s="30"/>
      <c r="K892" s="22" t="str">
        <f>IF(I892="","",IF(I892="ENTRADA",ABS(J892),-ABS(J892)))</f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 hidden="1">
      <c r="A893" s="20" t="s">
        <v>1253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 hidden="1">
      <c r="A894" s="20" t="s">
        <v>1254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 hidden="1">
      <c r="A895" s="20" t="s">
        <v>1255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 hidden="1">
      <c r="A896" s="20" t="s">
        <v>1256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 hidden="1">
      <c r="A897" s="20" t="s">
        <v>1257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 hidden="1">
      <c r="A898" s="20" t="s">
        <v>1258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 hidden="1">
      <c r="A899" s="20" t="s">
        <v>1259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 hidden="1">
      <c r="A900" s="20" t="s">
        <v>1260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 hidden="1">
      <c r="A901" s="20" t="s">
        <v>1261</v>
      </c>
      <c r="B901" s="34"/>
      <c r="C901" s="34"/>
      <c r="D901" s="34"/>
      <c r="E901" s="34"/>
      <c r="F901" s="34"/>
      <c r="G901" s="34"/>
      <c r="H901" s="20" t="str">
        <f>+T901</f>
        <v/>
      </c>
      <c r="I901" s="34"/>
      <c r="J901" s="36"/>
      <c r="K901" s="22" t="str">
        <f>IF(I901="","",IF(I901="ENTRADA",ABS(J901),-ABS(J901)))</f>
        <v/>
      </c>
      <c r="L901" s="34"/>
      <c r="M901" s="34"/>
      <c r="N901" s="34"/>
      <c r="O901" s="34"/>
      <c r="P901" s="34"/>
      <c r="Q901" s="35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 hidden="1">
      <c r="A902" s="20" t="s">
        <v>1262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 hidden="1">
      <c r="A903" s="20" t="s">
        <v>1263</v>
      </c>
      <c r="H903" s="20" t="str">
        <f>+T903</f>
        <v/>
      </c>
      <c r="J903" s="30"/>
      <c r="K903" s="22" t="str">
        <f>IF(I903="","",IF(I903="ENTRADA",ABS(J903),-ABS(J903)))</f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 hidden="1">
      <c r="A904" s="20" t="s">
        <v>1264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 hidden="1">
      <c r="A905" s="20" t="s">
        <v>1265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 hidden="1">
      <c r="A906" s="20" t="s">
        <v>1266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 hidden="1">
      <c r="A907" s="20" t="s">
        <v>1267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 hidden="1">
      <c r="A908" s="20" t="s">
        <v>1268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 hidden="1">
      <c r="A909" s="20" t="s">
        <v>1269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 hidden="1">
      <c r="A910" s="20" t="s">
        <v>1270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 hidden="1">
      <c r="A911" s="20" t="s">
        <v>1271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 hidden="1">
      <c r="A912" s="20" t="s">
        <v>1272</v>
      </c>
      <c r="B912" s="34"/>
      <c r="C912" s="34"/>
      <c r="D912" s="34"/>
      <c r="E912" s="34"/>
      <c r="F912" s="34"/>
      <c r="G912" s="34"/>
      <c r="H912" s="20" t="str">
        <f>+T912</f>
        <v/>
      </c>
      <c r="I912" s="34"/>
      <c r="J912" s="36"/>
      <c r="K912" s="22" t="str">
        <f>IF(I912="","",IF(I912="ENTRADA",ABS(J912),-ABS(J912)))</f>
        <v/>
      </c>
      <c r="L912" s="34"/>
      <c r="M912" s="34"/>
      <c r="N912" s="34"/>
      <c r="O912" s="34"/>
      <c r="P912" s="34"/>
      <c r="Q912" s="35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 hidden="1">
      <c r="A913" s="20" t="s">
        <v>1273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 hidden="1">
      <c r="A914" s="20" t="s">
        <v>1274</v>
      </c>
      <c r="H914" s="20" t="str">
        <f>+T914</f>
        <v/>
      </c>
      <c r="J914" s="30"/>
      <c r="K914" s="22" t="str">
        <f>IF(I914="","",IF(I914="ENTRADA",ABS(J914),-ABS(J914)))</f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 hidden="1">
      <c r="A915" s="20" t="s">
        <v>1275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 hidden="1">
      <c r="A916" s="20" t="s">
        <v>1276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 hidden="1">
      <c r="A917" s="20" t="s">
        <v>1277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 hidden="1">
      <c r="A918" s="20" t="s">
        <v>1278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 hidden="1">
      <c r="A919" s="20" t="s">
        <v>1279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 hidden="1">
      <c r="A920" s="20" t="s">
        <v>1280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 hidden="1">
      <c r="A921" s="20" t="s">
        <v>1281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 hidden="1">
      <c r="A922" s="20" t="s">
        <v>1282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 hidden="1">
      <c r="A923" s="20" t="s">
        <v>1283</v>
      </c>
      <c r="B923" s="34"/>
      <c r="C923" s="34"/>
      <c r="D923" s="34"/>
      <c r="E923" s="34"/>
      <c r="F923" s="34"/>
      <c r="G923" s="34"/>
      <c r="H923" s="20" t="str">
        <f>+T923</f>
        <v/>
      </c>
      <c r="I923" s="34"/>
      <c r="J923" s="36"/>
      <c r="K923" s="22" t="str">
        <f>IF(I923="","",IF(I923="ENTRADA",ABS(J923),-ABS(J923)))</f>
        <v/>
      </c>
      <c r="L923" s="34"/>
      <c r="M923" s="34"/>
      <c r="N923" s="34"/>
      <c r="O923" s="34"/>
      <c r="P923" s="34"/>
      <c r="Q923" s="35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 hidden="1">
      <c r="A924" s="20" t="s">
        <v>1284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 hidden="1">
      <c r="A925" s="20" t="s">
        <v>1285</v>
      </c>
      <c r="H925" s="20" t="str">
        <f>+T925</f>
        <v/>
      </c>
      <c r="J925" s="30"/>
      <c r="K925" s="22" t="str">
        <f>IF(I925="","",IF(I925="ENTRADA",ABS(J925),-ABS(J925)))</f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 hidden="1">
      <c r="A926" s="20" t="s">
        <v>1286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 hidden="1">
      <c r="A927" s="20" t="s">
        <v>1287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 hidden="1">
      <c r="A928" s="20" t="s">
        <v>1288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 hidden="1">
      <c r="A929" s="20" t="s">
        <v>1289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 hidden="1">
      <c r="A930" s="20" t="s">
        <v>1290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 hidden="1">
      <c r="A931" s="20" t="s">
        <v>1291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 hidden="1">
      <c r="A932" s="20" t="s">
        <v>1292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 hidden="1">
      <c r="A933" s="20" t="s">
        <v>1293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 hidden="1">
      <c r="A934" s="20" t="s">
        <v>1294</v>
      </c>
      <c r="B934" s="34"/>
      <c r="C934" s="34"/>
      <c r="D934" s="34"/>
      <c r="E934" s="34"/>
      <c r="F934" s="34"/>
      <c r="G934" s="34"/>
      <c r="H934" s="20" t="str">
        <f>+T934</f>
        <v/>
      </c>
      <c r="I934" s="34"/>
      <c r="J934" s="36"/>
      <c r="K934" s="22" t="str">
        <f>IF(I934="","",IF(I934="ENTRADA",ABS(J934),-ABS(J934)))</f>
        <v/>
      </c>
      <c r="L934" s="34"/>
      <c r="M934" s="34"/>
      <c r="N934" s="34"/>
      <c r="O934" s="34"/>
      <c r="P934" s="34"/>
      <c r="Q934" s="35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 hidden="1">
      <c r="A935" s="20" t="s">
        <v>1295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 hidden="1">
      <c r="A936" s="20" t="s">
        <v>1296</v>
      </c>
      <c r="H936" s="20" t="str">
        <f>+T936</f>
        <v/>
      </c>
      <c r="J936" s="30"/>
      <c r="K936" s="22" t="str">
        <f>IF(I936="","",IF(I936="ENTRADA",ABS(J936),-ABS(J936)))</f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 hidden="1">
      <c r="A937" s="20" t="s">
        <v>1297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 hidden="1">
      <c r="A938" s="20" t="s">
        <v>1298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 hidden="1">
      <c r="A939" s="20" t="s">
        <v>1299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 hidden="1">
      <c r="A940" s="20" t="s">
        <v>1300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 hidden="1">
      <c r="A941" s="20" t="s">
        <v>1301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 hidden="1">
      <c r="A942" s="20" t="s">
        <v>1302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 hidden="1">
      <c r="A943" s="20" t="s">
        <v>1303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 hidden="1">
      <c r="A944" s="20" t="s">
        <v>1304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 hidden="1">
      <c r="A945" s="20" t="s">
        <v>1305</v>
      </c>
      <c r="B945" s="34"/>
      <c r="C945" s="34"/>
      <c r="D945" s="34"/>
      <c r="E945" s="34"/>
      <c r="F945" s="34"/>
      <c r="G945" s="34"/>
      <c r="H945" s="20" t="str">
        <f>+T945</f>
        <v/>
      </c>
      <c r="I945" s="34"/>
      <c r="J945" s="36"/>
      <c r="K945" s="22" t="str">
        <f>IF(I945="","",IF(I945="ENTRADA",ABS(J945),-ABS(J945)))</f>
        <v/>
      </c>
      <c r="L945" s="34"/>
      <c r="M945" s="34"/>
      <c r="N945" s="34"/>
      <c r="O945" s="34"/>
      <c r="P945" s="34"/>
      <c r="Q945" s="35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 hidden="1">
      <c r="A946" s="20" t="s">
        <v>1306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 hidden="1">
      <c r="A947" s="20" t="s">
        <v>1307</v>
      </c>
      <c r="H947" s="20" t="str">
        <f>+T947</f>
        <v/>
      </c>
      <c r="J947" s="30"/>
      <c r="K947" s="22" t="str">
        <f>IF(I947="","",IF(I947="ENTRADA",ABS(J947),-ABS(J947)))</f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 hidden="1">
      <c r="A948" s="20" t="s">
        <v>1308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 hidden="1">
      <c r="A949" s="20" t="s">
        <v>1309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 hidden="1">
      <c r="A950" s="20" t="s">
        <v>1310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 hidden="1">
      <c r="A951" s="20" t="s">
        <v>1311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 hidden="1">
      <c r="A952" s="20" t="s">
        <v>1312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 hidden="1">
      <c r="A953" s="20" t="s">
        <v>1313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 hidden="1">
      <c r="A954" s="20" t="s">
        <v>1314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 hidden="1">
      <c r="A955" s="20" t="s">
        <v>1315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 hidden="1">
      <c r="A956" s="20" t="s">
        <v>1316</v>
      </c>
      <c r="B956" s="34"/>
      <c r="C956" s="34"/>
      <c r="D956" s="34"/>
      <c r="E956" s="34"/>
      <c r="F956" s="34"/>
      <c r="G956" s="34"/>
      <c r="H956" s="20" t="str">
        <f>+T956</f>
        <v/>
      </c>
      <c r="I956" s="34"/>
      <c r="J956" s="36"/>
      <c r="K956" s="22" t="str">
        <f>IF(I956="","",IF(I956="ENTRADA",ABS(J956),-ABS(J956)))</f>
        <v/>
      </c>
      <c r="L956" s="34"/>
      <c r="M956" s="34"/>
      <c r="N956" s="34"/>
      <c r="O956" s="34"/>
      <c r="P956" s="34"/>
      <c r="Q956" s="35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 hidden="1">
      <c r="A957" s="20" t="s">
        <v>1317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 hidden="1">
      <c r="A958" s="20" t="s">
        <v>1318</v>
      </c>
      <c r="H958" s="20" t="str">
        <f>+T958</f>
        <v/>
      </c>
      <c r="J958" s="30"/>
      <c r="K958" s="22" t="str">
        <f>IF(I958="","",IF(I958="ENTRADA",ABS(J958),-ABS(J958)))</f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 hidden="1">
      <c r="A959" s="20" t="s">
        <v>1319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 hidden="1">
      <c r="A960" s="20" t="s">
        <v>1320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 hidden="1">
      <c r="A961" s="20" t="s">
        <v>1321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 hidden="1">
      <c r="A962" s="20" t="s">
        <v>1322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 hidden="1">
      <c r="A963" s="20" t="s">
        <v>1323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 hidden="1">
      <c r="A964" s="20" t="s">
        <v>1324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 hidden="1">
      <c r="A965" s="20" t="s">
        <v>1325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 hidden="1">
      <c r="A966" s="20" t="s">
        <v>1326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 hidden="1">
      <c r="A967" s="20" t="s">
        <v>1327</v>
      </c>
      <c r="B967" s="34"/>
      <c r="C967" s="34"/>
      <c r="D967" s="34"/>
      <c r="E967" s="34"/>
      <c r="F967" s="34"/>
      <c r="G967" s="34"/>
      <c r="H967" s="20" t="str">
        <f>+T967</f>
        <v/>
      </c>
      <c r="I967" s="34"/>
      <c r="J967" s="36"/>
      <c r="K967" s="22" t="str">
        <f>IF(I967="","",IF(I967="ENTRADA",ABS(J967),-ABS(J967)))</f>
        <v/>
      </c>
      <c r="L967" s="34"/>
      <c r="M967" s="34"/>
      <c r="N967" s="34"/>
      <c r="O967" s="34"/>
      <c r="P967" s="34"/>
      <c r="Q967" s="35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 hidden="1">
      <c r="A968" s="20" t="s">
        <v>1328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 hidden="1">
      <c r="A969" s="20" t="s">
        <v>1329</v>
      </c>
      <c r="H969" s="20" t="str">
        <f>+T969</f>
        <v/>
      </c>
      <c r="J969" s="30"/>
      <c r="K969" s="22" t="str">
        <f>IF(I969="","",IF(I969="ENTRADA",ABS(J969),-ABS(J969)))</f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 hidden="1">
      <c r="A970" s="20" t="s">
        <v>1330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 hidden="1">
      <c r="A971" s="20" t="s">
        <v>1331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 hidden="1">
      <c r="A972" s="20" t="s">
        <v>1332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 hidden="1">
      <c r="A973" s="20" t="s">
        <v>1333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 hidden="1">
      <c r="A974" s="20" t="s">
        <v>1334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 hidden="1">
      <c r="A975" s="20" t="s">
        <v>1335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 hidden="1">
      <c r="A976" s="20" t="s">
        <v>1336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 hidden="1">
      <c r="A977" s="20" t="s">
        <v>1337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 hidden="1">
      <c r="A978" s="20" t="s">
        <v>1338</v>
      </c>
      <c r="B978" s="34"/>
      <c r="C978" s="34"/>
      <c r="D978" s="34"/>
      <c r="E978" s="34"/>
      <c r="F978" s="34"/>
      <c r="G978" s="34"/>
      <c r="H978" s="20" t="str">
        <f>+T978</f>
        <v/>
      </c>
      <c r="I978" s="34"/>
      <c r="J978" s="36"/>
      <c r="K978" s="22" t="str">
        <f>IF(I978="","",IF(I978="ENTRADA",ABS(J978),-ABS(J978)))</f>
        <v/>
      </c>
      <c r="L978" s="34"/>
      <c r="M978" s="34"/>
      <c r="N978" s="34"/>
      <c r="O978" s="34"/>
      <c r="P978" s="34"/>
      <c r="Q978" s="35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 hidden="1">
      <c r="A979" s="20" t="s">
        <v>1339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 hidden="1">
      <c r="A980" s="20" t="s">
        <v>1340</v>
      </c>
      <c r="H980" s="20" t="str">
        <f>+T980</f>
        <v/>
      </c>
      <c r="J980" s="30"/>
      <c r="K980" s="22" t="str">
        <f>IF(I980="","",IF(I980="ENTRADA",ABS(J980),-ABS(J980)))</f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 hidden="1">
      <c r="A981" s="20" t="s">
        <v>1341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 hidden="1">
      <c r="A982" s="20" t="s">
        <v>1342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 hidden="1">
      <c r="A983" s="20" t="s">
        <v>1343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 hidden="1">
      <c r="A984" s="20" t="s">
        <v>1344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 hidden="1">
      <c r="A985" s="20" t="s">
        <v>1345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 hidden="1">
      <c r="A986" s="20" t="s">
        <v>1346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 hidden="1">
      <c r="A987" s="20" t="s">
        <v>1347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 hidden="1">
      <c r="A988" s="20" t="s">
        <v>1348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 hidden="1">
      <c r="A989" s="20" t="s">
        <v>1349</v>
      </c>
      <c r="B989" s="34"/>
      <c r="C989" s="34"/>
      <c r="D989" s="34"/>
      <c r="E989" s="34"/>
      <c r="F989" s="34"/>
      <c r="G989" s="34"/>
      <c r="H989" s="20" t="str">
        <f>+T989</f>
        <v/>
      </c>
      <c r="I989" s="34"/>
      <c r="J989" s="36"/>
      <c r="K989" s="22" t="str">
        <f>IF(I989="","",IF(I989="ENTRADA",ABS(J989),-ABS(J989)))</f>
        <v/>
      </c>
      <c r="L989" s="34"/>
      <c r="M989" s="34"/>
      <c r="N989" s="34"/>
      <c r="O989" s="34"/>
      <c r="P989" s="34"/>
      <c r="Q989" s="35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 hidden="1">
      <c r="A990" s="20" t="s">
        <v>1350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 hidden="1">
      <c r="A991" s="20" t="s">
        <v>1351</v>
      </c>
      <c r="H991" s="20" t="str">
        <f>+T991</f>
        <v/>
      </c>
      <c r="J991" s="30"/>
      <c r="K991" s="22" t="str">
        <f>IF(I991="","",IF(I991="ENTRADA",ABS(J991),-ABS(J991)))</f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 hidden="1">
      <c r="A992" s="20" t="s">
        <v>1352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 hidden="1">
      <c r="A993" s="20" t="s">
        <v>1353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 hidden="1">
      <c r="A994" s="20" t="s">
        <v>1354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 hidden="1">
      <c r="A995" s="20" t="s">
        <v>1355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 hidden="1">
      <c r="A996" s="20" t="s">
        <v>1356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 hidden="1">
      <c r="A997" s="20" t="s">
        <v>1357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 hidden="1">
      <c r="A998" s="20" t="s">
        <v>1358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 hidden="1">
      <c r="A999" s="20" t="s">
        <v>1359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 hidden="1">
      <c r="A1000" s="20" t="s">
        <v>1360</v>
      </c>
      <c r="B1000" s="34"/>
      <c r="C1000" s="34"/>
      <c r="D1000" s="34"/>
      <c r="E1000" s="34"/>
      <c r="F1000" s="34"/>
      <c r="G1000" s="34"/>
      <c r="H1000" s="20" t="str">
        <f>+T1000</f>
        <v/>
      </c>
      <c r="I1000" s="34"/>
      <c r="J1000" s="36"/>
      <c r="K1000" s="22" t="str">
        <f>IF(I1000="","",IF(I1000="ENTRADA",ABS(J1000),-ABS(J1000)))</f>
        <v/>
      </c>
      <c r="L1000" s="34"/>
      <c r="M1000" s="34"/>
      <c r="N1000" s="34"/>
      <c r="O1000" s="34"/>
      <c r="P1000" s="34"/>
      <c r="Q1000" s="35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 hidden="1">
      <c r="A1001" s="20" t="s">
        <v>1361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 hidden="1">
      <c r="A1002" s="20" t="s">
        <v>1362</v>
      </c>
      <c r="H1002" s="20" t="str">
        <f>+T1002</f>
        <v/>
      </c>
      <c r="J1002" s="30"/>
      <c r="K1002" s="22" t="str">
        <f>IF(I1002="","",IF(I1002="ENTRADA",ABS(J1002),-ABS(J1002)))</f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 hidden="1">
      <c r="A1003" s="20" t="s">
        <v>1363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 hidden="1">
      <c r="A1004" s="20" t="s">
        <v>1364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 hidden="1">
      <c r="A1005" s="20" t="s">
        <v>1365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 hidden="1">
      <c r="A1006" s="20" t="s">
        <v>1366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 hidden="1">
      <c r="A1007" s="20" t="s">
        <v>1367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 hidden="1">
      <c r="A1008" s="20" t="s">
        <v>1368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 hidden="1">
      <c r="A1009" s="20" t="s">
        <v>1369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 hidden="1">
      <c r="A1010" s="20" t="s">
        <v>1370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 hidden="1">
      <c r="A1011" s="20" t="s">
        <v>1371</v>
      </c>
      <c r="B1011" s="34"/>
      <c r="C1011" s="34"/>
      <c r="D1011" s="34"/>
      <c r="E1011" s="34"/>
      <c r="F1011" s="34"/>
      <c r="G1011" s="34"/>
      <c r="H1011" s="20" t="str">
        <f>+T1011</f>
        <v/>
      </c>
      <c r="I1011" s="34"/>
      <c r="J1011" s="36"/>
      <c r="K1011" s="22" t="str">
        <f>IF(I1011="","",IF(I1011="ENTRADA",ABS(J1011),-ABS(J1011)))</f>
        <v/>
      </c>
      <c r="L1011" s="34"/>
      <c r="M1011" s="34"/>
      <c r="N1011" s="34"/>
      <c r="O1011" s="34"/>
      <c r="P1011" s="34"/>
      <c r="Q1011" s="35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 hidden="1">
      <c r="A1012" s="20" t="s">
        <v>1372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 hidden="1">
      <c r="A1013" s="20" t="s">
        <v>1373</v>
      </c>
      <c r="H1013" s="20" t="str">
        <f>+T1013</f>
        <v/>
      </c>
      <c r="J1013" s="30"/>
      <c r="K1013" s="22" t="str">
        <f>IF(I1013="","",IF(I1013="ENTRADA",ABS(J1013),-ABS(J1013)))</f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 hidden="1">
      <c r="A1014" s="20" t="s">
        <v>1374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 hidden="1">
      <c r="A1015" s="20" t="s">
        <v>1375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 hidden="1">
      <c r="A1016" s="20" t="s">
        <v>1376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 hidden="1">
      <c r="A1017" s="20" t="s">
        <v>1377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 hidden="1">
      <c r="A1018" s="20" t="s">
        <v>1378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 hidden="1">
      <c r="A1019" s="20" t="s">
        <v>1379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 hidden="1">
      <c r="A1020" s="20" t="s">
        <v>1380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 hidden="1">
      <c r="A1021" s="20" t="s">
        <v>1381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 hidden="1">
      <c r="A1022" s="20" t="s">
        <v>1382</v>
      </c>
      <c r="B1022" s="34"/>
      <c r="C1022" s="34"/>
      <c r="D1022" s="34"/>
      <c r="E1022" s="34"/>
      <c r="F1022" s="34"/>
      <c r="G1022" s="34"/>
      <c r="H1022" s="20" t="str">
        <f>+T1022</f>
        <v/>
      </c>
      <c r="I1022" s="34"/>
      <c r="J1022" s="36"/>
      <c r="K1022" s="22" t="str">
        <f>IF(I1022="","",IF(I1022="ENTRADA",ABS(J1022),-ABS(J1022)))</f>
        <v/>
      </c>
      <c r="L1022" s="34"/>
      <c r="M1022" s="34"/>
      <c r="N1022" s="34"/>
      <c r="O1022" s="34"/>
      <c r="P1022" s="34"/>
      <c r="Q1022" s="35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 hidden="1">
      <c r="A1023" s="20" t="s">
        <v>1383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 hidden="1">
      <c r="A1024" s="20" t="s">
        <v>1384</v>
      </c>
      <c r="H1024" s="20" t="str">
        <f>+T1024</f>
        <v/>
      </c>
      <c r="J1024" s="30"/>
      <c r="K1024" s="22" t="str">
        <f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 hidden="1">
      <c r="A1025" s="20" t="s">
        <v>1385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 hidden="1">
      <c r="A1026" s="20" t="s">
        <v>1386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 hidden="1">
      <c r="A1027" s="20" t="s">
        <v>1387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 hidden="1">
      <c r="A1028" s="20" t="s">
        <v>1388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 hidden="1">
      <c r="A1029" s="20" t="s">
        <v>1389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 hidden="1">
      <c r="A1030" s="20" t="s">
        <v>1390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 hidden="1">
      <c r="A1031" s="20" t="s">
        <v>1391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 hidden="1">
      <c r="A1032" s="20" t="s">
        <v>1392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 hidden="1">
      <c r="A1033" s="20" t="s">
        <v>1393</v>
      </c>
      <c r="B1033" s="34"/>
      <c r="C1033" s="34"/>
      <c r="D1033" s="34"/>
      <c r="E1033" s="34"/>
      <c r="F1033" s="34"/>
      <c r="G1033" s="34"/>
      <c r="H1033" s="20" t="str">
        <f>+T1033</f>
        <v/>
      </c>
      <c r="I1033" s="34"/>
      <c r="J1033" s="36"/>
      <c r="K1033" s="22" t="str">
        <f>IF(I1033="","",IF(I1033="ENTRADA",ABS(J1033),-ABS(J1033)))</f>
        <v/>
      </c>
      <c r="L1033" s="34"/>
      <c r="M1033" s="34"/>
      <c r="N1033" s="34"/>
      <c r="O1033" s="34"/>
      <c r="P1033" s="34"/>
      <c r="Q1033" s="35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 hidden="1">
      <c r="A1034" s="20" t="s">
        <v>1394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 hidden="1">
      <c r="A1035" s="20" t="s">
        <v>1395</v>
      </c>
      <c r="H1035" s="20" t="str">
        <f>+T1035</f>
        <v/>
      </c>
      <c r="J1035" s="30"/>
      <c r="K1035" s="22" t="str">
        <f>IF(I1035="","",IF(I1035="ENTRADA",ABS(J1035),-ABS(J1035)))</f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 hidden="1">
      <c r="A1036" s="20" t="s">
        <v>1396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 hidden="1">
      <c r="A1037" s="20" t="s">
        <v>1397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 hidden="1">
      <c r="A1038" s="20" t="s">
        <v>1398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 hidden="1">
      <c r="A1039" s="20" t="s">
        <v>1399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 hidden="1">
      <c r="A1040" s="20" t="s">
        <v>1400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 hidden="1">
      <c r="A1041" s="20" t="s">
        <v>1401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 hidden="1">
      <c r="A1042" s="20" t="s">
        <v>1402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 hidden="1">
      <c r="A1043" s="20" t="s">
        <v>1403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 hidden="1">
      <c r="A1044" s="20" t="s">
        <v>1404</v>
      </c>
      <c r="B1044" s="34"/>
      <c r="C1044" s="34"/>
      <c r="D1044" s="34"/>
      <c r="E1044" s="34"/>
      <c r="F1044" s="34"/>
      <c r="G1044" s="34"/>
      <c r="H1044" s="20" t="str">
        <f>+T1044</f>
        <v/>
      </c>
      <c r="I1044" s="34"/>
      <c r="J1044" s="36"/>
      <c r="K1044" s="22" t="str">
        <f>IF(I1044="","",IF(I1044="ENTRADA",ABS(J1044),-ABS(J1044)))</f>
        <v/>
      </c>
      <c r="L1044" s="34"/>
      <c r="M1044" s="34"/>
      <c r="N1044" s="34"/>
      <c r="O1044" s="34"/>
      <c r="P1044" s="34"/>
      <c r="Q1044" s="35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 hidden="1">
      <c r="A1045" s="20" t="s">
        <v>1405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 hidden="1">
      <c r="A1046" s="20" t="s">
        <v>1406</v>
      </c>
      <c r="H1046" s="20" t="str">
        <f>+T1046</f>
        <v/>
      </c>
      <c r="J1046" s="30"/>
      <c r="K1046" s="22" t="str">
        <f>IF(I1046="","",IF(I1046="ENTRADA",ABS(J1046),-ABS(J1046)))</f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 hidden="1">
      <c r="A1047" s="20" t="s">
        <v>1407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 hidden="1">
      <c r="A1048" s="20" t="s">
        <v>1408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 hidden="1">
      <c r="A1049" s="20" t="s">
        <v>1409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 hidden="1">
      <c r="A1050" s="20" t="s">
        <v>1410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 hidden="1">
      <c r="A1051" s="20" t="s">
        <v>1411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 hidden="1">
      <c r="A1052" s="20" t="s">
        <v>1412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 hidden="1">
      <c r="A1053" s="20" t="s">
        <v>1413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 hidden="1">
      <c r="A1054" s="20" t="s">
        <v>1414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 hidden="1">
      <c r="A1055" s="20" t="s">
        <v>1415</v>
      </c>
      <c r="B1055" s="34"/>
      <c r="C1055" s="34"/>
      <c r="D1055" s="34"/>
      <c r="E1055" s="34"/>
      <c r="F1055" s="34"/>
      <c r="G1055" s="34"/>
      <c r="H1055" s="20" t="str">
        <f>+T1055</f>
        <v/>
      </c>
      <c r="I1055" s="34"/>
      <c r="J1055" s="36"/>
      <c r="K1055" s="22" t="str">
        <f>IF(I1055="","",IF(I1055="ENTRADA",ABS(J1055),-ABS(J1055)))</f>
        <v/>
      </c>
      <c r="L1055" s="34"/>
      <c r="M1055" s="34"/>
      <c r="N1055" s="34"/>
      <c r="O1055" s="34"/>
      <c r="P1055" s="34"/>
      <c r="Q1055" s="35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 hidden="1">
      <c r="A1056" s="20" t="s">
        <v>1416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 hidden="1">
      <c r="A1057" s="20" t="s">
        <v>1417</v>
      </c>
      <c r="H1057" s="20" t="str">
        <f>+T1057</f>
        <v/>
      </c>
      <c r="J1057" s="30"/>
      <c r="K1057" s="22" t="str">
        <f>IF(I1057="","",IF(I1057="ENTRADA",ABS(J1057),-ABS(J1057)))</f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 hidden="1">
      <c r="A1058" s="20" t="s">
        <v>1418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 hidden="1">
      <c r="A1059" s="20" t="s">
        <v>1419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 hidden="1">
      <c r="A1060" s="20" t="s">
        <v>1420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 hidden="1">
      <c r="A1061" s="20" t="s">
        <v>1421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 hidden="1">
      <c r="A1062" s="20" t="s">
        <v>1422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 hidden="1">
      <c r="A1063" s="20" t="s">
        <v>1423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 hidden="1">
      <c r="A1064" s="20" t="s">
        <v>1424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 hidden="1">
      <c r="A1065" s="20" t="s">
        <v>1425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 hidden="1">
      <c r="A1066" s="20" t="s">
        <v>1426</v>
      </c>
      <c r="B1066" s="34"/>
      <c r="C1066" s="34"/>
      <c r="D1066" s="34"/>
      <c r="E1066" s="34"/>
      <c r="F1066" s="34"/>
      <c r="G1066" s="34"/>
      <c r="H1066" s="20" t="str">
        <f>+T1066</f>
        <v/>
      </c>
      <c r="I1066" s="34"/>
      <c r="J1066" s="36"/>
      <c r="K1066" s="22" t="str">
        <f>IF(I1066="","",IF(I1066="ENTRADA",ABS(J1066),-ABS(J1066)))</f>
        <v/>
      </c>
      <c r="L1066" s="34"/>
      <c r="M1066" s="34"/>
      <c r="N1066" s="34"/>
      <c r="O1066" s="34"/>
      <c r="P1066" s="34"/>
      <c r="Q1066" s="35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 hidden="1">
      <c r="A1067" s="20" t="s">
        <v>1427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 hidden="1">
      <c r="A1068" s="20" t="s">
        <v>1428</v>
      </c>
      <c r="H1068" s="20" t="str">
        <f>+T1068</f>
        <v/>
      </c>
      <c r="J1068" s="30"/>
      <c r="K1068" s="22" t="str">
        <f>IF(I1068="","",IF(I1068="ENTRADA",ABS(J1068),-ABS(J1068)))</f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 hidden="1">
      <c r="A1069" s="20" t="s">
        <v>1429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 hidden="1">
      <c r="A1070" s="20" t="s">
        <v>1430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 hidden="1">
      <c r="A1071" s="20" t="s">
        <v>1431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 hidden="1">
      <c r="A1072" s="20" t="s">
        <v>1432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 hidden="1">
      <c r="A1073" s="20" t="s">
        <v>1433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 hidden="1">
      <c r="A1074" s="20" t="s">
        <v>1434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 hidden="1">
      <c r="A1075" s="20" t="s">
        <v>1435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 hidden="1">
      <c r="A1076" s="20" t="s">
        <v>1436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 hidden="1">
      <c r="A1077" s="20" t="s">
        <v>1437</v>
      </c>
      <c r="B1077" s="34"/>
      <c r="C1077" s="34"/>
      <c r="D1077" s="34"/>
      <c r="E1077" s="34"/>
      <c r="F1077" s="34"/>
      <c r="G1077" s="34"/>
      <c r="H1077" s="20" t="str">
        <f>+T1077</f>
        <v/>
      </c>
      <c r="I1077" s="34"/>
      <c r="J1077" s="36"/>
      <c r="K1077" s="22" t="str">
        <f>IF(I1077="","",IF(I1077="ENTRADA",ABS(J1077),-ABS(J1077)))</f>
        <v/>
      </c>
      <c r="L1077" s="34"/>
      <c r="M1077" s="34"/>
      <c r="N1077" s="34"/>
      <c r="O1077" s="34"/>
      <c r="P1077" s="34"/>
      <c r="Q1077" s="35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 hidden="1">
      <c r="A1078" s="20" t="s">
        <v>1438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 hidden="1">
      <c r="A1079" s="20" t="s">
        <v>1439</v>
      </c>
      <c r="H1079" s="20" t="str">
        <f>+T1079</f>
        <v/>
      </c>
      <c r="J1079" s="30"/>
      <c r="K1079" s="22" t="str">
        <f>IF(I1079="","",IF(I1079="ENTRADA",ABS(J1079),-ABS(J1079)))</f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 hidden="1">
      <c r="A1080" s="20" t="s">
        <v>1440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 hidden="1">
      <c r="A1081" s="20" t="s">
        <v>1441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 hidden="1">
      <c r="A1082" s="20" t="s">
        <v>1442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 hidden="1">
      <c r="A1083" s="20" t="s">
        <v>1443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 hidden="1">
      <c r="A1084" s="20" t="s">
        <v>1444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 hidden="1">
      <c r="A1085" s="20" t="s">
        <v>1445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 hidden="1">
      <c r="A1086" s="20" t="s">
        <v>1446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 hidden="1">
      <c r="A1087" s="20" t="s">
        <v>1447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 hidden="1">
      <c r="A1088" s="20" t="s">
        <v>1448</v>
      </c>
      <c r="B1088" s="34"/>
      <c r="C1088" s="34"/>
      <c r="D1088" s="34"/>
      <c r="E1088" s="34"/>
      <c r="F1088" s="34"/>
      <c r="G1088" s="34"/>
      <c r="H1088" s="20" t="str">
        <f>+T1088</f>
        <v/>
      </c>
      <c r="I1088" s="34"/>
      <c r="J1088" s="36"/>
      <c r="K1088" s="22" t="str">
        <f>IF(I1088="","",IF(I1088="ENTRADA",ABS(J1088),-ABS(J1088)))</f>
        <v/>
      </c>
      <c r="L1088" s="34"/>
      <c r="M1088" s="34"/>
      <c r="N1088" s="34"/>
      <c r="O1088" s="34"/>
      <c r="P1088" s="34"/>
      <c r="Q1088" s="35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 hidden="1">
      <c r="A1089" s="20" t="s">
        <v>1449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 hidden="1">
      <c r="A1090" s="20" t="s">
        <v>1450</v>
      </c>
      <c r="H1090" s="20" t="str">
        <f>+T1090</f>
        <v/>
      </c>
      <c r="J1090" s="30"/>
      <c r="K1090" s="22" t="str">
        <f>IF(I1090="","",IF(I1090="ENTRADA",ABS(J1090),-ABS(J1090)))</f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 hidden="1">
      <c r="A1091" s="20" t="s">
        <v>1451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 hidden="1">
      <c r="A1092" s="20" t="s">
        <v>1452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 hidden="1">
      <c r="A1093" s="20" t="s">
        <v>1453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 hidden="1">
      <c r="A1094" s="20" t="s">
        <v>1454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 hidden="1">
      <c r="A1095" s="20" t="s">
        <v>1455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 hidden="1">
      <c r="A1096" s="20" t="s">
        <v>1456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 hidden="1">
      <c r="A1097" s="20" t="s">
        <v>1457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 hidden="1">
      <c r="A1098" s="20" t="s">
        <v>1458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 hidden="1">
      <c r="A1099" s="20" t="s">
        <v>1459</v>
      </c>
      <c r="B1099" s="34"/>
      <c r="C1099" s="34"/>
      <c r="D1099" s="34"/>
      <c r="E1099" s="34"/>
      <c r="F1099" s="34"/>
      <c r="G1099" s="34"/>
      <c r="H1099" s="20" t="str">
        <f>+T1099</f>
        <v/>
      </c>
      <c r="I1099" s="34"/>
      <c r="J1099" s="36"/>
      <c r="K1099" s="22" t="str">
        <f>IF(I1099="","",IF(I1099="ENTRADA",ABS(J1099),-ABS(J1099)))</f>
        <v/>
      </c>
      <c r="L1099" s="34"/>
      <c r="M1099" s="34"/>
      <c r="N1099" s="34"/>
      <c r="O1099" s="34"/>
      <c r="P1099" s="34"/>
      <c r="Q1099" s="35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 hidden="1">
      <c r="A1100" s="20" t="s">
        <v>1460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 hidden="1">
      <c r="A1101" s="20" t="s">
        <v>1461</v>
      </c>
      <c r="H1101" s="20" t="str">
        <f>+T1101</f>
        <v/>
      </c>
      <c r="J1101" s="30"/>
      <c r="K1101" s="22" t="str">
        <f>IF(I1101="","",IF(I1101="ENTRADA",ABS(J1101),-ABS(J1101)))</f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 hidden="1">
      <c r="A1102" s="20" t="s">
        <v>1462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 hidden="1">
      <c r="A1103" s="20" t="s">
        <v>1463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 hidden="1">
      <c r="A1104" s="20" t="s">
        <v>1464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 hidden="1">
      <c r="A1105" s="20" t="s">
        <v>1465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 hidden="1">
      <c r="A1106" s="20" t="s">
        <v>1466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 hidden="1">
      <c r="A1107" s="20" t="s">
        <v>1467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 hidden="1">
      <c r="A1108" s="20" t="s">
        <v>1468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 hidden="1">
      <c r="A1109" s="20" t="s">
        <v>1469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 hidden="1">
      <c r="A1110" s="20" t="s">
        <v>1470</v>
      </c>
      <c r="B1110" s="34"/>
      <c r="C1110" s="34"/>
      <c r="D1110" s="34"/>
      <c r="E1110" s="34"/>
      <c r="F1110" s="34"/>
      <c r="G1110" s="34"/>
      <c r="H1110" s="20" t="str">
        <f>+T1110</f>
        <v/>
      </c>
      <c r="I1110" s="34"/>
      <c r="J1110" s="36"/>
      <c r="K1110" s="22" t="str">
        <f>IF(I1110="","",IF(I1110="ENTRADA",ABS(J1110),-ABS(J1110)))</f>
        <v/>
      </c>
      <c r="L1110" s="34"/>
      <c r="M1110" s="34"/>
      <c r="N1110" s="34"/>
      <c r="O1110" s="34"/>
      <c r="P1110" s="34"/>
      <c r="Q1110" s="35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 hidden="1">
      <c r="A1111" s="20" t="s">
        <v>1471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 hidden="1">
      <c r="A1112" s="20" t="s">
        <v>1472</v>
      </c>
      <c r="H1112" s="20" t="str">
        <f>+T1112</f>
        <v/>
      </c>
      <c r="J1112" s="30"/>
      <c r="K1112" s="22" t="str">
        <f>IF(I1112="","",IF(I1112="ENTRADA",ABS(J1112),-ABS(J1112)))</f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 hidden="1">
      <c r="A1113" s="20" t="s">
        <v>1473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 hidden="1">
      <c r="A1114" s="20" t="s">
        <v>1474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 hidden="1">
      <c r="A1115" s="20" t="s">
        <v>1475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 hidden="1">
      <c r="A1116" s="20" t="s">
        <v>1476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 hidden="1">
      <c r="A1117" s="20" t="s">
        <v>1477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 hidden="1">
      <c r="A1118" s="20" t="s">
        <v>1478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 hidden="1">
      <c r="A1119" s="20" t="s">
        <v>1479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 hidden="1">
      <c r="A1120" s="20" t="s">
        <v>1480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 hidden="1">
      <c r="A1121" s="20" t="s">
        <v>1481</v>
      </c>
      <c r="B1121" s="34"/>
      <c r="C1121" s="34"/>
      <c r="D1121" s="34"/>
      <c r="E1121" s="34"/>
      <c r="F1121" s="34"/>
      <c r="G1121" s="34"/>
      <c r="H1121" s="20" t="str">
        <f>+T1121</f>
        <v/>
      </c>
      <c r="I1121" s="34"/>
      <c r="J1121" s="36"/>
      <c r="K1121" s="22" t="str">
        <f>IF(I1121="","",IF(I1121="ENTRADA",ABS(J1121),-ABS(J1121)))</f>
        <v/>
      </c>
      <c r="L1121" s="34"/>
      <c r="M1121" s="34"/>
      <c r="N1121" s="34"/>
      <c r="O1121" s="34"/>
      <c r="P1121" s="34"/>
      <c r="Q1121" s="35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 hidden="1">
      <c r="A1122" s="20" t="s">
        <v>1482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 hidden="1">
      <c r="A1123" s="20" t="s">
        <v>1483</v>
      </c>
      <c r="H1123" s="20" t="str">
        <f>+T1123</f>
        <v/>
      </c>
      <c r="J1123" s="30"/>
      <c r="K1123" s="22" t="str">
        <f>IF(I1123="","",IF(I1123="ENTRADA",ABS(J1123),-ABS(J1123)))</f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 hidden="1">
      <c r="A1124" s="20" t="s">
        <v>1484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 hidden="1">
      <c r="A1125" s="20" t="s">
        <v>1485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 hidden="1">
      <c r="A1126" s="20" t="s">
        <v>1486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 hidden="1">
      <c r="A1127" s="20" t="s">
        <v>1487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 hidden="1">
      <c r="A1128" s="20" t="s">
        <v>1488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 hidden="1">
      <c r="A1129" s="20" t="s">
        <v>1489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 hidden="1">
      <c r="A1130" s="20" t="s">
        <v>1490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 hidden="1">
      <c r="A1131" s="20" t="s">
        <v>1491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 hidden="1">
      <c r="A1132" s="20" t="s">
        <v>1492</v>
      </c>
      <c r="B1132" s="34"/>
      <c r="C1132" s="34"/>
      <c r="D1132" s="34"/>
      <c r="E1132" s="34"/>
      <c r="F1132" s="34"/>
      <c r="G1132" s="34"/>
      <c r="H1132" s="20" t="str">
        <f>+T1132</f>
        <v/>
      </c>
      <c r="I1132" s="34"/>
      <c r="J1132" s="36"/>
      <c r="K1132" s="22" t="str">
        <f>IF(I1132="","",IF(I1132="ENTRADA",ABS(J1132),-ABS(J1132)))</f>
        <v/>
      </c>
      <c r="L1132" s="34"/>
      <c r="M1132" s="34"/>
      <c r="N1132" s="34"/>
      <c r="O1132" s="34"/>
      <c r="P1132" s="34"/>
      <c r="Q1132" s="35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 hidden="1">
      <c r="A1133" s="20" t="s">
        <v>1493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 hidden="1">
      <c r="A1134" s="20" t="s">
        <v>1494</v>
      </c>
      <c r="H1134" s="20" t="str">
        <f>+T1134</f>
        <v/>
      </c>
      <c r="J1134" s="30"/>
      <c r="K1134" s="22" t="str">
        <f>IF(I1134="","",IF(I1134="ENTRADA",ABS(J1134),-ABS(J1134)))</f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 hidden="1">
      <c r="A1135" s="20" t="s">
        <v>1495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 hidden="1">
      <c r="A1136" s="20" t="s">
        <v>1496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 hidden="1">
      <c r="A1137" s="20" t="s">
        <v>1497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 hidden="1">
      <c r="A1138" s="20" t="s">
        <v>1498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 hidden="1">
      <c r="A1139" s="20" t="s">
        <v>1499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 hidden="1">
      <c r="A1140" s="20" t="s">
        <v>1500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 hidden="1">
      <c r="A1141" s="20" t="s">
        <v>1501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 hidden="1">
      <c r="A1142" s="20" t="s">
        <v>1502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 hidden="1">
      <c r="A1143" s="20" t="s">
        <v>1503</v>
      </c>
      <c r="B1143" s="34"/>
      <c r="C1143" s="34"/>
      <c r="D1143" s="34"/>
      <c r="E1143" s="34"/>
      <c r="F1143" s="34"/>
      <c r="G1143" s="34"/>
      <c r="H1143" s="20" t="str">
        <f>+T1143</f>
        <v/>
      </c>
      <c r="I1143" s="34"/>
      <c r="J1143" s="36"/>
      <c r="K1143" s="22" t="str">
        <f>IF(I1143="","",IF(I1143="ENTRADA",ABS(J1143),-ABS(J1143)))</f>
        <v/>
      </c>
      <c r="L1143" s="34"/>
      <c r="M1143" s="34"/>
      <c r="N1143" s="34"/>
      <c r="O1143" s="34"/>
      <c r="P1143" s="34"/>
      <c r="Q1143" s="35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 hidden="1">
      <c r="A1144" s="20" t="s">
        <v>1504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 hidden="1">
      <c r="A1145" s="20" t="s">
        <v>1505</v>
      </c>
      <c r="H1145" s="20" t="str">
        <f>+T1145</f>
        <v/>
      </c>
      <c r="J1145" s="30"/>
      <c r="K1145" s="22" t="str">
        <f>IF(I1145="","",IF(I1145="ENTRADA",ABS(J1145),-ABS(J1145)))</f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 hidden="1">
      <c r="A1146" s="20" t="s">
        <v>1506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 hidden="1">
      <c r="A1147" s="20" t="s">
        <v>1507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 hidden="1">
      <c r="A1148" s="20" t="s">
        <v>1508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 hidden="1">
      <c r="A1149" s="20" t="s">
        <v>1509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 hidden="1">
      <c r="A1150" s="20" t="s">
        <v>1510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 hidden="1">
      <c r="A1151" s="20" t="s">
        <v>1511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 hidden="1">
      <c r="A1152" s="20" t="s">
        <v>1512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 hidden="1">
      <c r="A1153" s="20" t="s">
        <v>1513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 hidden="1">
      <c r="A1154" s="20" t="s">
        <v>1514</v>
      </c>
      <c r="B1154" s="34"/>
      <c r="C1154" s="34"/>
      <c r="D1154" s="34"/>
      <c r="E1154" s="34"/>
      <c r="F1154" s="34"/>
      <c r="G1154" s="34"/>
      <c r="H1154" s="20" t="str">
        <f>+T1154</f>
        <v/>
      </c>
      <c r="I1154" s="34"/>
      <c r="J1154" s="36"/>
      <c r="K1154" s="22" t="str">
        <f>IF(I1154="","",IF(I1154="ENTRADA",ABS(J1154),-ABS(J1154)))</f>
        <v/>
      </c>
      <c r="L1154" s="34"/>
      <c r="M1154" s="34"/>
      <c r="N1154" s="34"/>
      <c r="O1154" s="34"/>
      <c r="P1154" s="34"/>
      <c r="Q1154" s="35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 hidden="1">
      <c r="A1155" s="20" t="s">
        <v>1515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 hidden="1">
      <c r="A1156" s="20" t="s">
        <v>1516</v>
      </c>
      <c r="H1156" s="20" t="str">
        <f>+T1156</f>
        <v/>
      </c>
      <c r="J1156" s="30"/>
      <c r="K1156" s="22" t="str">
        <f>IF(I1156="","",IF(I1156="ENTRADA",ABS(J1156),-ABS(J1156)))</f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 hidden="1">
      <c r="A1157" s="20" t="s">
        <v>1517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 hidden="1">
      <c r="A1158" s="20" t="s">
        <v>1518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 hidden="1">
      <c r="A1159" s="20" t="s">
        <v>1519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 hidden="1">
      <c r="A1160" s="20" t="s">
        <v>1520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 hidden="1">
      <c r="A1161" s="20" t="s">
        <v>1521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 hidden="1">
      <c r="A1162" s="20" t="s">
        <v>1522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 hidden="1">
      <c r="A1163" s="20" t="s">
        <v>1523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 hidden="1">
      <c r="A1164" s="20" t="s">
        <v>1524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 hidden="1">
      <c r="A1165" s="20" t="s">
        <v>1525</v>
      </c>
      <c r="B1165" s="34"/>
      <c r="C1165" s="34"/>
      <c r="D1165" s="34"/>
      <c r="E1165" s="34"/>
      <c r="F1165" s="34"/>
      <c r="G1165" s="34"/>
      <c r="H1165" s="20" t="str">
        <f>+T1165</f>
        <v/>
      </c>
      <c r="I1165" s="34"/>
      <c r="J1165" s="36"/>
      <c r="K1165" s="22" t="str">
        <f>IF(I1165="","",IF(I1165="ENTRADA",ABS(J1165),-ABS(J1165)))</f>
        <v/>
      </c>
      <c r="L1165" s="34"/>
      <c r="M1165" s="34"/>
      <c r="N1165" s="34"/>
      <c r="O1165" s="34"/>
      <c r="P1165" s="34"/>
      <c r="Q1165" s="35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 hidden="1">
      <c r="A1166" s="20" t="s">
        <v>1526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 hidden="1">
      <c r="A1167" s="20" t="s">
        <v>1527</v>
      </c>
      <c r="H1167" s="20" t="str">
        <f>+T1167</f>
        <v/>
      </c>
      <c r="J1167" s="30"/>
      <c r="K1167" s="22" t="str">
        <f>IF(I1167="","",IF(I1167="ENTRADA",ABS(J1167),-ABS(J1167)))</f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 hidden="1">
      <c r="A1168" s="20" t="s">
        <v>1528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 hidden="1">
      <c r="A1169" s="20" t="s">
        <v>1529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 hidden="1">
      <c r="A1170" s="20" t="s">
        <v>1530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 hidden="1">
      <c r="A1171" s="20" t="s">
        <v>1531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 hidden="1">
      <c r="A1172" s="20" t="s">
        <v>1532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 hidden="1">
      <c r="A1173" s="20" t="s">
        <v>1533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 hidden="1">
      <c r="A1174" s="20" t="s">
        <v>1534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 hidden="1">
      <c r="A1175" s="20" t="s">
        <v>1535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 hidden="1">
      <c r="A1176" s="20" t="s">
        <v>1536</v>
      </c>
      <c r="B1176" s="34"/>
      <c r="C1176" s="34"/>
      <c r="D1176" s="34"/>
      <c r="E1176" s="34"/>
      <c r="F1176" s="34"/>
      <c r="G1176" s="34"/>
      <c r="H1176" s="20" t="str">
        <f>+T1176</f>
        <v/>
      </c>
      <c r="I1176" s="34"/>
      <c r="J1176" s="36"/>
      <c r="K1176" s="22" t="str">
        <f>IF(I1176="","",IF(I1176="ENTRADA",ABS(J1176),-ABS(J1176)))</f>
        <v/>
      </c>
      <c r="L1176" s="34"/>
      <c r="M1176" s="34"/>
      <c r="N1176" s="34"/>
      <c r="O1176" s="34"/>
      <c r="P1176" s="34"/>
      <c r="Q1176" s="35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 hidden="1">
      <c r="A1177" s="20" t="s">
        <v>1537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 hidden="1">
      <c r="A1178" s="20" t="s">
        <v>1538</v>
      </c>
      <c r="H1178" s="20" t="str">
        <f>+T1178</f>
        <v/>
      </c>
      <c r="J1178" s="30"/>
      <c r="K1178" s="22" t="str">
        <f>IF(I1178="","",IF(I1178="ENTRADA",ABS(J1178),-ABS(J1178)))</f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 hidden="1">
      <c r="A1179" s="20" t="s">
        <v>1539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 hidden="1">
      <c r="A1180" s="20" t="s">
        <v>1540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 hidden="1">
      <c r="A1181" s="20" t="s">
        <v>1541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 hidden="1">
      <c r="A1182" s="20" t="s">
        <v>1542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 hidden="1">
      <c r="A1183" s="20" t="s">
        <v>1543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 hidden="1">
      <c r="A1184" s="20" t="s">
        <v>1544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 hidden="1">
      <c r="A1185" s="20" t="s">
        <v>1545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 hidden="1">
      <c r="A1186" s="20" t="s">
        <v>1546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 hidden="1">
      <c r="A1187" s="20" t="s">
        <v>1547</v>
      </c>
      <c r="B1187" s="34"/>
      <c r="C1187" s="34"/>
      <c r="D1187" s="34"/>
      <c r="E1187" s="34"/>
      <c r="F1187" s="34"/>
      <c r="G1187" s="34"/>
      <c r="H1187" s="20" t="str">
        <f>+T1187</f>
        <v/>
      </c>
      <c r="I1187" s="34"/>
      <c r="J1187" s="36"/>
      <c r="K1187" s="22" t="str">
        <f>IF(I1187="","",IF(I1187="ENTRADA",ABS(J1187),-ABS(J1187)))</f>
        <v/>
      </c>
      <c r="L1187" s="34"/>
      <c r="M1187" s="34"/>
      <c r="N1187" s="34"/>
      <c r="O1187" s="34"/>
      <c r="P1187" s="34"/>
      <c r="Q1187" s="35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 hidden="1">
      <c r="A1188" s="20" t="s">
        <v>1548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 hidden="1">
      <c r="A1189" s="20" t="s">
        <v>1549</v>
      </c>
      <c r="H1189" s="20" t="str">
        <f>+T1189</f>
        <v/>
      </c>
      <c r="J1189" s="30"/>
      <c r="K1189" s="22" t="str">
        <f>IF(I1189="","",IF(I1189="ENTRADA",ABS(J1189),-ABS(J1189)))</f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 hidden="1">
      <c r="A1190" s="20" t="s">
        <v>1550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 hidden="1">
      <c r="A1191" s="20" t="s">
        <v>1551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 hidden="1">
      <c r="A1192" s="20" t="s">
        <v>1552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 hidden="1">
      <c r="A1193" s="20" t="s">
        <v>1553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 hidden="1">
      <c r="A1194" s="20" t="s">
        <v>1554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 hidden="1">
      <c r="A1195" s="20" t="s">
        <v>1555</v>
      </c>
      <c r="H1195" s="33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 hidden="1">
      <c r="A1196" s="20" t="s">
        <v>1556</v>
      </c>
      <c r="H1196" s="33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 hidden="1">
      <c r="A1197" s="20" t="s">
        <v>1557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 hidden="1">
      <c r="A1198" s="20" t="s">
        <v>1558</v>
      </c>
      <c r="B1198" s="34"/>
      <c r="C1198" s="34"/>
      <c r="D1198" s="34"/>
      <c r="E1198" s="34"/>
      <c r="F1198" s="34"/>
      <c r="G1198" s="34"/>
      <c r="H1198" s="20" t="str">
        <f>+T1198</f>
        <v/>
      </c>
      <c r="I1198" s="34"/>
      <c r="J1198" s="36"/>
      <c r="K1198" s="22" t="str">
        <f>IF(I1198="","",IF(I1198="ENTRADA",ABS(J1198),-ABS(J1198)))</f>
        <v/>
      </c>
      <c r="L1198" s="34"/>
      <c r="M1198" s="34"/>
      <c r="N1198" s="34"/>
      <c r="O1198" s="34"/>
      <c r="P1198" s="34"/>
      <c r="Q1198" s="35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 hidden="1">
      <c r="A1199" s="20" t="s">
        <v>1559</v>
      </c>
      <c r="H1199" s="33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 hidden="1">
      <c r="A1200" s="20" t="s">
        <v>1560</v>
      </c>
      <c r="H1200" s="20" t="str">
        <f>+T1200</f>
        <v/>
      </c>
      <c r="J1200" s="30"/>
      <c r="K1200" s="22" t="str">
        <f>IF(I1200="","",IF(I1200="ENTRADA",ABS(J1200),-ABS(J1200)))</f>
        <v/>
      </c>
      <c r="Q1200" s="35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 hidden="1">
      <c r="A1201" s="20" t="s">
        <v>1561</v>
      </c>
      <c r="H1201" s="20" t="str">
        <f>+T1201</f>
        <v/>
      </c>
      <c r="J1201" s="30"/>
      <c r="K1201" s="22" t="str">
        <f>IF(I1201="","",IF(I1201="ENTRADA",ABS(J1201),-ABS(J1201)))</f>
        <v/>
      </c>
      <c r="Q1201" s="35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 hidden="1">
      <c r="A1202" s="20" t="s">
        <v>1562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 hidden="1">
      <c r="A1203" s="20" t="s">
        <v>1563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 hidden="1">
      <c r="A1204" s="20" t="s">
        <v>1564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 hidden="1">
      <c r="A1205" s="20" t="s">
        <v>1565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 hidden="1">
      <c r="A1206" s="20" t="s">
        <v>1566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 hidden="1">
      <c r="A1207" s="20" t="s">
        <v>1567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 hidden="1">
      <c r="A1208" s="20" t="s">
        <v>1568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 hidden="1">
      <c r="A1209" s="20" t="s">
        <v>1569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 hidden="1">
      <c r="A1210" s="20" t="s">
        <v>1570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 hidden="1">
      <c r="A1211" s="20" t="s">
        <v>1571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 hidden="1">
      <c r="A1212" s="20" t="s">
        <v>1572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 hidden="1">
      <c r="A1213" s="20" t="s">
        <v>1573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 hidden="1">
      <c r="A1214" s="20" t="s">
        <v>1574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 hidden="1">
      <c r="A1215" s="20" t="s">
        <v>1575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 hidden="1">
      <c r="A1216" s="20" t="s">
        <v>1576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 hidden="1">
      <c r="A1217" s="20" t="s">
        <v>1577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 hidden="1">
      <c r="A1218" s="20" t="s">
        <v>1578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 hidden="1">
      <c r="A1219" s="20" t="s">
        <v>1579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 hidden="1">
      <c r="A1220" s="20" t="s">
        <v>1580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 hidden="1">
      <c r="A1221" s="20" t="s">
        <v>1581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 hidden="1">
      <c r="A1222" s="20" t="s">
        <v>1582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 hidden="1">
      <c r="A1223" s="20" t="s">
        <v>1583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 hidden="1">
      <c r="A1224" s="20" t="s">
        <v>1584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 hidden="1">
      <c r="A1225" s="20" t="s">
        <v>1585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 hidden="1">
      <c r="A1226" s="20" t="s">
        <v>1586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 hidden="1">
      <c r="A1227" s="20" t="s">
        <v>1587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 hidden="1">
      <c r="A1228" s="20" t="s">
        <v>1588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 hidden="1">
      <c r="A1229" s="20" t="s">
        <v>1589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 hidden="1">
      <c r="A1230" s="20" t="s">
        <v>1590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 hidden="1">
      <c r="A1231" s="20" t="s">
        <v>1591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 hidden="1">
      <c r="A1232" s="20" t="s">
        <v>1592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 hidden="1">
      <c r="A1233" s="20" t="s">
        <v>1593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 hidden="1">
      <c r="A1234" s="20" t="s">
        <v>1594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 hidden="1">
      <c r="A1235" s="20" t="s">
        <v>1595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 hidden="1">
      <c r="A1236" s="20" t="s">
        <v>1596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 hidden="1">
      <c r="A1237" s="20" t="s">
        <v>1597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 hidden="1">
      <c r="A1238" s="20" t="s">
        <v>1598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 hidden="1">
      <c r="A1239" s="20" t="s">
        <v>1599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 hidden="1">
      <c r="A1240" s="20" t="s">
        <v>1600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 hidden="1">
      <c r="A1241" s="20" t="s">
        <v>1601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 hidden="1">
      <c r="A1242" s="20" t="s">
        <v>1602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 hidden="1">
      <c r="A1243" s="20" t="s">
        <v>1603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 hidden="1">
      <c r="A1244" s="20" t="s">
        <v>1604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 hidden="1">
      <c r="A1245" s="20" t="s">
        <v>1605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 hidden="1">
      <c r="A1246" s="20" t="s">
        <v>1606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 hidden="1">
      <c r="A1247" s="20" t="s">
        <v>1607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 hidden="1">
      <c r="A1248" s="20" t="s">
        <v>1608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 hidden="1">
      <c r="A1249" s="20" t="s">
        <v>1609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 hidden="1">
      <c r="A1250" s="20" t="s">
        <v>1610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 hidden="1">
      <c r="A1251" s="20" t="s">
        <v>1611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 hidden="1">
      <c r="A1252" s="20" t="s">
        <v>1612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 hidden="1">
      <c r="A1253" s="20" t="s">
        <v>1613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 hidden="1">
      <c r="A1254" s="20" t="s">
        <v>1614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 hidden="1">
      <c r="A1255" s="20" t="s">
        <v>1615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 hidden="1">
      <c r="A1256" s="20" t="s">
        <v>1616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 hidden="1">
      <c r="A1257" s="20" t="s">
        <v>1617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 hidden="1">
      <c r="A1258" s="20" t="s">
        <v>1618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 hidden="1">
      <c r="A1259" s="20" t="s">
        <v>1619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 hidden="1">
      <c r="A1260" s="20" t="s">
        <v>1620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 hidden="1">
      <c r="A1261" s="20" t="s">
        <v>1621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 hidden="1">
      <c r="A1262" s="20" t="s">
        <v>1622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 hidden="1">
      <c r="A1263" s="20" t="s">
        <v>1623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 hidden="1">
      <c r="A1264" s="20" t="s">
        <v>1624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 hidden="1">
      <c r="A1265" s="20" t="s">
        <v>1625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 hidden="1">
      <c r="A1266" s="20" t="s">
        <v>1626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 hidden="1">
      <c r="A1267" s="20" t="s">
        <v>1627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 hidden="1">
      <c r="A1268" s="20" t="s">
        <v>1628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 hidden="1">
      <c r="A1269" s="20" t="s">
        <v>1629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 hidden="1">
      <c r="A1270" s="20" t="s">
        <v>1630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 hidden="1">
      <c r="A1271" s="20" t="s">
        <v>1631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 hidden="1">
      <c r="A1272" s="20" t="s">
        <v>1632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 hidden="1">
      <c r="A1273" s="20" t="s">
        <v>1633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 hidden="1">
      <c r="A1274" s="20" t="s">
        <v>1634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 hidden="1">
      <c r="A1275" s="20" t="s">
        <v>1635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 hidden="1">
      <c r="A1276" s="20" t="s">
        <v>1636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 hidden="1">
      <c r="A1277" s="20" t="s">
        <v>1637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 hidden="1">
      <c r="A1278" s="20" t="s">
        <v>1638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 hidden="1">
      <c r="A1279" s="20" t="s">
        <v>1639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 hidden="1">
      <c r="A1280" s="20" t="s">
        <v>1640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 hidden="1">
      <c r="A1281" s="20" t="s">
        <v>1641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 hidden="1">
      <c r="A1282" s="20" t="s">
        <v>1642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 hidden="1">
      <c r="A1283" s="20" t="s">
        <v>1643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 hidden="1">
      <c r="A1284" s="20" t="s">
        <v>1644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 hidden="1">
      <c r="A1285" s="20" t="s">
        <v>1645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 hidden="1">
      <c r="A1286" s="20" t="s">
        <v>1646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 hidden="1">
      <c r="A1287" s="20" t="s">
        <v>1647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 hidden="1">
      <c r="A1288" s="20" t="s">
        <v>1648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 hidden="1">
      <c r="A1289" s="20" t="s">
        <v>1649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 hidden="1">
      <c r="A1290" s="20" t="s">
        <v>1650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 hidden="1">
      <c r="A1291" s="20" t="s">
        <v>1651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 hidden="1">
      <c r="A1292" s="20" t="s">
        <v>1652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 hidden="1">
      <c r="A1293" s="20" t="s">
        <v>1653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 hidden="1">
      <c r="A1294" s="20" t="s">
        <v>1654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 hidden="1">
      <c r="A1295" s="20" t="s">
        <v>1655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 hidden="1">
      <c r="A1296" s="20" t="s">
        <v>1656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 hidden="1">
      <c r="A1297" s="20" t="s">
        <v>1657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 hidden="1">
      <c r="A1298" s="20" t="s">
        <v>1658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 hidden="1">
      <c r="A1299" s="20" t="s">
        <v>1659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 hidden="1">
      <c r="A1300" s="20" t="s">
        <v>1660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 hidden="1">
      <c r="A1301" s="20" t="s">
        <v>1661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 hidden="1">
      <c r="A1302" s="20" t="s">
        <v>1662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 hidden="1">
      <c r="A1303" s="20" t="s">
        <v>1663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 hidden="1">
      <c r="A1304" s="20" t="s">
        <v>1664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 hidden="1">
      <c r="A1305" s="20" t="s">
        <v>1665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 hidden="1">
      <c r="A1306" s="20" t="s">
        <v>1666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 hidden="1">
      <c r="A1307" s="20" t="s">
        <v>1667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 hidden="1">
      <c r="A1308" s="20" t="s">
        <v>1668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 hidden="1">
      <c r="A1309" s="20" t="s">
        <v>1669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 hidden="1">
      <c r="A1310" s="20" t="s">
        <v>1670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 hidden="1">
      <c r="A1311" s="20" t="s">
        <v>1671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 hidden="1">
      <c r="A1312" s="20" t="s">
        <v>1672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 hidden="1">
      <c r="A1313" s="20" t="s">
        <v>1673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 hidden="1">
      <c r="A1314" s="20" t="s">
        <v>1674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 hidden="1">
      <c r="A1315" s="20" t="s">
        <v>1675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 hidden="1">
      <c r="A1316" s="20" t="s">
        <v>1676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 hidden="1">
      <c r="A1317" s="20" t="s">
        <v>1677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 hidden="1">
      <c r="A1318" s="20" t="s">
        <v>1678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 hidden="1">
      <c r="A1319" s="20" t="s">
        <v>1679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 hidden="1">
      <c r="A1320" s="20" t="s">
        <v>1680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 hidden="1">
      <c r="A1321" s="20" t="s">
        <v>1681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 hidden="1">
      <c r="A1322" s="20" t="s">
        <v>1682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 hidden="1">
      <c r="A1323" s="20" t="s">
        <v>1683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 hidden="1">
      <c r="A1324" s="20" t="s">
        <v>1684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 hidden="1">
      <c r="A1325" s="20" t="s">
        <v>1685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 hidden="1">
      <c r="A1326" s="20" t="s">
        <v>1686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 hidden="1">
      <c r="A1327" s="20" t="s">
        <v>1687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 hidden="1">
      <c r="A1328" s="20" t="s">
        <v>1688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 hidden="1">
      <c r="A1329" s="20" t="s">
        <v>1689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 hidden="1">
      <c r="A1330" s="20" t="s">
        <v>1690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 hidden="1">
      <c r="A1331" s="20" t="s">
        <v>1691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 hidden="1">
      <c r="A1332" s="20" t="s">
        <v>1692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 hidden="1">
      <c r="A1333" s="20" t="s">
        <v>1693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 hidden="1">
      <c r="A1334" s="20" t="s">
        <v>1694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 hidden="1">
      <c r="A1335" s="20" t="s">
        <v>1695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 hidden="1">
      <c r="A1336" s="20" t="s">
        <v>1696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 hidden="1">
      <c r="A1337" s="20" t="s">
        <v>1697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 hidden="1">
      <c r="A1338" s="20" t="s">
        <v>1698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 hidden="1">
      <c r="A1339" s="20" t="s">
        <v>1699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 hidden="1">
      <c r="A1340" s="20" t="s">
        <v>1700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 hidden="1">
      <c r="A1341" s="20" t="s">
        <v>1701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 hidden="1">
      <c r="A1342" s="20" t="s">
        <v>1702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 hidden="1">
      <c r="A1343" s="20" t="s">
        <v>1703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 hidden="1">
      <c r="A1344" s="20" t="s">
        <v>1704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 hidden="1">
      <c r="A1345" s="20" t="s">
        <v>1705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 hidden="1">
      <c r="A1346" s="20" t="s">
        <v>1706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 hidden="1">
      <c r="A1347" s="20" t="s">
        <v>1707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 hidden="1">
      <c r="A1348" s="20" t="s">
        <v>1708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 hidden="1">
      <c r="A1349" s="20" t="s">
        <v>1709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 hidden="1">
      <c r="A1350" s="20" t="s">
        <v>1710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 hidden="1">
      <c r="A1351" s="20" t="s">
        <v>1711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 hidden="1">
      <c r="A1352" s="20" t="s">
        <v>1712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 hidden="1">
      <c r="A1353" s="20" t="s">
        <v>1713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 hidden="1">
      <c r="A1354" s="20" t="s">
        <v>1714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 hidden="1">
      <c r="A1355" s="20" t="s">
        <v>1715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 hidden="1">
      <c r="A1356" s="20" t="s">
        <v>1716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 hidden="1">
      <c r="A1357" s="20" t="s">
        <v>1717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 hidden="1">
      <c r="A1358" s="20" t="s">
        <v>1718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 hidden="1">
      <c r="A1359" s="20" t="s">
        <v>1719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 hidden="1">
      <c r="A1360" s="20" t="s">
        <v>1720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 hidden="1">
      <c r="A1361" s="20" t="s">
        <v>1721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 hidden="1">
      <c r="A1362" s="20" t="s">
        <v>1722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 hidden="1">
      <c r="A1363" s="20" t="s">
        <v>1723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 hidden="1">
      <c r="A1364" s="20" t="s">
        <v>1724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 hidden="1">
      <c r="A1365" s="20" t="s">
        <v>1725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 hidden="1">
      <c r="A1366" s="20" t="s">
        <v>1726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 hidden="1">
      <c r="A1367" s="20" t="s">
        <v>1727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 hidden="1">
      <c r="A1368" s="20" t="s">
        <v>1728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 hidden="1">
      <c r="A1369" s="20" t="s">
        <v>1729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 hidden="1">
      <c r="A1370" s="20" t="s">
        <v>1730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 hidden="1">
      <c r="A1371" s="20" t="s">
        <v>1731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 hidden="1">
      <c r="A1372" s="20" t="s">
        <v>1732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 hidden="1">
      <c r="A1373" s="20" t="s">
        <v>1733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 hidden="1">
      <c r="A1374" s="20" t="s">
        <v>1734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 hidden="1">
      <c r="A1375" s="20" t="s">
        <v>1735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 hidden="1">
      <c r="A1376" s="20" t="s">
        <v>1736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 hidden="1">
      <c r="A1377" s="20" t="s">
        <v>1737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 hidden="1">
      <c r="A1378" s="20" t="s">
        <v>1738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 hidden="1">
      <c r="A1379" s="20" t="s">
        <v>1739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 hidden="1">
      <c r="A1380" s="20" t="s">
        <v>1740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 hidden="1">
      <c r="A1381" s="20" t="s">
        <v>1741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 hidden="1">
      <c r="A1382" s="20" t="s">
        <v>1742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 hidden="1">
      <c r="A1383" s="20" t="s">
        <v>1743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 hidden="1">
      <c r="A1384" s="20" t="s">
        <v>1744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 hidden="1">
      <c r="A1385" s="20" t="s">
        <v>1745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 hidden="1">
      <c r="A1386" s="20" t="s">
        <v>1746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 hidden="1">
      <c r="A1387" s="20" t="s">
        <v>1747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 hidden="1">
      <c r="A1388" s="20" t="s">
        <v>1748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 hidden="1">
      <c r="A1389" s="20" t="s">
        <v>1749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 hidden="1">
      <c r="A1390" s="20" t="s">
        <v>1750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 hidden="1">
      <c r="A1391" s="20" t="s">
        <v>1751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 hidden="1">
      <c r="A1392" s="20" t="s">
        <v>1752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 hidden="1">
      <c r="A1393" s="20" t="s">
        <v>1753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 hidden="1">
      <c r="A1394" s="20" t="s">
        <v>1754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 hidden="1">
      <c r="A1395" s="20" t="s">
        <v>1755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 hidden="1">
      <c r="A1396" s="20" t="s">
        <v>1756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 hidden="1">
      <c r="A1397" s="20" t="s">
        <v>1757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 hidden="1">
      <c r="A1398" s="20" t="s">
        <v>1758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 hidden="1">
      <c r="A1399" s="20" t="s">
        <v>1759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 hidden="1">
      <c r="A1400" s="20" t="s">
        <v>1760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 hidden="1">
      <c r="A1401" s="20" t="s">
        <v>1761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 hidden="1">
      <c r="A1402" s="20" t="s">
        <v>1762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 hidden="1">
      <c r="A1403" s="20" t="s">
        <v>1763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 hidden="1">
      <c r="A1404" s="20" t="s">
        <v>1764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 hidden="1">
      <c r="A1405" s="20" t="s">
        <v>1765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 hidden="1">
      <c r="A1406" s="20" t="s">
        <v>1766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 hidden="1">
      <c r="A1407" s="20" t="s">
        <v>1767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 hidden="1">
      <c r="A1408" s="20" t="s">
        <v>1768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 hidden="1">
      <c r="A1409" s="20" t="s">
        <v>1769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 hidden="1">
      <c r="A1410" s="20" t="s">
        <v>1770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 hidden="1">
      <c r="A1411" s="20" t="s">
        <v>1771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 hidden="1">
      <c r="A1412" s="20" t="s">
        <v>1772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 hidden="1">
      <c r="A1413" s="20" t="s">
        <v>1773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 hidden="1">
      <c r="A1414" s="20" t="s">
        <v>1774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 hidden="1">
      <c r="A1415" s="20" t="s">
        <v>1775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 hidden="1">
      <c r="A1416" s="20" t="s">
        <v>1776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 hidden="1">
      <c r="A1417" s="20" t="s">
        <v>1777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 hidden="1">
      <c r="A1418" s="20" t="s">
        <v>1778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 hidden="1">
      <c r="A1419" s="20" t="s">
        <v>1779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 hidden="1">
      <c r="A1420" s="20" t="s">
        <v>1780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 hidden="1">
      <c r="A1421" s="20" t="s">
        <v>1781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 hidden="1">
      <c r="A1422" s="20" t="s">
        <v>1782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 hidden="1">
      <c r="A1423" s="20" t="s">
        <v>1783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 hidden="1">
      <c r="A1424" s="20" t="s">
        <v>1784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 hidden="1">
      <c r="A1425" s="20" t="s">
        <v>1785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 hidden="1">
      <c r="A1426" s="20" t="s">
        <v>1786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 hidden="1">
      <c r="A1427" s="20" t="s">
        <v>1787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 hidden="1">
      <c r="A1428" s="20" t="s">
        <v>1788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 hidden="1">
      <c r="A1429" s="20" t="s">
        <v>1789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 hidden="1">
      <c r="A1430" s="20" t="s">
        <v>1790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 hidden="1">
      <c r="A1431" s="20" t="s">
        <v>1791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 hidden="1">
      <c r="A1432" s="20" t="s">
        <v>1792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 hidden="1">
      <c r="A1433" s="20" t="s">
        <v>1793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 hidden="1">
      <c r="A1434" s="20" t="s">
        <v>1794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 hidden="1">
      <c r="A1435" s="20" t="s">
        <v>1795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 hidden="1">
      <c r="A1436" s="20" t="s">
        <v>1796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 hidden="1">
      <c r="A1437" s="20" t="s">
        <v>1797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 hidden="1">
      <c r="A1438" s="20" t="s">
        <v>1798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 hidden="1">
      <c r="A1439" s="20" t="s">
        <v>1799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 hidden="1">
      <c r="A1440" s="20" t="s">
        <v>1800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 hidden="1">
      <c r="A1441" s="20" t="s">
        <v>1801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 hidden="1">
      <c r="A1442" s="20" t="s">
        <v>1802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 hidden="1">
      <c r="A1443" s="20" t="s">
        <v>1803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 hidden="1">
      <c r="A1444" s="20" t="s">
        <v>1804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 hidden="1">
      <c r="A1445" s="20" t="s">
        <v>1805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 hidden="1">
      <c r="A1446" s="20" t="s">
        <v>1806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 hidden="1">
      <c r="A1447" s="20" t="s">
        <v>1807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 hidden="1">
      <c r="A1448" s="20" t="s">
        <v>1808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 hidden="1">
      <c r="A1449" s="20" t="s">
        <v>1809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 hidden="1">
      <c r="A1450" s="20" t="s">
        <v>1810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 hidden="1">
      <c r="A1451" s="20" t="s">
        <v>1811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 hidden="1">
      <c r="A1452" s="20" t="s">
        <v>1812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 hidden="1">
      <c r="A1453" s="20" t="s">
        <v>1813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 hidden="1">
      <c r="A1454" s="20" t="s">
        <v>1814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 hidden="1">
      <c r="A1455" s="20" t="s">
        <v>1815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 hidden="1">
      <c r="A1456" s="20" t="s">
        <v>1816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 hidden="1">
      <c r="A1457" s="20" t="s">
        <v>1817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 hidden="1">
      <c r="A1458" s="20" t="s">
        <v>1818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 hidden="1">
      <c r="A1459" s="20" t="s">
        <v>1819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 hidden="1">
      <c r="A1460" s="20" t="s">
        <v>1820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 hidden="1">
      <c r="A1461" s="20" t="s">
        <v>1821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 hidden="1">
      <c r="A1462" s="20" t="s">
        <v>1822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 hidden="1">
      <c r="A1463" s="20" t="s">
        <v>1823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 hidden="1">
      <c r="A1464" s="20" t="s">
        <v>1824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 hidden="1">
      <c r="A1465" s="20" t="s">
        <v>1825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 hidden="1">
      <c r="A1466" s="20" t="s">
        <v>1826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 hidden="1">
      <c r="A1467" s="20" t="s">
        <v>1827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 hidden="1">
      <c r="A1468" s="20" t="s">
        <v>1828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 hidden="1">
      <c r="A1469" s="20" t="s">
        <v>1829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 hidden="1">
      <c r="A1470" s="20" t="s">
        <v>1830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 hidden="1">
      <c r="A1471" s="20" t="s">
        <v>1831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 hidden="1">
      <c r="A1472" s="20" t="s">
        <v>1832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 hidden="1">
      <c r="A1473" s="20" t="s">
        <v>1833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 hidden="1">
      <c r="A1474" s="20" t="s">
        <v>1834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 hidden="1">
      <c r="A1475" s="20" t="s">
        <v>1835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 hidden="1">
      <c r="A1476" s="20" t="s">
        <v>1836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 hidden="1">
      <c r="A1477" s="20" t="s">
        <v>1837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 hidden="1">
      <c r="A1478" s="20" t="s">
        <v>1838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 hidden="1">
      <c r="A1479" s="20" t="s">
        <v>1839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 hidden="1">
      <c r="A1480" s="20" t="s">
        <v>1840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 hidden="1">
      <c r="A1481" s="20" t="s">
        <v>1841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 hidden="1">
      <c r="A1482" s="20" t="s">
        <v>1842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 hidden="1">
      <c r="A1483" s="20" t="s">
        <v>1843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 hidden="1">
      <c r="A1484" s="20" t="s">
        <v>1844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 hidden="1">
      <c r="A1485" s="20" t="s">
        <v>1845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 hidden="1">
      <c r="A1486" s="20" t="s">
        <v>1846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 hidden="1">
      <c r="A1487" s="20" t="s">
        <v>1847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 hidden="1">
      <c r="A1488" s="20" t="s">
        <v>1848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 hidden="1">
      <c r="A1489" s="20" t="s">
        <v>1849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 hidden="1">
      <c r="A1490" s="20" t="s">
        <v>1850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 hidden="1">
      <c r="A1491" s="20" t="s">
        <v>1851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 hidden="1">
      <c r="A1492" s="20" t="s">
        <v>1852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 hidden="1">
      <c r="A1493" s="20" t="s">
        <v>1853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 hidden="1">
      <c r="A1494" s="20" t="s">
        <v>1854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 hidden="1">
      <c r="A1495" s="20" t="s">
        <v>1855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 hidden="1">
      <c r="A1496" s="20" t="s">
        <v>1856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 hidden="1">
      <c r="A1497" s="20" t="s">
        <v>1857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 hidden="1">
      <c r="A1498" s="20" t="s">
        <v>1858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 hidden="1">
      <c r="A1499" s="20" t="s">
        <v>1859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 hidden="1">
      <c r="A1500" s="20" t="s">
        <v>1860</v>
      </c>
      <c r="H1500" s="20" t="str">
        <f>+T1500</f>
        <v/>
      </c>
      <c r="J1500" s="30"/>
      <c r="K1500" s="22" t="str">
        <f>IF(I1500="","",IF(I1500="ENTRADA",ABS(J1500),-ABS(J1500)))</f>
        <v/>
      </c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 hidden="1">
      <c r="A1501" s="20" t="s">
        <v>1861</v>
      </c>
      <c r="H1501" s="20" t="str">
        <f>+T1501</f>
        <v/>
      </c>
      <c r="J1501" s="30"/>
      <c r="K1501" s="22" t="str">
        <f>IF(I1501="","",IF(I1501="ENTRADA",ABS(J1501),-ABS(J1501)))</f>
        <v/>
      </c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 hidden="1">
      <c r="A1502" s="20" t="s">
        <v>1862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 hidden="1">
      <c r="A1503" s="20" t="s">
        <v>1863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 hidden="1">
      <c r="A1504" s="20" t="s">
        <v>1864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 hidden="1">
      <c r="A1505" s="20" t="s">
        <v>1865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 hidden="1">
      <c r="A1506" s="20" t="s">
        <v>1866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 hidden="1">
      <c r="A1507" s="20" t="s">
        <v>1867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 hidden="1">
      <c r="A1508" s="20" t="s">
        <v>1868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 hidden="1">
      <c r="A1509" s="20" t="s">
        <v>1869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 hidden="1">
      <c r="A1510" s="20" t="s">
        <v>1870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 hidden="1">
      <c r="A1511" s="20" t="s">
        <v>1871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 hidden="1">
      <c r="A1512" s="20" t="s">
        <v>1872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 hidden="1">
      <c r="A1513" s="20" t="s">
        <v>1873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 hidden="1">
      <c r="A1514" s="20" t="s">
        <v>1874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 hidden="1">
      <c r="A1515" s="20" t="s">
        <v>1875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 hidden="1">
      <c r="A1516" s="20" t="s">
        <v>1876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 hidden="1">
      <c r="A1517" s="20" t="s">
        <v>1877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 hidden="1">
      <c r="A1518" s="20" t="s">
        <v>1878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 hidden="1">
      <c r="A1519" s="20" t="s">
        <v>1879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 hidden="1">
      <c r="A1520" s="20" t="s">
        <v>1880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 hidden="1">
      <c r="A1521" s="20" t="s">
        <v>1881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 hidden="1">
      <c r="A1522" s="20" t="s">
        <v>1882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 hidden="1">
      <c r="A1523" s="20" t="s">
        <v>1883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 hidden="1">
      <c r="A1524" s="20" t="s">
        <v>1884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 hidden="1">
      <c r="A1525" s="20" t="s">
        <v>1885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 hidden="1">
      <c r="A1526" s="20" t="s">
        <v>1886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 hidden="1">
      <c r="A1527" s="20" t="s">
        <v>1887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 hidden="1">
      <c r="A1528" s="20" t="s">
        <v>1888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 hidden="1">
      <c r="A1529" s="20" t="s">
        <v>1889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 hidden="1">
      <c r="A1530" s="20" t="s">
        <v>1890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 hidden="1">
      <c r="A1531" s="20" t="s">
        <v>1891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 hidden="1">
      <c r="A1532" s="20" t="s">
        <v>1892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 hidden="1">
      <c r="A1533" s="20" t="s">
        <v>1893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 hidden="1">
      <c r="A1534" s="20" t="s">
        <v>1894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 hidden="1">
      <c r="A1535" s="20" t="s">
        <v>1895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 hidden="1">
      <c r="A1536" s="20" t="s">
        <v>1896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 hidden="1">
      <c r="A1537" s="20" t="s">
        <v>1897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 hidden="1">
      <c r="A1538" s="20" t="s">
        <v>1898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 hidden="1">
      <c r="A1539" s="20" t="s">
        <v>1899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 hidden="1">
      <c r="A1540" s="20" t="s">
        <v>1900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 hidden="1">
      <c r="A1541" s="20" t="s">
        <v>1901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 hidden="1">
      <c r="A1542" s="20" t="s">
        <v>1902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 hidden="1">
      <c r="A1543" s="20" t="s">
        <v>1903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 hidden="1">
      <c r="A1544" s="20" t="s">
        <v>1904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 hidden="1">
      <c r="A1545" s="20" t="s">
        <v>1905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 hidden="1">
      <c r="A1546" s="20" t="s">
        <v>1906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 hidden="1">
      <c r="A1547" s="20" t="s">
        <v>1907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 hidden="1">
      <c r="A1548" s="20" t="s">
        <v>1908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 hidden="1">
      <c r="A1549" s="20" t="s">
        <v>1909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 hidden="1">
      <c r="A1550" s="20" t="s">
        <v>1910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 hidden="1">
      <c r="A1551" s="20" t="s">
        <v>1911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 hidden="1">
      <c r="A1552" s="20" t="s">
        <v>1912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 hidden="1">
      <c r="A1553" s="20" t="s">
        <v>1913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 hidden="1">
      <c r="A1554" s="20" t="s">
        <v>1914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 hidden="1">
      <c r="A1555" s="20" t="s">
        <v>1915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 hidden="1">
      <c r="A1556" s="20" t="s">
        <v>1916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 hidden="1">
      <c r="A1557" s="20" t="s">
        <v>1917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 hidden="1">
      <c r="A1558" s="20" t="s">
        <v>1918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 hidden="1">
      <c r="A1559" s="20" t="s">
        <v>1919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 hidden="1">
      <c r="A1560" s="20" t="s">
        <v>1920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 hidden="1">
      <c r="A1561" s="20" t="s">
        <v>1921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 hidden="1">
      <c r="A1562" s="20" t="s">
        <v>1922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 hidden="1">
      <c r="A1563" s="20" t="s">
        <v>1923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 hidden="1">
      <c r="A1564" s="20" t="s">
        <v>1924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 hidden="1">
      <c r="A1565" s="20" t="s">
        <v>1925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 hidden="1">
      <c r="A1566" s="20" t="s">
        <v>1926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 hidden="1">
      <c r="A1567" s="20" t="s">
        <v>1927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 hidden="1">
      <c r="A1568" s="20" t="s">
        <v>1928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 hidden="1">
      <c r="A1569" s="20" t="s">
        <v>1929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 hidden="1">
      <c r="A1570" s="20" t="s">
        <v>1930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 hidden="1">
      <c r="A1571" s="20" t="s">
        <v>1931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 hidden="1">
      <c r="A1572" s="20" t="s">
        <v>1932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 hidden="1">
      <c r="A1573" s="20" t="s">
        <v>1933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 hidden="1">
      <c r="A1574" s="20" t="s">
        <v>1934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 hidden="1">
      <c r="A1575" s="20" t="s">
        <v>1935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 hidden="1">
      <c r="A1576" s="20" t="s">
        <v>1936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 hidden="1">
      <c r="A1577" s="20" t="s">
        <v>1937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 hidden="1">
      <c r="A1578" s="20" t="s">
        <v>1938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 hidden="1">
      <c r="A1579" s="20" t="s">
        <v>1939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 hidden="1">
      <c r="A1580" s="20" t="s">
        <v>1940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 hidden="1">
      <c r="A1581" s="20" t="s">
        <v>1941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 hidden="1">
      <c r="A1582" s="20" t="s">
        <v>1942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 hidden="1">
      <c r="A1583" s="20" t="s">
        <v>1943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 hidden="1">
      <c r="A1584" s="20" t="s">
        <v>1944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 hidden="1">
      <c r="A1585" s="20" t="s">
        <v>1945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 hidden="1">
      <c r="A1586" s="20" t="s">
        <v>1946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 hidden="1">
      <c r="A1587" s="20" t="s">
        <v>1947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 hidden="1">
      <c r="A1588" s="20" t="s">
        <v>1948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 hidden="1">
      <c r="A1589" s="20" t="s">
        <v>1949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 hidden="1">
      <c r="A1590" s="20" t="s">
        <v>1950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 hidden="1">
      <c r="A1591" s="20" t="s">
        <v>1951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 hidden="1">
      <c r="A1592" s="20" t="s">
        <v>1952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 hidden="1">
      <c r="A1593" s="20" t="s">
        <v>1953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 hidden="1">
      <c r="A1594" s="20" t="s">
        <v>1954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 hidden="1">
      <c r="A1595" s="20" t="s">
        <v>1955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 hidden="1">
      <c r="A1596" s="20" t="s">
        <v>1956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 hidden="1">
      <c r="A1597" s="20" t="s">
        <v>1957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 hidden="1">
      <c r="A1598" s="20" t="s">
        <v>1958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 hidden="1">
      <c r="A1599" s="20" t="s">
        <v>1959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 hidden="1">
      <c r="A1600" s="20" t="s">
        <v>1960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 hidden="1">
      <c r="A1601" s="20" t="s">
        <v>1961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 hidden="1">
      <c r="A1602" s="20" t="s">
        <v>1962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 hidden="1">
      <c r="A1603" s="20" t="s">
        <v>1963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 hidden="1">
      <c r="A1604" s="20" t="s">
        <v>1964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 hidden="1">
      <c r="A1605" s="20" t="s">
        <v>1965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 hidden="1">
      <c r="A1606" s="20" t="s">
        <v>1966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 hidden="1">
      <c r="A1607" s="20" t="s">
        <v>1967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 hidden="1">
      <c r="A1608" s="20" t="s">
        <v>1968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 hidden="1">
      <c r="A1609" s="20" t="s">
        <v>1969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 hidden="1">
      <c r="A1610" s="20" t="s">
        <v>1970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 hidden="1">
      <c r="A1611" s="20" t="s">
        <v>1971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 hidden="1">
      <c r="A1612" s="20" t="s">
        <v>1972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 hidden="1">
      <c r="A1613" s="20" t="s">
        <v>1973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 hidden="1">
      <c r="A1614" s="20" t="s">
        <v>1974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 hidden="1">
      <c r="A1615" s="20" t="s">
        <v>1975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 hidden="1">
      <c r="A1616" s="20" t="s">
        <v>1976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 hidden="1">
      <c r="A1617" s="20" t="s">
        <v>1977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 hidden="1">
      <c r="A1618" s="20" t="s">
        <v>1978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 hidden="1">
      <c r="A1619" s="20" t="s">
        <v>1979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 hidden="1">
      <c r="A1620" s="20" t="s">
        <v>1980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 hidden="1">
      <c r="A1621" s="20" t="s">
        <v>1981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 hidden="1">
      <c r="A1622" s="20" t="s">
        <v>1982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 hidden="1">
      <c r="A1623" s="20" t="s">
        <v>1983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 hidden="1">
      <c r="A1624" s="20" t="s">
        <v>1984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 hidden="1">
      <c r="A1625" s="20" t="s">
        <v>1985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 hidden="1">
      <c r="A1626" s="20" t="s">
        <v>1986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 hidden="1">
      <c r="A1627" s="20" t="s">
        <v>1987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 hidden="1">
      <c r="A1628" s="20" t="s">
        <v>1988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 hidden="1">
      <c r="A1629" s="20" t="s">
        <v>1989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 hidden="1">
      <c r="A1630" s="20" t="s">
        <v>1990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 hidden="1">
      <c r="A1631" s="20" t="s">
        <v>1991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 hidden="1">
      <c r="A1632" s="20" t="s">
        <v>1992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 hidden="1">
      <c r="A1633" s="20" t="s">
        <v>1993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 hidden="1">
      <c r="A1634" s="20" t="s">
        <v>1994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 hidden="1">
      <c r="A1635" s="20" t="s">
        <v>1995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 hidden="1">
      <c r="A1636" s="20" t="s">
        <v>1996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 hidden="1">
      <c r="A1637" s="20" t="s">
        <v>1997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 hidden="1">
      <c r="A1638" s="20" t="s">
        <v>1998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 hidden="1">
      <c r="A1639" s="20" t="s">
        <v>1999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 hidden="1">
      <c r="A1640" s="20" t="s">
        <v>2000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 hidden="1">
      <c r="A1641" s="20" t="s">
        <v>2001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 hidden="1">
      <c r="A1642" s="20" t="s">
        <v>2002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 hidden="1">
      <c r="A1643" s="20" t="s">
        <v>2003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 hidden="1">
      <c r="A1644" s="20" t="s">
        <v>2004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 hidden="1">
      <c r="A1645" s="20" t="s">
        <v>2005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 hidden="1">
      <c r="A1646" s="20" t="s">
        <v>2006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 hidden="1">
      <c r="A1647" s="20" t="s">
        <v>2007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 hidden="1">
      <c r="A1648" s="20" t="s">
        <v>2008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 hidden="1">
      <c r="A1649" s="20" t="s">
        <v>2009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 hidden="1">
      <c r="A1650" s="20" t="s">
        <v>2010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 hidden="1">
      <c r="A1651" s="20" t="s">
        <v>2011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 hidden="1">
      <c r="A1652" s="20" t="s">
        <v>2012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 hidden="1">
      <c r="A1653" s="20" t="s">
        <v>2013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 hidden="1">
      <c r="A1654" s="20" t="s">
        <v>2014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 hidden="1">
      <c r="A1655" s="20" t="s">
        <v>2015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 hidden="1">
      <c r="A1656" s="20" t="s">
        <v>2016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 hidden="1">
      <c r="A1657" s="20" t="s">
        <v>2017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 hidden="1">
      <c r="A1658" s="20" t="s">
        <v>2018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 hidden="1">
      <c r="A1659" s="20" t="s">
        <v>2019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 hidden="1">
      <c r="A1660" s="20" t="s">
        <v>2020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 hidden="1">
      <c r="A1661" s="20" t="s">
        <v>2021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 hidden="1">
      <c r="A1662" s="20" t="s">
        <v>2022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 hidden="1">
      <c r="A1663" s="20" t="s">
        <v>2023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 hidden="1">
      <c r="A1664" s="20" t="s">
        <v>2024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 hidden="1">
      <c r="A1665" s="20" t="s">
        <v>2025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 hidden="1">
      <c r="A1666" s="20" t="s">
        <v>2026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 hidden="1">
      <c r="A1667" s="20" t="s">
        <v>2027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 hidden="1">
      <c r="A1668" s="20" t="s">
        <v>2028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 hidden="1">
      <c r="A1669" s="20" t="s">
        <v>2029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 hidden="1">
      <c r="A1670" s="20" t="s">
        <v>2030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 hidden="1">
      <c r="A1671" s="20" t="s">
        <v>2031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 hidden="1">
      <c r="A1672" s="20" t="s">
        <v>2032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 hidden="1">
      <c r="A1673" s="20" t="s">
        <v>2033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 hidden="1">
      <c r="A1674" s="20" t="s">
        <v>2034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 hidden="1">
      <c r="A1675" s="20" t="s">
        <v>2035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 hidden="1">
      <c r="A1676" s="20" t="s">
        <v>2036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 hidden="1">
      <c r="A1677" s="20" t="s">
        <v>2037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 hidden="1">
      <c r="A1678" s="20" t="s">
        <v>2038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 hidden="1">
      <c r="A1679" s="20" t="s">
        <v>2039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 hidden="1">
      <c r="A1680" s="20" t="s">
        <v>2040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 hidden="1">
      <c r="A1681" s="20" t="s">
        <v>2041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 hidden="1">
      <c r="A1682" s="20" t="s">
        <v>2042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 hidden="1">
      <c r="A1683" s="20" t="s">
        <v>2043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 hidden="1">
      <c r="A1684" s="20" t="s">
        <v>2044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 hidden="1">
      <c r="A1685" s="20" t="s">
        <v>2045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 hidden="1">
      <c r="A1686" s="20" t="s">
        <v>2046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 hidden="1">
      <c r="A1687" s="20" t="s">
        <v>2047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 hidden="1">
      <c r="A1688" s="20" t="s">
        <v>2048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 hidden="1">
      <c r="A1689" s="20" t="s">
        <v>2049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 hidden="1">
      <c r="A1690" s="20" t="s">
        <v>2050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 hidden="1">
      <c r="A1691" s="20" t="s">
        <v>2051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 hidden="1">
      <c r="A1692" s="20" t="s">
        <v>2052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 hidden="1">
      <c r="A1693" s="20" t="s">
        <v>2053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 hidden="1">
      <c r="A1694" s="20" t="s">
        <v>2054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 hidden="1">
      <c r="A1695" s="20" t="s">
        <v>2055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 hidden="1">
      <c r="A1696" s="20" t="s">
        <v>2056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 hidden="1">
      <c r="A1697" s="20" t="s">
        <v>2057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 hidden="1">
      <c r="A1698" s="20" t="s">
        <v>2058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 hidden="1">
      <c r="A1699" s="20" t="s">
        <v>2059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 hidden="1">
      <c r="A1700" s="20" t="s">
        <v>2060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 hidden="1">
      <c r="A1701" s="20" t="s">
        <v>2061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 hidden="1">
      <c r="A1702" s="20" t="s">
        <v>2062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 hidden="1">
      <c r="A1703" s="20" t="s">
        <v>2063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 hidden="1">
      <c r="A1704" s="20" t="s">
        <v>2064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 hidden="1">
      <c r="A1705" s="20" t="s">
        <v>2065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 hidden="1">
      <c r="A1706" s="20" t="s">
        <v>2066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 hidden="1">
      <c r="A1707" s="20" t="s">
        <v>2067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 hidden="1">
      <c r="A1708" s="20" t="s">
        <v>2068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 hidden="1">
      <c r="A1709" s="20" t="s">
        <v>2069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 hidden="1">
      <c r="A1710" s="20" t="s">
        <v>2070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 hidden="1">
      <c r="A1711" s="20" t="s">
        <v>2071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 hidden="1">
      <c r="A1712" s="20" t="s">
        <v>2072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 hidden="1">
      <c r="A1713" s="20" t="s">
        <v>2073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 hidden="1">
      <c r="A1714" s="20" t="s">
        <v>2074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 hidden="1">
      <c r="A1715" s="20" t="s">
        <v>2075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 hidden="1">
      <c r="A1716" s="20" t="s">
        <v>2076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 hidden="1">
      <c r="A1717" s="20" t="s">
        <v>2077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 hidden="1">
      <c r="A1718" s="20" t="s">
        <v>2078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 hidden="1">
      <c r="A1719" s="20" t="s">
        <v>2079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 hidden="1">
      <c r="A1720" s="20" t="s">
        <v>2080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 hidden="1">
      <c r="A1721" s="20" t="s">
        <v>2081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 hidden="1">
      <c r="A1722" s="20" t="s">
        <v>2082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 hidden="1">
      <c r="A1723" s="20" t="s">
        <v>2083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 hidden="1">
      <c r="A1724" s="20" t="s">
        <v>2084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 hidden="1">
      <c r="A1725" s="20" t="s">
        <v>2085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 hidden="1">
      <c r="A1726" s="20" t="s">
        <v>2086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 hidden="1">
      <c r="A1727" s="20" t="s">
        <v>2087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 hidden="1">
      <c r="A1728" s="20" t="s">
        <v>2088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 hidden="1">
      <c r="A1729" s="20" t="s">
        <v>2089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 hidden="1">
      <c r="A1730" s="20" t="s">
        <v>2090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 hidden="1">
      <c r="A1731" s="20" t="s">
        <v>2091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 hidden="1">
      <c r="A1732" s="20" t="s">
        <v>2092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 hidden="1">
      <c r="A1733" s="20" t="s">
        <v>2093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 hidden="1">
      <c r="A1734" s="20" t="s">
        <v>2094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 hidden="1">
      <c r="A1735" s="20" t="s">
        <v>2095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 hidden="1">
      <c r="A1736" s="20" t="s">
        <v>2096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 hidden="1">
      <c r="A1737" s="20" t="s">
        <v>2097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 hidden="1">
      <c r="A1738" s="20" t="s">
        <v>2098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 hidden="1">
      <c r="A1739" s="20" t="s">
        <v>2099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 hidden="1">
      <c r="A1740" s="20" t="s">
        <v>2100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 hidden="1">
      <c r="A1741" s="20" t="s">
        <v>2101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 hidden="1">
      <c r="A1742" s="20" t="s">
        <v>2102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 hidden="1">
      <c r="A1743" s="20" t="s">
        <v>2103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 hidden="1">
      <c r="A1744" s="20" t="s">
        <v>2104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 hidden="1">
      <c r="A1745" s="20" t="s">
        <v>2105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 hidden="1">
      <c r="A1746" s="20" t="s">
        <v>2106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 hidden="1">
      <c r="A1747" s="20" t="s">
        <v>2107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 hidden="1">
      <c r="A1748" s="20" t="s">
        <v>2108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 hidden="1">
      <c r="A1749" s="20" t="s">
        <v>2109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 hidden="1">
      <c r="A1750" s="20" t="s">
        <v>2110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 hidden="1">
      <c r="A1751" s="20" t="s">
        <v>2111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 hidden="1">
      <c r="A1752" s="20" t="s">
        <v>2112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 hidden="1">
      <c r="A1753" s="20" t="s">
        <v>2113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 hidden="1">
      <c r="A1754" s="20" t="s">
        <v>2114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 hidden="1">
      <c r="A1755" s="20" t="s">
        <v>2115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 hidden="1">
      <c r="A1756" s="20" t="s">
        <v>2116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 hidden="1">
      <c r="A1757" s="20" t="s">
        <v>2117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 hidden="1">
      <c r="A1758" s="20" t="s">
        <v>2118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 hidden="1">
      <c r="A1759" s="20" t="s">
        <v>2119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 hidden="1">
      <c r="A1760" s="20" t="s">
        <v>2120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 hidden="1">
      <c r="A1761" s="20" t="s">
        <v>2121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 hidden="1">
      <c r="A1762" s="20" t="s">
        <v>2122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 hidden="1">
      <c r="A1763" s="20" t="s">
        <v>2123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 hidden="1">
      <c r="A1764" s="20" t="s">
        <v>2124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 hidden="1">
      <c r="A1765" s="20" t="s">
        <v>2125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 hidden="1">
      <c r="A1766" s="20" t="s">
        <v>2126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 hidden="1">
      <c r="A1767" s="20" t="s">
        <v>2127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 hidden="1">
      <c r="A1768" s="20" t="s">
        <v>2128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 hidden="1">
      <c r="A1769" s="20" t="s">
        <v>2129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 hidden="1">
      <c r="A1770" s="20" t="s">
        <v>2130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 hidden="1">
      <c r="A1771" s="20" t="s">
        <v>2131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 hidden="1">
      <c r="A1772" s="20" t="s">
        <v>2132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 hidden="1">
      <c r="A1773" s="20" t="s">
        <v>2133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 hidden="1">
      <c r="A1774" s="20" t="s">
        <v>2134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 hidden="1">
      <c r="A1775" s="20" t="s">
        <v>2135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 hidden="1">
      <c r="A1776" s="20" t="s">
        <v>2136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 hidden="1">
      <c r="A1777" s="20" t="s">
        <v>2137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 hidden="1">
      <c r="A1778" s="20" t="s">
        <v>2138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 hidden="1">
      <c r="A1779" s="20" t="s">
        <v>2139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 hidden="1">
      <c r="A1780" s="20" t="s">
        <v>2140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 hidden="1">
      <c r="A1781" s="20" t="s">
        <v>2141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 hidden="1">
      <c r="A1782" s="20" t="s">
        <v>2142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 hidden="1">
      <c r="A1783" s="20" t="s">
        <v>2143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 hidden="1">
      <c r="A1784" s="20" t="s">
        <v>2144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 hidden="1">
      <c r="A1785" s="20" t="s">
        <v>2145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 hidden="1">
      <c r="A1786" s="20" t="s">
        <v>2146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 hidden="1">
      <c r="A1787" s="20" t="s">
        <v>2147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 hidden="1">
      <c r="A1788" s="20" t="s">
        <v>2148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 hidden="1">
      <c r="A1789" s="20" t="s">
        <v>2149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 hidden="1">
      <c r="A1790" s="20" t="s">
        <v>2150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 hidden="1">
      <c r="A1791" s="20" t="s">
        <v>2151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 hidden="1">
      <c r="A1792" s="20" t="s">
        <v>2152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 hidden="1">
      <c r="A1793" s="20" t="s">
        <v>2153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 hidden="1">
      <c r="A1794" s="20" t="s">
        <v>2154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 hidden="1">
      <c r="A1795" s="20" t="s">
        <v>2155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 hidden="1">
      <c r="A1796" s="20" t="s">
        <v>2156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 hidden="1">
      <c r="A1797" s="20" t="s">
        <v>2157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 hidden="1">
      <c r="A1798" s="20" t="s">
        <v>2158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 hidden="1">
      <c r="A1799" s="20" t="s">
        <v>2159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 hidden="1">
      <c r="A1800" s="20" t="s">
        <v>2160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 hidden="1">
      <c r="A1801" s="20" t="s">
        <v>2161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 hidden="1">
      <c r="A1802" s="20" t="s">
        <v>2162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 hidden="1">
      <c r="A1803" s="20" t="s">
        <v>2163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 hidden="1">
      <c r="A1804" s="20" t="s">
        <v>2164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 hidden="1">
      <c r="A1805" s="20" t="s">
        <v>2165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 hidden="1">
      <c r="A1806" s="20" t="s">
        <v>2166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 hidden="1">
      <c r="A1807" s="20" t="s">
        <v>2167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 hidden="1">
      <c r="A1808" s="20" t="s">
        <v>2168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 hidden="1">
      <c r="A1809" s="20" t="s">
        <v>2169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 hidden="1">
      <c r="A1810" s="20" t="s">
        <v>2170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 hidden="1">
      <c r="A1811" s="20" t="s">
        <v>2171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 hidden="1">
      <c r="A1812" s="20" t="s">
        <v>2172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 hidden="1">
      <c r="A1813" s="20" t="s">
        <v>2173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 hidden="1">
      <c r="A1814" s="20" t="s">
        <v>2174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 hidden="1">
      <c r="A1815" s="20" t="s">
        <v>2175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 hidden="1">
      <c r="A1816" s="20" t="s">
        <v>2176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 hidden="1">
      <c r="A1817" s="20" t="s">
        <v>2177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 hidden="1">
      <c r="A1818" s="20" t="s">
        <v>2178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 hidden="1">
      <c r="A1819" s="20" t="s">
        <v>2179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 hidden="1">
      <c r="A1820" s="20" t="s">
        <v>2180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 hidden="1">
      <c r="A1821" s="20" t="s">
        <v>2181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 hidden="1">
      <c r="A1822" s="20" t="s">
        <v>2182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 hidden="1">
      <c r="A1823" s="20" t="s">
        <v>2183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 hidden="1">
      <c r="A1824" s="20" t="s">
        <v>2184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 hidden="1">
      <c r="A1825" s="20" t="s">
        <v>2185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 hidden="1">
      <c r="A1826" s="20" t="s">
        <v>2186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 hidden="1">
      <c r="A1827" s="20" t="s">
        <v>2187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 hidden="1">
      <c r="A1828" s="20" t="s">
        <v>2188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 hidden="1">
      <c r="A1829" s="20" t="s">
        <v>2189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 hidden="1">
      <c r="A1830" s="20" t="s">
        <v>2190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 hidden="1">
      <c r="A1831" s="20" t="s">
        <v>2191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 hidden="1">
      <c r="A1832" s="20" t="s">
        <v>2192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 hidden="1">
      <c r="A1833" s="20" t="s">
        <v>2193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 hidden="1">
      <c r="A1834" s="20" t="s">
        <v>2194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 hidden="1">
      <c r="A1835" s="20" t="s">
        <v>2195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 hidden="1">
      <c r="A1836" s="20" t="s">
        <v>2196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 hidden="1">
      <c r="A1837" s="20" t="s">
        <v>2197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 hidden="1">
      <c r="A1838" s="20" t="s">
        <v>2198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 hidden="1">
      <c r="A1839" s="20" t="s">
        <v>2199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 hidden="1">
      <c r="A1840" s="20" t="s">
        <v>2200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 hidden="1">
      <c r="A1841" s="20" t="s">
        <v>2201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 hidden="1">
      <c r="A1842" s="20" t="s">
        <v>2202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 hidden="1">
      <c r="A1843" s="20" t="s">
        <v>2203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 hidden="1">
      <c r="A1844" s="20" t="s">
        <v>2204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 hidden="1">
      <c r="A1845" s="20" t="s">
        <v>2205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 hidden="1">
      <c r="A1846" s="20" t="s">
        <v>2206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 hidden="1">
      <c r="A1847" s="20" t="s">
        <v>2207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 hidden="1">
      <c r="A1848" s="20" t="s">
        <v>2208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 hidden="1">
      <c r="A1849" s="20" t="s">
        <v>2209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 hidden="1">
      <c r="A1850" s="20" t="s">
        <v>2210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 hidden="1">
      <c r="A1851" s="20" t="s">
        <v>2211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 hidden="1">
      <c r="A1852" s="20" t="s">
        <v>2212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 hidden="1">
      <c r="A1853" s="20" t="s">
        <v>2213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 hidden="1">
      <c r="A1854" s="20" t="s">
        <v>2214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 hidden="1">
      <c r="A1855" s="20" t="s">
        <v>2215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 hidden="1">
      <c r="A1856" s="20" t="s">
        <v>2216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 hidden="1">
      <c r="A1857" s="20" t="s">
        <v>2217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 hidden="1">
      <c r="A1858" s="20" t="s">
        <v>2218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 hidden="1">
      <c r="A1859" s="20" t="s">
        <v>2219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 hidden="1">
      <c r="A1860" s="20" t="s">
        <v>2220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 hidden="1">
      <c r="A1861" s="20" t="s">
        <v>2221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 hidden="1">
      <c r="A1862" s="20" t="s">
        <v>2222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 hidden="1">
      <c r="A1863" s="20" t="s">
        <v>2223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 hidden="1">
      <c r="A1864" s="20" t="s">
        <v>2224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 hidden="1">
      <c r="A1865" s="20" t="s">
        <v>2225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 hidden="1">
      <c r="A1866" s="20" t="s">
        <v>2226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 hidden="1">
      <c r="A1867" s="20" t="s">
        <v>2227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 hidden="1">
      <c r="A1868" s="20" t="s">
        <v>2228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 hidden="1">
      <c r="A1869" s="20" t="s">
        <v>2229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 hidden="1">
      <c r="A1870" s="20" t="s">
        <v>2230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 hidden="1">
      <c r="A1871" s="20" t="s">
        <v>2231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 hidden="1">
      <c r="A1872" s="20" t="s">
        <v>2232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 hidden="1">
      <c r="A1873" s="20" t="s">
        <v>2233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 hidden="1">
      <c r="A1874" s="20" t="s">
        <v>2234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 hidden="1">
      <c r="A1875" s="20" t="s">
        <v>2235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 hidden="1">
      <c r="A1876" s="20" t="s">
        <v>2236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 hidden="1">
      <c r="A1877" s="20" t="s">
        <v>2237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 hidden="1">
      <c r="A1878" s="20" t="s">
        <v>2238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 hidden="1">
      <c r="A1879" s="20" t="s">
        <v>2239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 hidden="1">
      <c r="A1880" s="20" t="s">
        <v>2240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 hidden="1">
      <c r="A1881" s="20" t="s">
        <v>2241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 hidden="1">
      <c r="A1882" s="20" t="s">
        <v>2242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 hidden="1">
      <c r="A1883" s="20" t="s">
        <v>2243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 hidden="1">
      <c r="A1884" s="20" t="s">
        <v>2244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 hidden="1">
      <c r="A1885" s="20" t="s">
        <v>2245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 hidden="1">
      <c r="A1886" s="20" t="s">
        <v>2246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 hidden="1">
      <c r="A1887" s="20" t="s">
        <v>2247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 hidden="1">
      <c r="A1888" s="20" t="s">
        <v>2248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 hidden="1">
      <c r="A1889" s="20" t="s">
        <v>2249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 hidden="1">
      <c r="A1890" s="20" t="s">
        <v>2250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 hidden="1">
      <c r="A1891" s="20" t="s">
        <v>2251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 hidden="1">
      <c r="A1892" s="20" t="s">
        <v>2252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 hidden="1">
      <c r="A1893" s="20" t="s">
        <v>2253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 hidden="1">
      <c r="A1894" s="20" t="s">
        <v>2254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 hidden="1">
      <c r="A1895" s="20" t="s">
        <v>2255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 hidden="1">
      <c r="A1896" s="20" t="s">
        <v>2256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 hidden="1">
      <c r="A1897" s="20" t="s">
        <v>2257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 hidden="1">
      <c r="A1898" s="20" t="s">
        <v>2258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 hidden="1">
      <c r="A1899" s="20" t="s">
        <v>2259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 hidden="1">
      <c r="A1900" s="20" t="s">
        <v>2260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 hidden="1">
      <c r="A1901" s="20" t="s">
        <v>2261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 hidden="1">
      <c r="A1902" s="20" t="s">
        <v>2262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 hidden="1">
      <c r="A1903" s="20" t="s">
        <v>2263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 hidden="1">
      <c r="A1904" s="20" t="s">
        <v>2264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 hidden="1">
      <c r="A1905" s="20" t="s">
        <v>2265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 hidden="1">
      <c r="A1906" s="20" t="s">
        <v>2266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 hidden="1">
      <c r="A1907" s="20" t="s">
        <v>2267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 hidden="1">
      <c r="A1908" s="20" t="s">
        <v>2268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 hidden="1">
      <c r="A1909" s="20" t="s">
        <v>2269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 hidden="1">
      <c r="A1910" s="20" t="s">
        <v>2270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 hidden="1">
      <c r="A1911" s="20" t="s">
        <v>2271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 hidden="1">
      <c r="A1912" s="20" t="s">
        <v>2272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 hidden="1">
      <c r="A1913" s="20" t="s">
        <v>2273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 hidden="1">
      <c r="A1914" s="20" t="s">
        <v>2274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 hidden="1">
      <c r="A1915" s="20" t="s">
        <v>2275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 hidden="1">
      <c r="A1916" s="20" t="s">
        <v>2276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 hidden="1">
      <c r="A1917" s="20" t="s">
        <v>2277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 hidden="1">
      <c r="A1918" s="20" t="s">
        <v>2278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 hidden="1">
      <c r="A1919" s="20" t="s">
        <v>2279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 hidden="1">
      <c r="A1920" s="20" t="s">
        <v>2280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 hidden="1">
      <c r="A1921" s="20" t="s">
        <v>2281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 hidden="1">
      <c r="A1922" s="20" t="s">
        <v>2282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 hidden="1">
      <c r="A1923" s="20" t="s">
        <v>2283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 hidden="1">
      <c r="A1924" s="20" t="s">
        <v>2284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 hidden="1">
      <c r="A1925" s="20" t="s">
        <v>2285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 hidden="1">
      <c r="A1926" s="20" t="s">
        <v>2286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 hidden="1">
      <c r="A1927" s="20" t="s">
        <v>2287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 hidden="1">
      <c r="A1928" s="20" t="s">
        <v>2288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 hidden="1">
      <c r="A1929" s="20" t="s">
        <v>2289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 hidden="1">
      <c r="A1930" s="20" t="s">
        <v>2290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 hidden="1">
      <c r="A1931" s="20" t="s">
        <v>2291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 hidden="1">
      <c r="A1932" s="20" t="s">
        <v>2292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 hidden="1">
      <c r="A1933" s="20" t="s">
        <v>2293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 hidden="1">
      <c r="A1934" s="20" t="s">
        <v>2294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 hidden="1">
      <c r="A1935" s="20" t="s">
        <v>2295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 hidden="1">
      <c r="A1936" s="20" t="s">
        <v>2296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 hidden="1">
      <c r="A1937" s="20" t="s">
        <v>2297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 hidden="1">
      <c r="A1938" s="20" t="s">
        <v>2298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 hidden="1">
      <c r="A1939" s="20" t="s">
        <v>2299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 hidden="1">
      <c r="A1940" s="20" t="s">
        <v>2300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 hidden="1">
      <c r="A1941" s="20" t="s">
        <v>2301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 hidden="1">
      <c r="A1942" s="20" t="s">
        <v>2302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 hidden="1">
      <c r="A1943" s="20" t="s">
        <v>2303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 hidden="1">
      <c r="A1944" s="20" t="s">
        <v>2304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 hidden="1">
      <c r="A1945" s="20" t="s">
        <v>2305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 hidden="1">
      <c r="A1946" s="20" t="s">
        <v>2306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 hidden="1">
      <c r="A1947" s="20" t="s">
        <v>2307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 hidden="1">
      <c r="A1948" s="20" t="s">
        <v>2308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 hidden="1">
      <c r="A1949" s="20" t="s">
        <v>2309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 hidden="1">
      <c r="A1950" s="20" t="s">
        <v>2310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 hidden="1">
      <c r="A1951" s="20" t="s">
        <v>2311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 hidden="1">
      <c r="A1952" s="20" t="s">
        <v>2312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 hidden="1">
      <c r="A1953" s="20" t="s">
        <v>2313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 hidden="1">
      <c r="A1954" s="20" t="s">
        <v>2314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 hidden="1">
      <c r="A1955" s="20" t="s">
        <v>2315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 hidden="1">
      <c r="A1956" s="20" t="s">
        <v>2316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 hidden="1">
      <c r="A1957" s="20" t="s">
        <v>2317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 hidden="1">
      <c r="A1958" s="20" t="s">
        <v>2318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 hidden="1">
      <c r="A1959" s="20" t="s">
        <v>2319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 hidden="1">
      <c r="A1960" s="20" t="s">
        <v>2320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 hidden="1">
      <c r="A1961" s="20" t="s">
        <v>2321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 hidden="1">
      <c r="A1962" s="20" t="s">
        <v>2322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 hidden="1">
      <c r="A1963" s="20" t="s">
        <v>2323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 hidden="1">
      <c r="A1964" s="20" t="s">
        <v>2324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 hidden="1">
      <c r="A1965" s="20" t="s">
        <v>2325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 hidden="1">
      <c r="A1966" s="20" t="s">
        <v>2326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 hidden="1">
      <c r="A1967" s="20" t="s">
        <v>2327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 hidden="1">
      <c r="A1968" s="20" t="s">
        <v>2328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 hidden="1">
      <c r="A1969" s="20" t="s">
        <v>2329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 hidden="1">
      <c r="A1970" s="20" t="s">
        <v>2330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 hidden="1">
      <c r="A1971" s="20" t="s">
        <v>2331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 hidden="1">
      <c r="A1972" s="20" t="s">
        <v>2332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 hidden="1">
      <c r="A1973" s="20" t="s">
        <v>2333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 hidden="1">
      <c r="A1974" s="20" t="s">
        <v>2334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 hidden="1">
      <c r="A1975" s="20" t="s">
        <v>2335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 hidden="1">
      <c r="A1976" s="20" t="s">
        <v>2336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 hidden="1">
      <c r="A1977" s="20" t="s">
        <v>2337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 hidden="1">
      <c r="A1978" s="20" t="s">
        <v>2338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 hidden="1">
      <c r="A1979" s="20" t="s">
        <v>2339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 hidden="1">
      <c r="A1980" s="20" t="s">
        <v>2340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 hidden="1">
      <c r="A1981" s="20" t="s">
        <v>2341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 hidden="1">
      <c r="A1982" s="20" t="s">
        <v>2342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 hidden="1">
      <c r="A1983" s="20" t="s">
        <v>2343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 hidden="1">
      <c r="A1984" s="20" t="s">
        <v>2344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 hidden="1">
      <c r="A1985" s="20" t="s">
        <v>2345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 hidden="1">
      <c r="A1986" s="20" t="s">
        <v>2346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 hidden="1">
      <c r="A1987" s="20" t="s">
        <v>2347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 hidden="1">
      <c r="A1988" s="20" t="s">
        <v>2348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 hidden="1">
      <c r="A1989" s="20" t="s">
        <v>2349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 hidden="1">
      <c r="A1990" s="20" t="s">
        <v>2350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 hidden="1">
      <c r="A1991" s="20" t="s">
        <v>2351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 hidden="1">
      <c r="A1992" s="20" t="s">
        <v>2352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 hidden="1">
      <c r="A1993" s="20" t="s">
        <v>2353</v>
      </c>
      <c r="H1993" s="41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 hidden="1">
      <c r="A1994" s="20" t="s">
        <v>2354</v>
      </c>
      <c r="H1994" s="41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 hidden="1">
      <c r="A1995" s="20" t="s">
        <v>2355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 hidden="1">
      <c r="A1996" s="20" t="s">
        <v>2356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 hidden="1">
      <c r="A1997" s="20" t="s">
        <v>2357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 hidden="1">
      <c r="A1998" s="20" t="s">
        <v>2358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 hidden="1">
      <c r="K1999" s="22" t="str">
        <f>IF(I1999="","",IF(I1999="ENTRADA",ABS(J1999),-ABS(J1999)))</f>
        <v/>
      </c>
      <c r="R1999" s="33"/>
      <c r="S1999" s="33"/>
      <c r="T1999" t="str">
        <f>IF(C1999="","",UPPER(LEFT(SUBSTITUTE(C1999," ",""),3))&amp;"-"&amp;TEXT(B1999,"AAMMDD")&amp;"-1")</f>
        <v/>
      </c>
    </row>
    <row r="2000" spans="1:20" hidden="1">
      <c r="K2000" s="22" t="str">
        <f>IF(I2000="","",IF(I2000="ENTRADA",ABS(J2000),-ABS(J2000)))</f>
        <v/>
      </c>
      <c r="R2000" s="33"/>
      <c r="S2000" s="33"/>
      <c r="T2000" t="str">
        <f>IF(C2000="","",UPPER(LEFT(SUBSTITUTE(C2000," ",""),3))&amp;"-"&amp;TEXT(B2000,"AAMMDD")&amp;"-1")</f>
        <v/>
      </c>
    </row>
    <row r="2001" spans="11:20" hidden="1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 hidden="1">
      <c r="K2002" s="22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1:20" hidden="1">
      <c r="K2003" s="22" t="str">
        <f>IF(I2003="","",IF(I2003="ENTRADA",ABS(J2003),-ABS(J2003)))</f>
        <v/>
      </c>
      <c r="R2003" s="22" t="str">
        <f>IF(H2003="","",H2003&amp;I2003)</f>
        <v/>
      </c>
      <c r="S2003" s="22" t="str">
        <f>IF(C2003="","",C2003&amp;I2003)</f>
        <v/>
      </c>
      <c r="T2003" t="str">
        <f>IF(OR(C2003="",I2003&lt;&gt;"ENTRADA"),"",TEXT(B2003,"AAMMDD")&amp;"-"&amp;TEXT(VALUE(SUBSTITUTE(A2003,"MOV-","")),"000"))</f>
        <v/>
      </c>
    </row>
    <row r="2004" spans="11:20" hidden="1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 hidden="1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 hidden="1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 hidden="1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 hidden="1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 hidden="1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 hidden="1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 hidden="1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 hidden="1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 hidden="1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 hidden="1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 hidden="1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 hidden="1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 hidden="1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 hidden="1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 hidden="1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 hidden="1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 hidden="1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 hidden="1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 hidden="1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 hidden="1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 hidden="1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 hidden="1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 hidden="1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 hidden="1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 hidden="1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 hidden="1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 hidden="1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 hidden="1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 hidden="1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 hidden="1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 hidden="1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 hidden="1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 hidden="1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 hidden="1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 hidden="1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 hidden="1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 hidden="1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 hidden="1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 hidden="1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 hidden="1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 hidden="1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 hidden="1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 hidden="1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 hidden="1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 hidden="1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 hidden="1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 hidden="1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 hidden="1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 hidden="1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 hidden="1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 hidden="1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 hidden="1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 hidden="1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 hidden="1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 hidden="1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 hidden="1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 hidden="1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 hidden="1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 hidden="1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 hidden="1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 hidden="1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 hidden="1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 hidden="1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 hidden="1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 hidden="1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 hidden="1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 hidden="1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 hidden="1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 hidden="1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 hidden="1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 hidden="1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 hidden="1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 hidden="1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 hidden="1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 hidden="1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 hidden="1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 hidden="1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 hidden="1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 hidden="1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 hidden="1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 hidden="1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 hidden="1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 hidden="1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 hidden="1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 hidden="1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 hidden="1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 hidden="1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 hidden="1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 hidden="1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 hidden="1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 hidden="1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 hidden="1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 hidden="1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 hidden="1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 hidden="1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 hidden="1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 hidden="1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 hidden="1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 hidden="1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 hidden="1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 hidden="1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 hidden="1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 hidden="1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 hidden="1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 hidden="1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 hidden="1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 hidden="1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 hidden="1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 hidden="1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 hidden="1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 hidden="1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 hidden="1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 hidden="1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 hidden="1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 hidden="1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 hidden="1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 hidden="1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 hidden="1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 hidden="1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 hidden="1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 hidden="1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 hidden="1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 hidden="1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 hidden="1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 hidden="1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 hidden="1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 hidden="1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 hidden="1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 hidden="1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 hidden="1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 hidden="1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 hidden="1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 hidden="1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 hidden="1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 hidden="1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 hidden="1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 hidden="1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 hidden="1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 hidden="1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 hidden="1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 hidden="1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 hidden="1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 hidden="1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 hidden="1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 hidden="1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 hidden="1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 hidden="1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 hidden="1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 hidden="1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 hidden="1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 hidden="1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 hidden="1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 hidden="1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 hidden="1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 hidden="1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 hidden="1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 hidden="1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 hidden="1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 hidden="1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 hidden="1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 hidden="1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 hidden="1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 hidden="1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 hidden="1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 hidden="1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 hidden="1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 hidden="1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 hidden="1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 hidden="1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 hidden="1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 hidden="1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 hidden="1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 hidden="1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 hidden="1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 hidden="1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 hidden="1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 hidden="1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 hidden="1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 hidden="1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 hidden="1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 hidden="1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 hidden="1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 hidden="1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 hidden="1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 hidden="1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 hidden="1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 hidden="1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 hidden="1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 hidden="1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 hidden="1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 hidden="1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 hidden="1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 hidden="1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 hidden="1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 hidden="1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 hidden="1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 hidden="1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 hidden="1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 hidden="1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 hidden="1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 hidden="1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 hidden="1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 hidden="1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 hidden="1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 hidden="1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 hidden="1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 hidden="1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 hidden="1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 hidden="1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 hidden="1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 hidden="1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 hidden="1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 hidden="1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 hidden="1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 hidden="1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 hidden="1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 hidden="1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 hidden="1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 hidden="1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 hidden="1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 hidden="1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 hidden="1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 hidden="1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 hidden="1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 hidden="1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 hidden="1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 hidden="1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 hidden="1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 hidden="1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 hidden="1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 hidden="1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 hidden="1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 hidden="1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 hidden="1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 hidden="1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 hidden="1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 hidden="1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 hidden="1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 hidden="1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 hidden="1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 hidden="1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 hidden="1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 hidden="1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 hidden="1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 hidden="1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 hidden="1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 hidden="1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 hidden="1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 hidden="1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 hidden="1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 hidden="1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 hidden="1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 hidden="1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 hidden="1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 hidden="1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 hidden="1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 hidden="1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 hidden="1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 hidden="1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 hidden="1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 hidden="1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 hidden="1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 hidden="1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 hidden="1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 hidden="1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 hidden="1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 hidden="1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 hidden="1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 hidden="1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 hidden="1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 hidden="1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 hidden="1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 hidden="1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 hidden="1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 hidden="1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 hidden="1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 hidden="1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 hidden="1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 hidden="1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 hidden="1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 hidden="1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 hidden="1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 hidden="1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 hidden="1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 hidden="1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 hidden="1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 hidden="1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 hidden="1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 hidden="1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 hidden="1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 hidden="1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 hidden="1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 hidden="1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 hidden="1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 hidden="1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 hidden="1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 hidden="1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 hidden="1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 hidden="1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 hidden="1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 hidden="1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 hidden="1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 hidden="1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 hidden="1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 hidden="1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 hidden="1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 hidden="1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 hidden="1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 hidden="1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 hidden="1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 hidden="1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 hidden="1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 hidden="1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 hidden="1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 hidden="1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 hidden="1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 hidden="1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 hidden="1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 hidden="1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 hidden="1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 hidden="1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 hidden="1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 hidden="1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 hidden="1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 hidden="1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 hidden="1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 hidden="1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 hidden="1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 hidden="1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 hidden="1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 hidden="1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 hidden="1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 hidden="1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 hidden="1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 hidden="1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 hidden="1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 hidden="1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 hidden="1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 hidden="1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 hidden="1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 hidden="1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 hidden="1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 hidden="1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 hidden="1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 hidden="1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 hidden="1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 hidden="1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 hidden="1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 hidden="1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 hidden="1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 hidden="1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 hidden="1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 hidden="1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 hidden="1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 hidden="1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 hidden="1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 hidden="1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 hidden="1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 hidden="1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 hidden="1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 hidden="1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 hidden="1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 hidden="1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 hidden="1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 hidden="1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 hidden="1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 hidden="1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 hidden="1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 hidden="1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 hidden="1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 hidden="1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 hidden="1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 hidden="1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 hidden="1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 hidden="1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 hidden="1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 hidden="1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 hidden="1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 hidden="1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 hidden="1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 hidden="1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 hidden="1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 hidden="1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 hidden="1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 hidden="1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 hidden="1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 hidden="1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 hidden="1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 hidden="1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 hidden="1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 hidden="1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 hidden="1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 hidden="1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 hidden="1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 hidden="1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 hidden="1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 hidden="1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 hidden="1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 hidden="1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 hidden="1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 hidden="1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 hidden="1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 hidden="1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 hidden="1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 hidden="1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 hidden="1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 hidden="1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 hidden="1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 hidden="1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 hidden="1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 hidden="1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 hidden="1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 hidden="1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 hidden="1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 hidden="1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 hidden="1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 hidden="1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 hidden="1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 hidden="1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 hidden="1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 hidden="1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 hidden="1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 hidden="1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 hidden="1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 hidden="1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 hidden="1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 hidden="1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 hidden="1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 hidden="1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 hidden="1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 hidden="1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 hidden="1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 hidden="1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 hidden="1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 hidden="1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 hidden="1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 hidden="1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 hidden="1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 hidden="1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 hidden="1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 hidden="1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 hidden="1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 hidden="1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 hidden="1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 hidden="1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 hidden="1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 hidden="1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 hidden="1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 hidden="1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 hidden="1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 hidden="1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 hidden="1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 hidden="1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 hidden="1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 hidden="1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 hidden="1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 hidden="1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 hidden="1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 hidden="1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 hidden="1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 hidden="1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 hidden="1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 hidden="1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 hidden="1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 hidden="1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 hidden="1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 hidden="1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 hidden="1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 hidden="1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 hidden="1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 hidden="1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 hidden="1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 hidden="1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 hidden="1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 hidden="1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 hidden="1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 hidden="1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 hidden="1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 hidden="1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 hidden="1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 hidden="1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 hidden="1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 hidden="1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 hidden="1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 hidden="1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 hidden="1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 hidden="1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 hidden="1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 hidden="1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 hidden="1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 hidden="1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 hidden="1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 hidden="1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 hidden="1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 hidden="1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 hidden="1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 hidden="1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 hidden="1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 hidden="1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 hidden="1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 hidden="1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 hidden="1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 hidden="1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 hidden="1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 hidden="1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 hidden="1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 hidden="1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 hidden="1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 hidden="1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 hidden="1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 hidden="1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 hidden="1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 hidden="1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 hidden="1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 hidden="1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 hidden="1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 hidden="1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 hidden="1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 hidden="1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 hidden="1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 hidden="1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 hidden="1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 hidden="1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 hidden="1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 hidden="1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 hidden="1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 hidden="1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 hidden="1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 hidden="1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 hidden="1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 hidden="1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 hidden="1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 hidden="1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 hidden="1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 hidden="1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 hidden="1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 hidden="1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 hidden="1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 hidden="1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 hidden="1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 hidden="1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 hidden="1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 hidden="1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 hidden="1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 hidden="1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 hidden="1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 hidden="1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 hidden="1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 hidden="1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 hidden="1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 hidden="1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 hidden="1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 hidden="1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 hidden="1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 hidden="1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 hidden="1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 hidden="1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 hidden="1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 hidden="1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 hidden="1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 hidden="1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 hidden="1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 hidden="1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 hidden="1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 hidden="1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 hidden="1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 hidden="1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 hidden="1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 hidden="1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 hidden="1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 hidden="1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 hidden="1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 hidden="1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 hidden="1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 hidden="1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 hidden="1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 hidden="1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 hidden="1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 hidden="1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 hidden="1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 hidden="1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 hidden="1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 hidden="1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 hidden="1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 hidden="1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 hidden="1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 hidden="1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 hidden="1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 hidden="1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 hidden="1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 hidden="1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 hidden="1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 hidden="1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 hidden="1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 hidden="1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 hidden="1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 hidden="1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 hidden="1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 hidden="1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 hidden="1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 hidden="1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 hidden="1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 hidden="1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 hidden="1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 hidden="1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 hidden="1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 hidden="1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 hidden="1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 hidden="1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 hidden="1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 hidden="1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 hidden="1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 hidden="1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 hidden="1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 hidden="1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 hidden="1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 hidden="1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 hidden="1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 hidden="1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 hidden="1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 hidden="1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 hidden="1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 hidden="1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 hidden="1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 hidden="1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 hidden="1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 hidden="1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 hidden="1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 hidden="1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 hidden="1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 hidden="1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 hidden="1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 hidden="1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 hidden="1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 hidden="1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 hidden="1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 hidden="1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 hidden="1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 hidden="1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 hidden="1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 hidden="1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 hidden="1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 hidden="1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 hidden="1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 hidden="1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 hidden="1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 hidden="1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 hidden="1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 hidden="1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 hidden="1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 hidden="1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 hidden="1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 hidden="1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 hidden="1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 hidden="1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 hidden="1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 hidden="1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 hidden="1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 hidden="1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 hidden="1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 hidden="1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 hidden="1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 hidden="1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 hidden="1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 hidden="1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 hidden="1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 hidden="1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 hidden="1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 hidden="1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 hidden="1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 hidden="1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 hidden="1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 hidden="1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 hidden="1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 hidden="1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 hidden="1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 hidden="1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 hidden="1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 hidden="1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 hidden="1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 hidden="1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 hidden="1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 hidden="1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 hidden="1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 hidden="1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 hidden="1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 hidden="1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 hidden="1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 hidden="1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 hidden="1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 hidden="1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 hidden="1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 hidden="1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 hidden="1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 hidden="1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 hidden="1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 hidden="1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 hidden="1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 hidden="1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 hidden="1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 hidden="1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 hidden="1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 hidden="1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 hidden="1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 hidden="1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 hidden="1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 hidden="1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 hidden="1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 hidden="1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 hidden="1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 hidden="1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 hidden="1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 hidden="1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 hidden="1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 hidden="1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 hidden="1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 hidden="1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 hidden="1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 hidden="1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 hidden="1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 hidden="1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 hidden="1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 hidden="1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 hidden="1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 hidden="1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 hidden="1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 hidden="1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 hidden="1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 hidden="1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 hidden="1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 hidden="1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 hidden="1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 hidden="1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 hidden="1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 hidden="1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 hidden="1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 hidden="1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 hidden="1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 hidden="1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 hidden="1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 hidden="1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 hidden="1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 hidden="1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 hidden="1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 hidden="1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 hidden="1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 hidden="1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 hidden="1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 hidden="1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 hidden="1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 hidden="1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 hidden="1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 hidden="1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 hidden="1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 hidden="1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 hidden="1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 hidden="1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 hidden="1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 hidden="1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 hidden="1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 hidden="1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 hidden="1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 hidden="1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 hidden="1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 hidden="1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 hidden="1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 hidden="1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 hidden="1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 hidden="1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 hidden="1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 hidden="1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 hidden="1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 hidden="1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 hidden="1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 hidden="1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 hidden="1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 hidden="1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 hidden="1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 hidden="1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 hidden="1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 hidden="1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 hidden="1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 hidden="1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 hidden="1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 hidden="1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 hidden="1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 hidden="1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 hidden="1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 hidden="1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 hidden="1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 hidden="1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 hidden="1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 hidden="1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 hidden="1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 hidden="1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 hidden="1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 hidden="1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 hidden="1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 hidden="1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 hidden="1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 hidden="1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 hidden="1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 hidden="1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 hidden="1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 hidden="1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 hidden="1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 hidden="1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 hidden="1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 hidden="1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 hidden="1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 hidden="1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 hidden="1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 hidden="1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 hidden="1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 hidden="1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 hidden="1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 hidden="1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 hidden="1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 hidden="1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 hidden="1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 hidden="1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 hidden="1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 hidden="1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 hidden="1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 hidden="1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 hidden="1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 hidden="1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 hidden="1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 hidden="1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 hidden="1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 hidden="1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 hidden="1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 hidden="1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 hidden="1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 hidden="1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 hidden="1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 hidden="1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 hidden="1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 hidden="1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 hidden="1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 hidden="1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 hidden="1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 hidden="1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 hidden="1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 hidden="1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 hidden="1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 hidden="1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 hidden="1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 hidden="1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 hidden="1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 hidden="1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 hidden="1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 hidden="1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 hidden="1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 hidden="1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 hidden="1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 hidden="1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 hidden="1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 hidden="1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 hidden="1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 hidden="1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 hidden="1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 hidden="1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 hidden="1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 hidden="1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 hidden="1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 hidden="1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 hidden="1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 hidden="1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 hidden="1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 hidden="1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 hidden="1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 hidden="1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 hidden="1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 hidden="1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 hidden="1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 hidden="1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 hidden="1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 hidden="1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 hidden="1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 hidden="1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 hidden="1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 hidden="1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 hidden="1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 hidden="1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 hidden="1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 hidden="1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 hidden="1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 hidden="1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 hidden="1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 hidden="1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 hidden="1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 hidden="1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 hidden="1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 hidden="1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 hidden="1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 hidden="1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 hidden="1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 hidden="1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 hidden="1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 hidden="1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 hidden="1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 hidden="1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 hidden="1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 hidden="1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 hidden="1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 hidden="1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 hidden="1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 hidden="1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 hidden="1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 hidden="1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 hidden="1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 hidden="1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 hidden="1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 hidden="1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 hidden="1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 hidden="1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 hidden="1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 hidden="1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 hidden="1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 hidden="1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 hidden="1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 hidden="1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 hidden="1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 hidden="1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 hidden="1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 hidden="1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 hidden="1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 hidden="1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 hidden="1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 hidden="1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 hidden="1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 hidden="1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 hidden="1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 hidden="1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 hidden="1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 hidden="1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 hidden="1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 hidden="1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 hidden="1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 hidden="1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 hidden="1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 hidden="1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 hidden="1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 hidden="1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 hidden="1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 hidden="1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 hidden="1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 hidden="1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 hidden="1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 hidden="1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 hidden="1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 hidden="1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 hidden="1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 hidden="1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 hidden="1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 hidden="1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 hidden="1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 hidden="1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 hidden="1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 hidden="1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 hidden="1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 hidden="1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 hidden="1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 hidden="1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 hidden="1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 hidden="1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 hidden="1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 hidden="1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 hidden="1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 hidden="1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 hidden="1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 hidden="1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 hidden="1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 hidden="1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 hidden="1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 hidden="1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 hidden="1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 hidden="1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 hidden="1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 hidden="1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 hidden="1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 hidden="1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 hidden="1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 hidden="1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 hidden="1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 hidden="1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 hidden="1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 hidden="1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 hidden="1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 hidden="1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 hidden="1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 hidden="1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 hidden="1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 hidden="1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 hidden="1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 hidden="1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 hidden="1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 hidden="1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 hidden="1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 hidden="1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 hidden="1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 hidden="1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 hidden="1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 hidden="1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 hidden="1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 hidden="1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 hidden="1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 hidden="1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 hidden="1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 hidden="1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 hidden="1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 hidden="1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 hidden="1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 hidden="1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 hidden="1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 hidden="1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 hidden="1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 hidden="1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 hidden="1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 hidden="1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 hidden="1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 hidden="1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 hidden="1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 hidden="1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 hidden="1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 hidden="1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 hidden="1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 hidden="1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 hidden="1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 hidden="1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 hidden="1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 hidden="1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 hidden="1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 hidden="1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 hidden="1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 hidden="1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 hidden="1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 hidden="1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 hidden="1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 hidden="1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 hidden="1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 hidden="1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 hidden="1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 hidden="1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 hidden="1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 hidden="1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 hidden="1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 hidden="1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 hidden="1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 hidden="1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 hidden="1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 hidden="1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 hidden="1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 hidden="1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 hidden="1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 hidden="1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 hidden="1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 hidden="1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 hidden="1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 hidden="1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 hidden="1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 hidden="1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 hidden="1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 hidden="1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 hidden="1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 hidden="1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 hidden="1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 hidden="1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 hidden="1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 hidden="1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 hidden="1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 hidden="1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 hidden="1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 hidden="1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 hidden="1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 hidden="1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 hidden="1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 hidden="1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 hidden="1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 hidden="1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 hidden="1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 hidden="1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 hidden="1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 hidden="1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 hidden="1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 hidden="1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 hidden="1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 hidden="1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 hidden="1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 hidden="1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 hidden="1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 hidden="1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 hidden="1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 hidden="1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 hidden="1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 hidden="1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 hidden="1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 hidden="1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 hidden="1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 hidden="1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 hidden="1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 hidden="1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 hidden="1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 hidden="1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 hidden="1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 hidden="1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 hidden="1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 hidden="1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 hidden="1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 hidden="1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 hidden="1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 hidden="1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 hidden="1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 hidden="1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 hidden="1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 hidden="1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 hidden="1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 hidden="1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 hidden="1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 hidden="1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 hidden="1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 hidden="1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 hidden="1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 hidden="1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 hidden="1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 hidden="1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 hidden="1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 hidden="1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 hidden="1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 hidden="1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 hidden="1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 hidden="1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 hidden="1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 hidden="1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 hidden="1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 hidden="1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 hidden="1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 hidden="1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 hidden="1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 hidden="1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 hidden="1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 hidden="1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 hidden="1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 hidden="1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 hidden="1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 hidden="1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 hidden="1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 hidden="1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 hidden="1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 hidden="1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 hidden="1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 hidden="1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 hidden="1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 hidden="1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 hidden="1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 hidden="1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 hidden="1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 hidden="1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 hidden="1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 hidden="1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 hidden="1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 hidden="1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 hidden="1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 hidden="1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 hidden="1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 hidden="1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 hidden="1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 hidden="1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 hidden="1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 hidden="1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 hidden="1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 hidden="1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 hidden="1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 hidden="1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 hidden="1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 hidden="1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 hidden="1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 hidden="1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 hidden="1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 hidden="1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 hidden="1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 hidden="1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 hidden="1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 hidden="1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 hidden="1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 hidden="1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 hidden="1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 hidden="1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 hidden="1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 hidden="1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 hidden="1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 hidden="1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 hidden="1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 hidden="1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 hidden="1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 hidden="1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 hidden="1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 hidden="1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 hidden="1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 hidden="1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 hidden="1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 hidden="1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 hidden="1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 hidden="1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 hidden="1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 hidden="1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 hidden="1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 hidden="1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 hidden="1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 hidden="1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 hidden="1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 hidden="1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 hidden="1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 hidden="1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 hidden="1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 hidden="1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 hidden="1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 hidden="1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 hidden="1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 hidden="1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 hidden="1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 hidden="1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 hidden="1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 hidden="1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 hidden="1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 hidden="1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 hidden="1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 hidden="1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 hidden="1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 hidden="1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 hidden="1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 hidden="1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 hidden="1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 hidden="1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 hidden="1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 hidden="1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 hidden="1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 hidden="1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 hidden="1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 hidden="1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 hidden="1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 hidden="1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 hidden="1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 hidden="1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 hidden="1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 hidden="1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 hidden="1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 hidden="1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 hidden="1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 hidden="1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 hidden="1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 hidden="1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 hidden="1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 hidden="1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 hidden="1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 hidden="1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 hidden="1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 hidden="1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 hidden="1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 hidden="1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 hidden="1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 hidden="1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 hidden="1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 hidden="1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 hidden="1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 hidden="1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 hidden="1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 hidden="1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 hidden="1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 hidden="1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 hidden="1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 hidden="1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 hidden="1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 hidden="1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 hidden="1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 hidden="1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 hidden="1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 hidden="1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 hidden="1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 hidden="1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 hidden="1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 hidden="1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 hidden="1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 hidden="1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 hidden="1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 hidden="1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 hidden="1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 hidden="1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 hidden="1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 hidden="1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 hidden="1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 hidden="1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 hidden="1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 hidden="1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 hidden="1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 hidden="1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 hidden="1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 hidden="1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 hidden="1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 hidden="1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 hidden="1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 hidden="1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 hidden="1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 hidden="1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 hidden="1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 hidden="1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 hidden="1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 hidden="1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 hidden="1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 hidden="1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 hidden="1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 hidden="1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 hidden="1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 hidden="1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 hidden="1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 hidden="1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 hidden="1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 hidden="1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 hidden="1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 hidden="1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 hidden="1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 hidden="1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 hidden="1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 hidden="1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 hidden="1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 hidden="1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 hidden="1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 hidden="1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 hidden="1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 hidden="1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 hidden="1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 hidden="1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 hidden="1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 hidden="1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 hidden="1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 hidden="1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 hidden="1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 hidden="1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 hidden="1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 hidden="1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 hidden="1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 hidden="1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 hidden="1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 hidden="1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 hidden="1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 hidden="1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 hidden="1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 hidden="1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 hidden="1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 hidden="1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 hidden="1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 hidden="1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 hidden="1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 hidden="1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 hidden="1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 hidden="1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 hidden="1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 hidden="1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 hidden="1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 hidden="1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 hidden="1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 hidden="1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 hidden="1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 hidden="1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 hidden="1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 hidden="1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 hidden="1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 hidden="1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 hidden="1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 hidden="1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 hidden="1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 hidden="1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 hidden="1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 hidden="1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 hidden="1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 hidden="1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 hidden="1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 hidden="1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 hidden="1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 hidden="1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 hidden="1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 hidden="1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 hidden="1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 hidden="1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 hidden="1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 hidden="1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 hidden="1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 hidden="1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 hidden="1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 hidden="1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 hidden="1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 hidden="1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 hidden="1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 hidden="1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 hidden="1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 hidden="1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 hidden="1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 hidden="1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 hidden="1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 hidden="1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 hidden="1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 hidden="1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 hidden="1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 hidden="1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 hidden="1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 hidden="1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 hidden="1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 hidden="1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 hidden="1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 hidden="1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 hidden="1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 hidden="1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 hidden="1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 hidden="1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 hidden="1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 hidden="1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 hidden="1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 hidden="1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 hidden="1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 hidden="1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 hidden="1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 hidden="1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 hidden="1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 hidden="1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 hidden="1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 hidden="1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 hidden="1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 hidden="1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 hidden="1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 hidden="1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 hidden="1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 hidden="1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 hidden="1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 hidden="1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 hidden="1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 hidden="1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 hidden="1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 hidden="1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 hidden="1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 hidden="1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 hidden="1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 hidden="1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 hidden="1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 hidden="1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 hidden="1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 hidden="1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 hidden="1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 hidden="1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 hidden="1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 hidden="1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 hidden="1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 hidden="1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 hidden="1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 hidden="1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 hidden="1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 hidden="1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 hidden="1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 hidden="1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 hidden="1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 hidden="1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 hidden="1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 hidden="1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 hidden="1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 hidden="1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 hidden="1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 hidden="1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 hidden="1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 hidden="1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 hidden="1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 hidden="1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 hidden="1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 hidden="1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 hidden="1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 hidden="1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 hidden="1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 hidden="1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 hidden="1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 hidden="1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 hidden="1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 hidden="1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 hidden="1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 hidden="1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 hidden="1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 hidden="1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 hidden="1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 hidden="1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 hidden="1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 hidden="1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 hidden="1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 hidden="1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 hidden="1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 hidden="1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 hidden="1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 hidden="1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 hidden="1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 hidden="1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 hidden="1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 hidden="1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 hidden="1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 hidden="1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 hidden="1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 hidden="1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 hidden="1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 hidden="1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 hidden="1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 hidden="1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 hidden="1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 hidden="1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 hidden="1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 hidden="1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 hidden="1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 hidden="1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 hidden="1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 hidden="1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 hidden="1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 hidden="1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 hidden="1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 hidden="1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 hidden="1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 hidden="1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 hidden="1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 hidden="1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 hidden="1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 hidden="1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 hidden="1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 hidden="1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 hidden="1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 hidden="1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 hidden="1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 hidden="1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 hidden="1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 hidden="1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 hidden="1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 hidden="1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 hidden="1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 hidden="1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 hidden="1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 hidden="1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 hidden="1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 hidden="1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 hidden="1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 hidden="1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 hidden="1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 hidden="1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 hidden="1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 hidden="1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 hidden="1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 hidden="1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 hidden="1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 hidden="1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 hidden="1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 hidden="1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 hidden="1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 hidden="1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 hidden="1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 hidden="1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 hidden="1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 hidden="1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 hidden="1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 hidden="1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 hidden="1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 hidden="1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 hidden="1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 hidden="1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 hidden="1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 hidden="1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 hidden="1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 hidden="1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 hidden="1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 hidden="1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 hidden="1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 hidden="1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 hidden="1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 hidden="1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 hidden="1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 hidden="1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 hidden="1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 hidden="1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 hidden="1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 hidden="1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 hidden="1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 hidden="1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 hidden="1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 hidden="1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 hidden="1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 hidden="1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 hidden="1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 hidden="1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 hidden="1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 hidden="1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 hidden="1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 hidden="1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 hidden="1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 hidden="1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 hidden="1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 hidden="1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 hidden="1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 hidden="1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 hidden="1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 hidden="1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 hidden="1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 hidden="1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 hidden="1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 hidden="1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 hidden="1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 hidden="1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 hidden="1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 hidden="1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 hidden="1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 hidden="1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 hidden="1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 hidden="1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 hidden="1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 hidden="1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 hidden="1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 hidden="1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 hidden="1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 hidden="1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 hidden="1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 hidden="1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 hidden="1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 hidden="1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 hidden="1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 hidden="1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 hidden="1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 hidden="1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 hidden="1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 hidden="1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 hidden="1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 hidden="1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 hidden="1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 hidden="1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 hidden="1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 hidden="1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 hidden="1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 hidden="1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 hidden="1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 hidden="1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 hidden="1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 hidden="1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 hidden="1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 hidden="1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 hidden="1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 hidden="1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 hidden="1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 hidden="1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 hidden="1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 hidden="1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 hidden="1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 hidden="1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 hidden="1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 hidden="1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 hidden="1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 hidden="1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 hidden="1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 hidden="1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 hidden="1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 hidden="1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 hidden="1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 hidden="1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 hidden="1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 hidden="1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 hidden="1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 hidden="1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 hidden="1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 hidden="1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 hidden="1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 hidden="1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 hidden="1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 hidden="1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 hidden="1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 hidden="1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 hidden="1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 hidden="1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 hidden="1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 hidden="1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 hidden="1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 hidden="1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 hidden="1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 hidden="1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 hidden="1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 hidden="1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 hidden="1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 hidden="1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 hidden="1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 hidden="1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 hidden="1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 hidden="1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 hidden="1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 hidden="1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 hidden="1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 hidden="1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 hidden="1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 hidden="1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 hidden="1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 hidden="1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 hidden="1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 hidden="1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 hidden="1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 hidden="1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 hidden="1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 hidden="1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 hidden="1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 hidden="1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 hidden="1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 hidden="1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 hidden="1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 hidden="1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 hidden="1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 hidden="1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 hidden="1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 hidden="1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 hidden="1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 hidden="1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 hidden="1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 hidden="1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 hidden="1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 hidden="1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 hidden="1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 hidden="1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 hidden="1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 hidden="1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 hidden="1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 hidden="1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 hidden="1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 hidden="1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 hidden="1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 hidden="1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 hidden="1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 hidden="1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 hidden="1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 hidden="1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 hidden="1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 hidden="1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 hidden="1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 hidden="1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 hidden="1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 hidden="1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 hidden="1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 hidden="1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 hidden="1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 hidden="1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 hidden="1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 hidden="1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 hidden="1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 hidden="1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 hidden="1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 hidden="1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 hidden="1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 hidden="1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 hidden="1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 hidden="1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 hidden="1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 hidden="1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 hidden="1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 hidden="1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 hidden="1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 hidden="1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 hidden="1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 hidden="1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 hidden="1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 hidden="1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 hidden="1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 hidden="1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 hidden="1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 hidden="1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 hidden="1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 hidden="1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 hidden="1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 hidden="1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 hidden="1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 hidden="1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 hidden="1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 hidden="1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 hidden="1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 hidden="1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 hidden="1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 hidden="1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 hidden="1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 hidden="1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 hidden="1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 hidden="1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 hidden="1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 hidden="1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 hidden="1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 hidden="1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 hidden="1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 hidden="1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 hidden="1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 hidden="1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 hidden="1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 hidden="1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 hidden="1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 hidden="1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 hidden="1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 hidden="1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 hidden="1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 hidden="1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 hidden="1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 hidden="1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 hidden="1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 hidden="1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 hidden="1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 hidden="1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 hidden="1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 hidden="1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 hidden="1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 hidden="1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 hidden="1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 hidden="1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 hidden="1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 hidden="1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 hidden="1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 hidden="1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 hidden="1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 hidden="1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 hidden="1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 hidden="1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 hidden="1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 hidden="1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 hidden="1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 hidden="1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 hidden="1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 hidden="1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 hidden="1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 hidden="1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 hidden="1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 hidden="1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 hidden="1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 hidden="1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 hidden="1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 hidden="1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 hidden="1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 hidden="1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 hidden="1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 hidden="1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 hidden="1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 hidden="1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 hidden="1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 hidden="1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 hidden="1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 hidden="1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 hidden="1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 hidden="1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 hidden="1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 hidden="1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 hidden="1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 hidden="1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 hidden="1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 hidden="1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 hidden="1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 hidden="1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 hidden="1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 hidden="1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 hidden="1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 hidden="1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 hidden="1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 hidden="1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 hidden="1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 hidden="1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 hidden="1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 hidden="1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 hidden="1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 hidden="1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 hidden="1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 hidden="1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 hidden="1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 hidden="1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 hidden="1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 hidden="1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 hidden="1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 hidden="1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 hidden="1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 hidden="1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 hidden="1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 hidden="1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 hidden="1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 hidden="1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 hidden="1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 hidden="1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 hidden="1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 hidden="1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 hidden="1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 hidden="1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 hidden="1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 hidden="1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 hidden="1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 hidden="1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 hidden="1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 hidden="1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 hidden="1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 hidden="1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 hidden="1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 hidden="1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 hidden="1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 hidden="1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 hidden="1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 hidden="1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 hidden="1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 hidden="1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 hidden="1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 hidden="1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 hidden="1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 hidden="1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 hidden="1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 hidden="1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 hidden="1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 hidden="1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 hidden="1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 hidden="1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 hidden="1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 hidden="1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 hidden="1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 hidden="1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 hidden="1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 hidden="1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 hidden="1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 hidden="1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 hidden="1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 hidden="1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 hidden="1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 hidden="1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 hidden="1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 hidden="1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 hidden="1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 hidden="1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 hidden="1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 hidden="1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 hidden="1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 hidden="1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 hidden="1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 hidden="1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 hidden="1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 hidden="1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 hidden="1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 hidden="1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 hidden="1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 hidden="1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 hidden="1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 hidden="1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 hidden="1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 hidden="1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 hidden="1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 hidden="1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 hidden="1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 hidden="1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 hidden="1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 hidden="1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 hidden="1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 hidden="1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 hidden="1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 hidden="1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 hidden="1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 hidden="1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 hidden="1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 hidden="1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 hidden="1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 hidden="1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 hidden="1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 hidden="1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 hidden="1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 hidden="1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 hidden="1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 hidden="1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 hidden="1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 hidden="1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 hidden="1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 hidden="1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 hidden="1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 hidden="1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 hidden="1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 hidden="1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 hidden="1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 hidden="1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 hidden="1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 hidden="1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 hidden="1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 hidden="1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 hidden="1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 hidden="1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 hidden="1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 hidden="1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 hidden="1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 hidden="1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 hidden="1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 hidden="1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 hidden="1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 hidden="1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 hidden="1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 hidden="1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 hidden="1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 hidden="1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 hidden="1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 hidden="1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 hidden="1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 hidden="1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 hidden="1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 hidden="1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 hidden="1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 hidden="1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 hidden="1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 hidden="1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 hidden="1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 hidden="1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 hidden="1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 hidden="1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 hidden="1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 hidden="1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 hidden="1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 hidden="1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 hidden="1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 hidden="1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 hidden="1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 hidden="1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 hidden="1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 hidden="1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 hidden="1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 hidden="1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 hidden="1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 hidden="1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 hidden="1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 hidden="1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 hidden="1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 hidden="1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 hidden="1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 hidden="1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 hidden="1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 hidden="1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 hidden="1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 hidden="1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 hidden="1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 hidden="1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 hidden="1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 hidden="1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 hidden="1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 hidden="1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 hidden="1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 hidden="1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 hidden="1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 hidden="1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 hidden="1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 hidden="1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 hidden="1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 hidden="1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 hidden="1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 hidden="1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 hidden="1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 hidden="1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 hidden="1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 hidden="1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 hidden="1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 hidden="1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 hidden="1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 hidden="1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 hidden="1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 hidden="1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 hidden="1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 hidden="1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 hidden="1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 hidden="1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 hidden="1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 hidden="1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 hidden="1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 hidden="1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 hidden="1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 hidden="1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 hidden="1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 hidden="1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 hidden="1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 hidden="1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 hidden="1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 hidden="1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 hidden="1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 hidden="1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 hidden="1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 hidden="1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 hidden="1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 hidden="1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 hidden="1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 hidden="1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 hidden="1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 hidden="1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 hidden="1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 hidden="1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 hidden="1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 hidden="1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 hidden="1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 hidden="1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 hidden="1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 hidden="1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 hidden="1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 hidden="1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 hidden="1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 hidden="1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 hidden="1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 hidden="1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 hidden="1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 hidden="1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 hidden="1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 hidden="1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 hidden="1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 hidden="1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 hidden="1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 hidden="1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 hidden="1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 hidden="1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 hidden="1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 hidden="1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 hidden="1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 hidden="1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 hidden="1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 hidden="1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 hidden="1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 hidden="1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 hidden="1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 hidden="1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 hidden="1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 hidden="1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 hidden="1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 hidden="1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 hidden="1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 hidden="1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 hidden="1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 hidden="1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 hidden="1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 hidden="1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 hidden="1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 hidden="1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 hidden="1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 hidden="1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 hidden="1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 hidden="1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 hidden="1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 hidden="1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 hidden="1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 hidden="1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 hidden="1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 hidden="1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 hidden="1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 hidden="1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 hidden="1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 hidden="1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 hidden="1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 hidden="1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 hidden="1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 hidden="1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 hidden="1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 hidden="1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 hidden="1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 hidden="1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 hidden="1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 hidden="1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 hidden="1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 hidden="1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 hidden="1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 hidden="1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 hidden="1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 hidden="1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 hidden="1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 hidden="1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 hidden="1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 hidden="1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 hidden="1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 hidden="1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 hidden="1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 hidden="1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 hidden="1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 hidden="1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 hidden="1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 hidden="1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 hidden="1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 hidden="1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 hidden="1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 hidden="1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 hidden="1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 hidden="1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 hidden="1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 hidden="1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 hidden="1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 hidden="1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 hidden="1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 hidden="1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 hidden="1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 hidden="1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 hidden="1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 hidden="1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 hidden="1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 hidden="1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 hidden="1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 hidden="1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 hidden="1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 hidden="1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 hidden="1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 hidden="1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 hidden="1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 hidden="1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 hidden="1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 hidden="1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 hidden="1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 hidden="1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 hidden="1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 hidden="1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 hidden="1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 hidden="1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 hidden="1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 hidden="1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 hidden="1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 hidden="1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 hidden="1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 hidden="1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 hidden="1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 hidden="1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 hidden="1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 hidden="1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 hidden="1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 hidden="1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 hidden="1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 hidden="1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 hidden="1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 hidden="1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 hidden="1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 hidden="1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 hidden="1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 hidden="1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 hidden="1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 hidden="1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 hidden="1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 hidden="1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 hidden="1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 hidden="1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 hidden="1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 hidden="1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 hidden="1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 hidden="1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 hidden="1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 hidden="1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 hidden="1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 hidden="1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 hidden="1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 hidden="1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 hidden="1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 hidden="1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 hidden="1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 hidden="1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 hidden="1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 hidden="1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 hidden="1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 hidden="1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 hidden="1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 hidden="1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 hidden="1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 hidden="1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 hidden="1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 hidden="1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 hidden="1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 hidden="1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 hidden="1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 hidden="1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 hidden="1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 hidden="1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 hidden="1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 hidden="1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 hidden="1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 hidden="1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 hidden="1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 hidden="1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 hidden="1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 hidden="1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 hidden="1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 hidden="1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 hidden="1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 hidden="1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 hidden="1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 hidden="1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 hidden="1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 hidden="1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 hidden="1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 hidden="1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 hidden="1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 hidden="1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 hidden="1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 hidden="1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 hidden="1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 hidden="1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 hidden="1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 hidden="1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 hidden="1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 hidden="1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 hidden="1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 hidden="1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 hidden="1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 hidden="1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 hidden="1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 hidden="1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 hidden="1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 hidden="1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 hidden="1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 hidden="1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 hidden="1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 hidden="1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 hidden="1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 hidden="1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 hidden="1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 hidden="1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 hidden="1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 hidden="1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 hidden="1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 hidden="1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 hidden="1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 hidden="1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 hidden="1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 hidden="1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 hidden="1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 hidden="1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 hidden="1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 hidden="1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 hidden="1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 hidden="1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 hidden="1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 hidden="1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 hidden="1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 hidden="1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 hidden="1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 hidden="1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 hidden="1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 hidden="1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 hidden="1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 hidden="1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 hidden="1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 hidden="1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 hidden="1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 hidden="1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 hidden="1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 hidden="1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 hidden="1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 hidden="1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 hidden="1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 hidden="1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 hidden="1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 hidden="1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 hidden="1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 hidden="1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 hidden="1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 hidden="1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 hidden="1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 hidden="1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 hidden="1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 hidden="1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 hidden="1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 hidden="1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 hidden="1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 hidden="1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 hidden="1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 hidden="1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 hidden="1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 hidden="1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 hidden="1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 hidden="1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 hidden="1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 hidden="1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 hidden="1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 hidden="1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 hidden="1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 hidden="1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 hidden="1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 hidden="1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 hidden="1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 hidden="1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 hidden="1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 hidden="1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 hidden="1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 hidden="1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 hidden="1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 hidden="1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 hidden="1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 hidden="1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 hidden="1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 hidden="1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 hidden="1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 hidden="1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 hidden="1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 hidden="1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 hidden="1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 hidden="1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 hidden="1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 hidden="1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 hidden="1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 hidden="1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 hidden="1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 hidden="1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 hidden="1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 hidden="1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 hidden="1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 hidden="1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 hidden="1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 hidden="1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 hidden="1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 hidden="1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 hidden="1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 hidden="1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 hidden="1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 hidden="1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 hidden="1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 hidden="1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 hidden="1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 hidden="1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 hidden="1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 hidden="1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 hidden="1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 hidden="1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 hidden="1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 hidden="1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 hidden="1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 hidden="1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 hidden="1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 hidden="1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 hidden="1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 hidden="1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 hidden="1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 hidden="1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 hidden="1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 hidden="1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 hidden="1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 hidden="1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 hidden="1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 hidden="1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 hidden="1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 hidden="1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 hidden="1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 hidden="1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 hidden="1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 hidden="1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 hidden="1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 hidden="1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 hidden="1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 hidden="1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 hidden="1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 hidden="1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 hidden="1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 hidden="1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 hidden="1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 hidden="1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 hidden="1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 hidden="1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 hidden="1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 hidden="1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 hidden="1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 hidden="1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 hidden="1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 hidden="1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 hidden="1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 hidden="1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 hidden="1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 hidden="1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 hidden="1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 hidden="1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 hidden="1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 hidden="1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 hidden="1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 hidden="1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 hidden="1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 hidden="1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 hidden="1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 hidden="1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 hidden="1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 hidden="1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 hidden="1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 hidden="1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 hidden="1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 hidden="1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 hidden="1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 hidden="1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 hidden="1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 hidden="1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 hidden="1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 hidden="1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 hidden="1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 hidden="1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 hidden="1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 hidden="1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 hidden="1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 hidden="1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 hidden="1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 hidden="1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 hidden="1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 hidden="1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 hidden="1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 hidden="1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 hidden="1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 hidden="1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 hidden="1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 hidden="1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 hidden="1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 hidden="1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 hidden="1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 hidden="1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 hidden="1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 hidden="1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 hidden="1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 hidden="1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 hidden="1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 hidden="1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 hidden="1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 hidden="1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 hidden="1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 hidden="1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 hidden="1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 hidden="1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 hidden="1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 hidden="1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 hidden="1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 hidden="1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 hidden="1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 hidden="1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 hidden="1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 hidden="1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 hidden="1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 hidden="1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 hidden="1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 hidden="1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 hidden="1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 hidden="1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 hidden="1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 hidden="1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 hidden="1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 hidden="1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 hidden="1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 hidden="1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 hidden="1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 hidden="1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 hidden="1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 hidden="1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 hidden="1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 hidden="1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 hidden="1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 hidden="1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 hidden="1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 hidden="1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 hidden="1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 hidden="1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 hidden="1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 hidden="1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 hidden="1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 hidden="1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 hidden="1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 hidden="1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 hidden="1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 hidden="1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 hidden="1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 hidden="1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 hidden="1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 hidden="1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 hidden="1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 hidden="1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 hidden="1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 hidden="1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 hidden="1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 hidden="1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 hidden="1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 hidden="1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 hidden="1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 hidden="1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 hidden="1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 hidden="1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 hidden="1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 hidden="1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 hidden="1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 hidden="1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 hidden="1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 hidden="1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 hidden="1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 hidden="1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 hidden="1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 hidden="1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 hidden="1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 hidden="1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 hidden="1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 hidden="1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 hidden="1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 hidden="1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 hidden="1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 hidden="1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 hidden="1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 hidden="1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 hidden="1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 hidden="1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 hidden="1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 hidden="1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 hidden="1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 hidden="1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 hidden="1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 hidden="1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 hidden="1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 hidden="1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 hidden="1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 hidden="1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 hidden="1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 hidden="1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 hidden="1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 hidden="1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 hidden="1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 hidden="1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 hidden="1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 hidden="1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 hidden="1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 hidden="1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 hidden="1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 hidden="1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 hidden="1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 hidden="1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 hidden="1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 hidden="1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 hidden="1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 hidden="1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 hidden="1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 hidden="1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 hidden="1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 hidden="1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 hidden="1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 hidden="1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 hidden="1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 hidden="1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 hidden="1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 hidden="1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 hidden="1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 hidden="1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 hidden="1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 hidden="1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 hidden="1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 hidden="1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 hidden="1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 hidden="1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 hidden="1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 hidden="1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 hidden="1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 hidden="1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 hidden="1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 hidden="1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 hidden="1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 hidden="1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 hidden="1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 hidden="1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 hidden="1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 hidden="1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 hidden="1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 hidden="1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 hidden="1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 hidden="1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 hidden="1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 hidden="1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 hidden="1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 hidden="1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 hidden="1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 hidden="1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 hidden="1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 hidden="1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 hidden="1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 hidden="1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 hidden="1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 hidden="1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 hidden="1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 hidden="1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 hidden="1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 hidden="1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 hidden="1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 hidden="1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 hidden="1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 hidden="1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 hidden="1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 hidden="1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 hidden="1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 hidden="1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 hidden="1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 hidden="1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 hidden="1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 hidden="1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 hidden="1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 hidden="1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 hidden="1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 hidden="1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 hidden="1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 hidden="1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 hidden="1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 hidden="1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 hidden="1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 hidden="1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 hidden="1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 hidden="1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 hidden="1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 hidden="1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 hidden="1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 hidden="1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 hidden="1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 hidden="1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 hidden="1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 hidden="1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 hidden="1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 hidden="1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 hidden="1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 hidden="1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 hidden="1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 hidden="1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 hidden="1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 hidden="1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 hidden="1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 hidden="1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 hidden="1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 hidden="1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 hidden="1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 hidden="1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 hidden="1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 hidden="1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 hidden="1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 hidden="1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 hidden="1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 hidden="1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 hidden="1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 hidden="1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 hidden="1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 hidden="1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 hidden="1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 hidden="1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 hidden="1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 hidden="1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 hidden="1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 hidden="1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 hidden="1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 hidden="1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 hidden="1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 hidden="1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 hidden="1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 hidden="1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 hidden="1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 hidden="1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 hidden="1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 hidden="1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 hidden="1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 hidden="1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 hidden="1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 hidden="1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 hidden="1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 hidden="1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 hidden="1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 hidden="1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 hidden="1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 hidden="1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 hidden="1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 hidden="1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 hidden="1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 hidden="1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 hidden="1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 hidden="1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 hidden="1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 hidden="1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 hidden="1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 hidden="1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 hidden="1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 hidden="1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 hidden="1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 hidden="1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 hidden="1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 hidden="1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 hidden="1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 hidden="1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 hidden="1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 hidden="1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 hidden="1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 hidden="1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 hidden="1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 hidden="1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 hidden="1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 hidden="1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 hidden="1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 hidden="1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 hidden="1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 hidden="1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 hidden="1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 hidden="1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 hidden="1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 hidden="1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 hidden="1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 hidden="1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 hidden="1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 hidden="1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 hidden="1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 hidden="1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 hidden="1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 hidden="1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 hidden="1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 hidden="1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 hidden="1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 hidden="1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 hidden="1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 hidden="1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 hidden="1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 hidden="1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 hidden="1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 hidden="1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 hidden="1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 hidden="1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 hidden="1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 hidden="1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 hidden="1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 hidden="1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 hidden="1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 hidden="1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 hidden="1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 hidden="1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 hidden="1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 hidden="1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 hidden="1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 hidden="1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 hidden="1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 hidden="1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 hidden="1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 hidden="1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 hidden="1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 hidden="1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 hidden="1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 hidden="1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 hidden="1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 hidden="1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 hidden="1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 hidden="1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 hidden="1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 hidden="1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 hidden="1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 hidden="1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 hidden="1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 hidden="1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 hidden="1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 hidden="1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 hidden="1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 hidden="1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 hidden="1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 hidden="1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 hidden="1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 hidden="1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 hidden="1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 hidden="1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 hidden="1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 hidden="1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 hidden="1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 hidden="1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 hidden="1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 hidden="1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 hidden="1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 hidden="1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 hidden="1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 hidden="1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 hidden="1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 hidden="1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 hidden="1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 hidden="1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 hidden="1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 hidden="1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 hidden="1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 hidden="1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 hidden="1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 hidden="1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 hidden="1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 hidden="1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 hidden="1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 hidden="1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 hidden="1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 hidden="1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 hidden="1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 hidden="1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 hidden="1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 hidden="1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 hidden="1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 hidden="1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 hidden="1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 hidden="1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 hidden="1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 hidden="1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 hidden="1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 hidden="1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 hidden="1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 hidden="1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 hidden="1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 hidden="1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 hidden="1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 hidden="1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 hidden="1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 hidden="1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 hidden="1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 hidden="1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 hidden="1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 hidden="1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 hidden="1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 hidden="1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 hidden="1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 hidden="1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 hidden="1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 hidden="1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 hidden="1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 hidden="1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 hidden="1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 hidden="1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 hidden="1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 hidden="1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 hidden="1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 hidden="1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 hidden="1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 hidden="1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 hidden="1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 hidden="1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 hidden="1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 hidden="1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 hidden="1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 hidden="1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 hidden="1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 hidden="1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 hidden="1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 hidden="1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 hidden="1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 hidden="1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 hidden="1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 hidden="1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 hidden="1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 hidden="1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 hidden="1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 hidden="1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 hidden="1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 hidden="1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 hidden="1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 hidden="1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 hidden="1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 hidden="1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 hidden="1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 hidden="1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 hidden="1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 hidden="1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 hidden="1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 hidden="1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 hidden="1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 hidden="1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 hidden="1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 hidden="1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 hidden="1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 hidden="1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 hidden="1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 hidden="1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 hidden="1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 hidden="1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 hidden="1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 hidden="1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 hidden="1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 hidden="1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 hidden="1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 hidden="1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 hidden="1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 hidden="1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 hidden="1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 hidden="1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 hidden="1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 hidden="1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 hidden="1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 hidden="1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 hidden="1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 hidden="1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 hidden="1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 hidden="1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 hidden="1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 hidden="1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 hidden="1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 hidden="1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 hidden="1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 hidden="1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 hidden="1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 hidden="1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 hidden="1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 hidden="1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 hidden="1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 hidden="1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 hidden="1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 hidden="1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 hidden="1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 hidden="1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 hidden="1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 hidden="1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 hidden="1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 hidden="1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 hidden="1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 hidden="1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 hidden="1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 hidden="1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 hidden="1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 hidden="1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 hidden="1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 hidden="1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 hidden="1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 hidden="1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 hidden="1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 hidden="1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 hidden="1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 hidden="1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 hidden="1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 hidden="1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 hidden="1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 hidden="1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 hidden="1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 hidden="1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 hidden="1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 hidden="1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 hidden="1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 hidden="1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 hidden="1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 hidden="1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 hidden="1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 hidden="1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 hidden="1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 hidden="1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 hidden="1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 hidden="1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 hidden="1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 hidden="1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 hidden="1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 hidden="1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 hidden="1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 hidden="1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 hidden="1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 hidden="1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 hidden="1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 hidden="1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 hidden="1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 hidden="1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 hidden="1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 hidden="1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 hidden="1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 hidden="1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 hidden="1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 hidden="1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 hidden="1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 hidden="1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 hidden="1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 hidden="1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 hidden="1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 hidden="1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 hidden="1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 hidden="1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 hidden="1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 hidden="1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 hidden="1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 hidden="1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 hidden="1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 hidden="1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 hidden="1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 hidden="1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 hidden="1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 hidden="1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 hidden="1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 hidden="1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 hidden="1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 hidden="1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 hidden="1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 hidden="1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 hidden="1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 hidden="1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 hidden="1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 hidden="1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 hidden="1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 hidden="1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 hidden="1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 hidden="1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 hidden="1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 hidden="1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 hidden="1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 hidden="1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 hidden="1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 hidden="1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 hidden="1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 hidden="1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 hidden="1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 hidden="1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 hidden="1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 hidden="1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 hidden="1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 hidden="1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 hidden="1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 hidden="1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 hidden="1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 hidden="1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 hidden="1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 hidden="1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 hidden="1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 hidden="1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 hidden="1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 hidden="1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 hidden="1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 hidden="1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 hidden="1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 hidden="1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 hidden="1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 hidden="1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 hidden="1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 hidden="1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 hidden="1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 hidden="1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 hidden="1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 hidden="1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 hidden="1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 hidden="1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 hidden="1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 hidden="1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 hidden="1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 hidden="1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 hidden="1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 hidden="1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 hidden="1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 hidden="1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 hidden="1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 hidden="1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 hidden="1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 hidden="1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 hidden="1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 hidden="1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 hidden="1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 hidden="1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 hidden="1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 hidden="1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 hidden="1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 hidden="1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 hidden="1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 hidden="1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 hidden="1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 hidden="1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 hidden="1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 hidden="1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 hidden="1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 hidden="1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 hidden="1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 hidden="1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 hidden="1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 hidden="1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 hidden="1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 hidden="1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 hidden="1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 hidden="1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 hidden="1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 hidden="1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 hidden="1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 hidden="1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 hidden="1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 hidden="1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 hidden="1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 hidden="1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 hidden="1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 hidden="1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 hidden="1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 hidden="1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 hidden="1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 hidden="1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 hidden="1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 hidden="1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 hidden="1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 hidden="1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 hidden="1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 hidden="1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 hidden="1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 hidden="1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 hidden="1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 hidden="1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 hidden="1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 hidden="1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 hidden="1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 hidden="1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 hidden="1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 hidden="1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 hidden="1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 hidden="1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 hidden="1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 hidden="1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 hidden="1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 hidden="1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 hidden="1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 hidden="1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 hidden="1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 hidden="1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 hidden="1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 hidden="1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 hidden="1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 hidden="1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 hidden="1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 hidden="1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 hidden="1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 hidden="1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 hidden="1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 hidden="1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 hidden="1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 hidden="1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 hidden="1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 hidden="1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 hidden="1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 hidden="1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 hidden="1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 hidden="1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 hidden="1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 hidden="1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 hidden="1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 hidden="1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 hidden="1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 hidden="1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 hidden="1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 hidden="1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 hidden="1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 hidden="1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 hidden="1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 hidden="1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 hidden="1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 hidden="1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 hidden="1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 hidden="1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 hidden="1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 hidden="1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 hidden="1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 hidden="1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 hidden="1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 hidden="1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 hidden="1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 hidden="1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 hidden="1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 hidden="1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 hidden="1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 hidden="1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 hidden="1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 hidden="1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 hidden="1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 hidden="1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 hidden="1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 hidden="1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 hidden="1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 hidden="1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 hidden="1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 hidden="1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 hidden="1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 hidden="1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 hidden="1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 hidden="1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 hidden="1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 hidden="1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 hidden="1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 hidden="1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 hidden="1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 hidden="1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 hidden="1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 hidden="1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 hidden="1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 hidden="1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 hidden="1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 hidden="1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 hidden="1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 hidden="1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 hidden="1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 hidden="1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 hidden="1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 hidden="1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 hidden="1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 hidden="1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 hidden="1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 hidden="1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 hidden="1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 hidden="1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 hidden="1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 hidden="1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 hidden="1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 hidden="1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 hidden="1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 hidden="1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 hidden="1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 hidden="1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 hidden="1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 hidden="1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 hidden="1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 hidden="1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 hidden="1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 hidden="1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 hidden="1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 hidden="1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 hidden="1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 hidden="1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 hidden="1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 hidden="1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 hidden="1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 hidden="1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 hidden="1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 hidden="1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 hidden="1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 hidden="1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 hidden="1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 hidden="1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 hidden="1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 hidden="1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 hidden="1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 hidden="1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 hidden="1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 hidden="1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 hidden="1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 hidden="1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 hidden="1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 hidden="1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 hidden="1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 hidden="1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 hidden="1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 hidden="1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 hidden="1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 hidden="1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 hidden="1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 hidden="1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 hidden="1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 hidden="1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 hidden="1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 hidden="1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 hidden="1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 hidden="1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 hidden="1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 hidden="1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 hidden="1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 hidden="1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 hidden="1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 hidden="1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 hidden="1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 hidden="1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 hidden="1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 hidden="1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 hidden="1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 hidden="1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 hidden="1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 hidden="1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 hidden="1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 hidden="1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 hidden="1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 hidden="1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 hidden="1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 hidden="1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 hidden="1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 hidden="1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 hidden="1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 hidden="1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 hidden="1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 hidden="1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 hidden="1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 hidden="1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 hidden="1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 hidden="1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 hidden="1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 hidden="1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 hidden="1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 hidden="1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 hidden="1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 hidden="1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 hidden="1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 hidden="1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 hidden="1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 hidden="1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 hidden="1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 hidden="1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 hidden="1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 hidden="1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 hidden="1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 hidden="1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 hidden="1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 hidden="1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 hidden="1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 hidden="1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 hidden="1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 hidden="1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 hidden="1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 hidden="1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 hidden="1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 hidden="1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 hidden="1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 hidden="1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 hidden="1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 hidden="1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 hidden="1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 hidden="1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 hidden="1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 hidden="1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 hidden="1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 hidden="1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 hidden="1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 hidden="1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 hidden="1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 hidden="1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 hidden="1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 hidden="1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 hidden="1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 hidden="1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 hidden="1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 hidden="1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 hidden="1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 hidden="1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 hidden="1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 hidden="1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 hidden="1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 hidden="1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 hidden="1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 hidden="1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 hidden="1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 hidden="1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 hidden="1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 hidden="1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 hidden="1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 hidden="1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 hidden="1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 hidden="1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 hidden="1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 hidden="1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 hidden="1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 hidden="1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 hidden="1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 hidden="1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 hidden="1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 hidden="1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 hidden="1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 hidden="1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 hidden="1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 hidden="1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 hidden="1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 hidden="1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 hidden="1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 hidden="1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 hidden="1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 hidden="1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 hidden="1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 hidden="1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 hidden="1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 hidden="1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 hidden="1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 hidden="1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 hidden="1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 hidden="1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 hidden="1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 hidden="1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 hidden="1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 hidden="1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 hidden="1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 hidden="1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 hidden="1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 hidden="1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 hidden="1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 hidden="1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 hidden="1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 hidden="1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 hidden="1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 hidden="1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 hidden="1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 hidden="1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 hidden="1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 hidden="1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 hidden="1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 hidden="1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 hidden="1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 hidden="1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 hidden="1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 hidden="1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 hidden="1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 hidden="1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 hidden="1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 hidden="1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 hidden="1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 hidden="1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 hidden="1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 hidden="1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 hidden="1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 hidden="1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 hidden="1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 hidden="1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 hidden="1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 hidden="1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 hidden="1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 hidden="1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 hidden="1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 hidden="1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 hidden="1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 hidden="1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 hidden="1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 hidden="1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 hidden="1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 hidden="1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 hidden="1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 hidden="1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 hidden="1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 hidden="1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 hidden="1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 hidden="1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 hidden="1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 hidden="1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 hidden="1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 hidden="1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 hidden="1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 hidden="1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 hidden="1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 hidden="1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 hidden="1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 hidden="1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 hidden="1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 hidden="1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 hidden="1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 hidden="1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 hidden="1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 hidden="1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 hidden="1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 hidden="1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 hidden="1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 hidden="1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 hidden="1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 hidden="1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 hidden="1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 hidden="1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 hidden="1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 hidden="1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 hidden="1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 hidden="1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 hidden="1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 hidden="1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 hidden="1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 hidden="1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 hidden="1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 hidden="1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 hidden="1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 hidden="1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 hidden="1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 hidden="1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 hidden="1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 hidden="1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 hidden="1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 hidden="1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 hidden="1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 hidden="1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 hidden="1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 hidden="1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 hidden="1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 hidden="1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 hidden="1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 hidden="1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 hidden="1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 hidden="1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 hidden="1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 hidden="1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 hidden="1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 hidden="1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 hidden="1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 hidden="1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 hidden="1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 hidden="1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 hidden="1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 hidden="1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 hidden="1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 hidden="1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 hidden="1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 hidden="1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 hidden="1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 hidden="1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 hidden="1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 hidden="1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 hidden="1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 hidden="1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 hidden="1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 hidden="1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 hidden="1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 hidden="1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 hidden="1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 hidden="1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 hidden="1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 hidden="1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 hidden="1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 hidden="1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 hidden="1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 hidden="1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 hidden="1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 hidden="1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 hidden="1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 hidden="1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 hidden="1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 hidden="1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 hidden="1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 hidden="1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 hidden="1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 hidden="1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 hidden="1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 hidden="1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 hidden="1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 hidden="1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 hidden="1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 hidden="1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 hidden="1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 hidden="1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 hidden="1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 hidden="1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 hidden="1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 hidden="1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 hidden="1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 hidden="1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 hidden="1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 hidden="1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 hidden="1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 hidden="1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 hidden="1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 hidden="1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 hidden="1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 hidden="1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 hidden="1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 hidden="1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 hidden="1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 hidden="1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 hidden="1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 hidden="1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 hidden="1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 hidden="1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 hidden="1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 hidden="1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 hidden="1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 hidden="1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 hidden="1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 hidden="1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 hidden="1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 hidden="1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 hidden="1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 hidden="1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 hidden="1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 hidden="1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 hidden="1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 hidden="1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 hidden="1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 hidden="1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 hidden="1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 hidden="1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 hidden="1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 hidden="1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 hidden="1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 hidden="1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 hidden="1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 hidden="1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 hidden="1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 hidden="1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 hidden="1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 hidden="1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 hidden="1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 hidden="1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 hidden="1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 hidden="1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 hidden="1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 hidden="1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 hidden="1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 hidden="1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 hidden="1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 hidden="1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 hidden="1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 hidden="1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 hidden="1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 hidden="1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 hidden="1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 hidden="1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 hidden="1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 hidden="1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 hidden="1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 hidden="1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 hidden="1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 hidden="1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 hidden="1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 hidden="1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 hidden="1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 hidden="1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 hidden="1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 hidden="1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 hidden="1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 hidden="1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 hidden="1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 hidden="1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 hidden="1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 hidden="1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 hidden="1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 hidden="1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 hidden="1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 hidden="1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 hidden="1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 hidden="1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 hidden="1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 hidden="1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 hidden="1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 hidden="1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 hidden="1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 hidden="1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 hidden="1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 hidden="1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 hidden="1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 hidden="1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 hidden="1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 hidden="1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 hidden="1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 hidden="1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 hidden="1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 hidden="1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 hidden="1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 hidden="1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 hidden="1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 hidden="1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 hidden="1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 hidden="1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 hidden="1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 hidden="1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 hidden="1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 hidden="1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 hidden="1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 hidden="1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 hidden="1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 hidden="1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 hidden="1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 hidden="1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 hidden="1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 hidden="1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 hidden="1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 hidden="1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 hidden="1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 hidden="1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 hidden="1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 hidden="1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 hidden="1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 hidden="1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 hidden="1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 hidden="1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 hidden="1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 hidden="1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 hidden="1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 hidden="1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 hidden="1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 hidden="1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 hidden="1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 hidden="1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 hidden="1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 hidden="1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 hidden="1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 hidden="1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 hidden="1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 hidden="1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 hidden="1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 hidden="1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 hidden="1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 hidden="1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 hidden="1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 hidden="1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 hidden="1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 hidden="1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 hidden="1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 hidden="1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 hidden="1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 hidden="1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 hidden="1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 hidden="1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 hidden="1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 hidden="1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 hidden="1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 hidden="1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 hidden="1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 hidden="1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 hidden="1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 hidden="1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 hidden="1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 hidden="1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 hidden="1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 hidden="1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 hidden="1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 hidden="1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 hidden="1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 hidden="1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 hidden="1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 hidden="1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 hidden="1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 hidden="1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 hidden="1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 hidden="1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 hidden="1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 hidden="1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 hidden="1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 hidden="1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 hidden="1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 hidden="1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 hidden="1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 hidden="1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 hidden="1">
      <c r="Q5788" s="33"/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 hidden="1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 hidden="1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 hidden="1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 hidden="1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 hidden="1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 hidden="1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 hidden="1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 hidden="1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 hidden="1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 hidden="1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 hidden="1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 hidden="1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 hidden="1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 hidden="1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 hidden="1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 hidden="1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 hidden="1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 hidden="1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 hidden="1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 hidden="1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 hidden="1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 hidden="1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 hidden="1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 hidden="1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 hidden="1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 hidden="1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 hidden="1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 hidden="1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 hidden="1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 hidden="1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 hidden="1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 hidden="1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 hidden="1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 hidden="1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 hidden="1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 hidden="1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 hidden="1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 hidden="1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 hidden="1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 hidden="1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 hidden="1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 hidden="1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 hidden="1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 hidden="1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 hidden="1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 hidden="1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 hidden="1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 hidden="1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 hidden="1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 hidden="1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 hidden="1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 hidden="1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 hidden="1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 hidden="1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 hidden="1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 hidden="1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 hidden="1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 hidden="1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 hidden="1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 hidden="1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 hidden="1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 hidden="1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 hidden="1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 hidden="1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 hidden="1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 hidden="1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 hidden="1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 hidden="1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 hidden="1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 hidden="1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 hidden="1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 hidden="1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 hidden="1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 hidden="1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 hidden="1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 hidden="1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 hidden="1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 hidden="1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 hidden="1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 hidden="1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 hidden="1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 hidden="1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 hidden="1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 hidden="1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 hidden="1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 hidden="1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 hidden="1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 hidden="1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 hidden="1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 hidden="1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 hidden="1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 hidden="1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 hidden="1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 hidden="1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 hidden="1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 hidden="1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 hidden="1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 hidden="1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 hidden="1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 hidden="1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 hidden="1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 hidden="1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 hidden="1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 hidden="1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 hidden="1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 hidden="1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 hidden="1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 hidden="1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 hidden="1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 hidden="1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 hidden="1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 hidden="1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 hidden="1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 hidden="1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 hidden="1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 hidden="1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 hidden="1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 hidden="1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 hidden="1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 hidden="1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 hidden="1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 hidden="1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 hidden="1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 hidden="1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 hidden="1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 hidden="1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 hidden="1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 hidden="1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 hidden="1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 hidden="1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 hidden="1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 hidden="1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 hidden="1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 hidden="1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 hidden="1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 hidden="1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 hidden="1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 hidden="1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 hidden="1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 hidden="1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 hidden="1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 hidden="1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 hidden="1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 hidden="1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 hidden="1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 hidden="1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 hidden="1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 hidden="1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 hidden="1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 hidden="1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 hidden="1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 hidden="1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 hidden="1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 hidden="1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 hidden="1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 hidden="1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 hidden="1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 hidden="1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 hidden="1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 hidden="1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 hidden="1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 hidden="1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 hidden="1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 hidden="1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 hidden="1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 hidden="1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 hidden="1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 hidden="1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 hidden="1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 hidden="1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 hidden="1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 hidden="1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 hidden="1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 hidden="1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 hidden="1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 hidden="1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 hidden="1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 hidden="1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 hidden="1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 hidden="1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 hidden="1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 hidden="1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 hidden="1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 hidden="1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 hidden="1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 hidden="1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 hidden="1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 hidden="1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 hidden="1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 hidden="1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 hidden="1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 hidden="1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 hidden="1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 hidden="1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 hidden="1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 hidden="1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 hidden="1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 hidden="1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 hidden="1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 hidden="1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 hidden="1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 hidden="1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 hidden="1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 hidden="1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 hidden="1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 hidden="1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 hidden="1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 hidden="1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 hidden="1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 hidden="1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 hidden="1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 hidden="1">
      <c r="R6000" s="33"/>
      <c r="S6000" s="33"/>
      <c r="T6000" t="str">
        <f>IF(C6000="","",UPPER(LEFT(SUBSTITUTE(C6000," ",""),3))&amp;"-"&amp;TEXT(B6000,"AAMMDD")&amp;"-1")</f>
        <v/>
      </c>
    </row>
    <row r="6001" spans="18:20" hidden="1">
      <c r="R6001" s="33"/>
      <c r="S6001" s="33"/>
      <c r="T6001" t="str">
        <f>IF(C6001="","",UPPER(LEFT(SUBSTITUTE(C6001," ",""),3))&amp;"-"&amp;TEXT(B6001,"AAMMDD")&amp;"-1")</f>
        <v/>
      </c>
    </row>
    <row r="6002" spans="18:20" hidden="1">
      <c r="R6002" s="33"/>
      <c r="S6002" s="33"/>
      <c r="T6002" t="str">
        <f>IF(C6002="","",UPPER(LEFT(SUBSTITUTE(C6002," ",""),3))&amp;"-"&amp;TEXT(B6002,"AAMMDD")&amp;"-1")</f>
        <v/>
      </c>
    </row>
    <row r="6003" spans="18:20" hidden="1">
      <c r="R6003" s="33"/>
      <c r="S6003" s="33"/>
      <c r="T6003" t="str">
        <f>IF(C6003="","",UPPER(LEFT(SUBSTITUTE(C6003," ",""),3))&amp;"-"&amp;TEXT(B6003,"AAMMDD")&amp;"-1")</f>
        <v/>
      </c>
    </row>
    <row r="6004" spans="18:20" hidden="1">
      <c r="R6004" s="33"/>
      <c r="S6004" s="33"/>
      <c r="T6004" t="str">
        <f>IF(C6004="","",UPPER(LEFT(SUBSTITUTE(C6004," ",""),3))&amp;"-"&amp;TEXT(B6004,"AAMMDD")&amp;"-1")</f>
        <v/>
      </c>
    </row>
    <row r="6005" spans="18:20" hidden="1">
      <c r="R6005" s="22" t="str">
        <f>IF(H6005="","",H6005&amp;I6005)</f>
        <v/>
      </c>
      <c r="S6005" s="22" t="str">
        <f>IF(C6005="","",C6005&amp;I6005)</f>
        <v/>
      </c>
      <c r="T6005" t="str">
        <f>IF(OR(C6005="",I6005&lt;&gt;"ENTRADA"),"",TEXT(B6005,"AAMMDD")&amp;"-"&amp;TEXT(VALUE(SUBSTITUTE(A6005,"MOV-","")),"000"))</f>
        <v/>
      </c>
    </row>
    <row r="6006" spans="18:20" hidden="1">
      <c r="R6006" s="22" t="str">
        <f>IF(H6006="","",H6006&amp;I6006)</f>
        <v/>
      </c>
      <c r="S6006" s="22" t="str">
        <f>IF(C6006="","",C6006&amp;I6006)</f>
        <v/>
      </c>
      <c r="T6006" t="str">
        <f>IF(OR(C6006="",I6006&lt;&gt;"ENTRADA"),"",TEXT(B6006,"AAMMDD")&amp;"-"&amp;TEXT(VALUE(SUBSTITUTE(A6006,"MOV-","")),"000"))</f>
        <v/>
      </c>
    </row>
    <row r="6007" spans="18:20" hidden="1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 hidden="1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 hidden="1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 hidden="1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 hidden="1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 hidden="1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 hidden="1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 hidden="1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 hidden="1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 hidden="1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 hidden="1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 hidden="1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 hidden="1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 hidden="1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 hidden="1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 hidden="1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 hidden="1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 hidden="1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 hidden="1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 hidden="1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 hidden="1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 hidden="1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 hidden="1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 hidden="1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 hidden="1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 hidden="1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 hidden="1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 hidden="1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 hidden="1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 hidden="1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 hidden="1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 hidden="1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 hidden="1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 hidden="1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 hidden="1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 hidden="1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 hidden="1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 hidden="1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 hidden="1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 hidden="1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 hidden="1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 hidden="1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 hidden="1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 hidden="1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 hidden="1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 hidden="1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 hidden="1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 hidden="1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 hidden="1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 hidden="1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 hidden="1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 hidden="1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 hidden="1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 hidden="1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 hidden="1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 hidden="1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 hidden="1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 hidden="1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 hidden="1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 hidden="1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 hidden="1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 hidden="1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 hidden="1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 hidden="1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 hidden="1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 hidden="1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 hidden="1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 hidden="1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 hidden="1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 hidden="1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 hidden="1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 hidden="1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 hidden="1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 hidden="1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 hidden="1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 hidden="1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 hidden="1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 hidden="1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 hidden="1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 hidden="1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 hidden="1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 hidden="1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 hidden="1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 hidden="1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 hidden="1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 hidden="1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 hidden="1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 hidden="1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 hidden="1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 hidden="1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 hidden="1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 hidden="1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 hidden="1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 hidden="1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 hidden="1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 hidden="1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 hidden="1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 hidden="1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 hidden="1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 hidden="1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 hidden="1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 hidden="1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 hidden="1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 hidden="1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 hidden="1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 hidden="1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 hidden="1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 hidden="1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 hidden="1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 hidden="1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 hidden="1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 hidden="1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 hidden="1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 hidden="1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 hidden="1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 hidden="1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 hidden="1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 hidden="1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 hidden="1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 hidden="1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 hidden="1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 hidden="1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 hidden="1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 hidden="1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 hidden="1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 hidden="1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 hidden="1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 hidden="1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 hidden="1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 hidden="1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 hidden="1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 hidden="1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 hidden="1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 hidden="1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 hidden="1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 hidden="1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 hidden="1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 hidden="1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 hidden="1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 hidden="1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 hidden="1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 hidden="1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 hidden="1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 hidden="1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 hidden="1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 hidden="1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 hidden="1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 hidden="1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 hidden="1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 hidden="1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 hidden="1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 hidden="1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 hidden="1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 hidden="1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 hidden="1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 hidden="1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 hidden="1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 hidden="1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 hidden="1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 hidden="1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 hidden="1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 hidden="1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 hidden="1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 hidden="1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 hidden="1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 hidden="1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 hidden="1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 hidden="1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 hidden="1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 hidden="1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 hidden="1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 hidden="1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 hidden="1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 hidden="1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 hidden="1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 hidden="1">
      <c r="R6182" s="33"/>
      <c r="S6182" s="33"/>
      <c r="T6182" t="str">
        <f>IF(C6182="","",UPPER(LEFT(SUBSTITUTE(C6182," ",""),3))&amp;"-"&amp;TEXT(B6182,"AAMMDD")&amp;"-1")</f>
        <v/>
      </c>
    </row>
    <row r="6183" spans="18:20" hidden="1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 hidden="1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 hidden="1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 hidden="1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 hidden="1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 hidden="1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 hidden="1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 hidden="1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 hidden="1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 hidden="1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 hidden="1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 hidden="1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 hidden="1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 hidden="1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 hidden="1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 hidden="1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 hidden="1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 hidden="1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 hidden="1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 hidden="1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 hidden="1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 hidden="1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 hidden="1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 hidden="1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 hidden="1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 hidden="1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 hidden="1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 hidden="1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 hidden="1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 hidden="1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 hidden="1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 hidden="1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 hidden="1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 hidden="1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 hidden="1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 hidden="1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 hidden="1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 hidden="1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 hidden="1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 hidden="1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 hidden="1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 hidden="1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 hidden="1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 hidden="1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 hidden="1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 hidden="1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 hidden="1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 hidden="1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 hidden="1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 hidden="1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 hidden="1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 hidden="1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 hidden="1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 hidden="1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 hidden="1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 hidden="1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 hidden="1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 hidden="1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 hidden="1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 hidden="1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 hidden="1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 hidden="1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 hidden="1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 hidden="1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 hidden="1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 hidden="1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 hidden="1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 hidden="1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 hidden="1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 hidden="1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 hidden="1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 hidden="1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 hidden="1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 hidden="1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 hidden="1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 hidden="1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 hidden="1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 hidden="1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 hidden="1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 hidden="1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 hidden="1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 hidden="1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 hidden="1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 hidden="1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 hidden="1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 hidden="1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 hidden="1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 hidden="1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 hidden="1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 hidden="1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 hidden="1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 hidden="1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 hidden="1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 hidden="1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 hidden="1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 hidden="1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 hidden="1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 hidden="1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 hidden="1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 hidden="1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 hidden="1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 hidden="1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 hidden="1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 hidden="1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 hidden="1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 hidden="1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 hidden="1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 hidden="1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 hidden="1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 hidden="1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 hidden="1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 hidden="1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 hidden="1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 hidden="1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 hidden="1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 hidden="1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 hidden="1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 hidden="1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 hidden="1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 hidden="1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 hidden="1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 hidden="1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 hidden="1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 hidden="1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 hidden="1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 hidden="1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 hidden="1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 hidden="1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 hidden="1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 hidden="1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 hidden="1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 hidden="1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 hidden="1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 hidden="1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 hidden="1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 hidden="1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 hidden="1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 hidden="1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 hidden="1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 hidden="1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 hidden="1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 hidden="1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 hidden="1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 hidden="1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 hidden="1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 hidden="1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 hidden="1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 hidden="1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 hidden="1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 hidden="1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 hidden="1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 hidden="1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 hidden="1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 hidden="1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 hidden="1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 hidden="1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 hidden="1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 hidden="1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 hidden="1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 hidden="1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 hidden="1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 hidden="1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 hidden="1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 hidden="1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 hidden="1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 hidden="1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 hidden="1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 hidden="1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 hidden="1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 hidden="1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 hidden="1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 hidden="1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 hidden="1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 hidden="1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 hidden="1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 hidden="1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 hidden="1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 hidden="1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 hidden="1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 hidden="1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 hidden="1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 hidden="1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 hidden="1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 hidden="1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 hidden="1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 hidden="1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 hidden="1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 hidden="1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 hidden="1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 hidden="1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 hidden="1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 hidden="1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 hidden="1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 hidden="1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 hidden="1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 hidden="1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 hidden="1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 hidden="1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 hidden="1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 hidden="1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 hidden="1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 hidden="1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 hidden="1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 hidden="1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 hidden="1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 hidden="1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 hidden="1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 hidden="1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 hidden="1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 hidden="1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 hidden="1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 hidden="1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 hidden="1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 hidden="1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 hidden="1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 hidden="1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 hidden="1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 hidden="1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 hidden="1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 hidden="1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 hidden="1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 hidden="1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 hidden="1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 hidden="1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 hidden="1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 hidden="1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 hidden="1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 hidden="1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 hidden="1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 hidden="1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 hidden="1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 hidden="1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 hidden="1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 hidden="1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 hidden="1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 hidden="1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 hidden="1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 hidden="1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 hidden="1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 hidden="1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 hidden="1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 hidden="1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 hidden="1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 hidden="1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 hidden="1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 hidden="1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 hidden="1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 hidden="1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 hidden="1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 hidden="1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 hidden="1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 hidden="1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 hidden="1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 hidden="1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 hidden="1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 hidden="1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 hidden="1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 hidden="1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 hidden="1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 hidden="1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 hidden="1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 hidden="1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 hidden="1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 hidden="1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 hidden="1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 hidden="1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 hidden="1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 hidden="1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 hidden="1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 hidden="1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 hidden="1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 hidden="1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 hidden="1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 hidden="1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 hidden="1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 hidden="1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 hidden="1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 hidden="1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 hidden="1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 hidden="1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 hidden="1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 hidden="1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 hidden="1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 hidden="1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 hidden="1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 hidden="1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 hidden="1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 hidden="1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 hidden="1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 hidden="1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 hidden="1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 hidden="1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 hidden="1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 hidden="1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 hidden="1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 hidden="1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 hidden="1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 hidden="1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 hidden="1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 hidden="1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 hidden="1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 hidden="1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 hidden="1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 hidden="1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 hidden="1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 hidden="1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 hidden="1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 hidden="1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 hidden="1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 hidden="1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 hidden="1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 hidden="1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 hidden="1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 hidden="1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 hidden="1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 hidden="1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 hidden="1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 hidden="1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 hidden="1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 hidden="1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 hidden="1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 hidden="1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 hidden="1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 hidden="1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 hidden="1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 hidden="1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 hidden="1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 hidden="1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 hidden="1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 hidden="1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 hidden="1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 hidden="1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 hidden="1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 hidden="1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 hidden="1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 hidden="1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 hidden="1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 hidden="1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 hidden="1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 hidden="1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 hidden="1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 hidden="1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 hidden="1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 hidden="1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 hidden="1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 hidden="1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 hidden="1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 hidden="1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 hidden="1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 hidden="1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 hidden="1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 hidden="1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 hidden="1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 hidden="1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 hidden="1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 hidden="1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 hidden="1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 hidden="1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 hidden="1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 hidden="1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 hidden="1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 hidden="1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 hidden="1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 hidden="1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 hidden="1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 hidden="1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 hidden="1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 hidden="1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 hidden="1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 hidden="1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 hidden="1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 hidden="1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 hidden="1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 hidden="1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 hidden="1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 hidden="1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 hidden="1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 hidden="1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 hidden="1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 hidden="1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 hidden="1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 hidden="1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 hidden="1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 hidden="1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 hidden="1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 hidden="1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 hidden="1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 hidden="1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 hidden="1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 hidden="1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 hidden="1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 hidden="1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 hidden="1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 hidden="1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 hidden="1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 hidden="1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 hidden="1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 hidden="1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 hidden="1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 hidden="1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 hidden="1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 hidden="1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 hidden="1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 hidden="1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 hidden="1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 hidden="1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 hidden="1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 hidden="1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 hidden="1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 hidden="1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 hidden="1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 hidden="1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 hidden="1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 hidden="1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 hidden="1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 hidden="1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 hidden="1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 hidden="1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 hidden="1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 hidden="1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 hidden="1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 hidden="1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 hidden="1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 hidden="1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 hidden="1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 hidden="1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 hidden="1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 hidden="1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 hidden="1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 hidden="1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 hidden="1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 hidden="1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 hidden="1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 hidden="1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 hidden="1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 hidden="1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 hidden="1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 hidden="1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 hidden="1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 hidden="1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 hidden="1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 hidden="1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 hidden="1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 hidden="1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 hidden="1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 hidden="1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 hidden="1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 hidden="1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 hidden="1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 hidden="1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 hidden="1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 hidden="1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 hidden="1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 hidden="1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 hidden="1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 hidden="1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 hidden="1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 hidden="1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 hidden="1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 hidden="1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 hidden="1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 hidden="1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 hidden="1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 hidden="1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 hidden="1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 hidden="1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 hidden="1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 hidden="1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 hidden="1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 hidden="1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 hidden="1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 hidden="1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 hidden="1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 hidden="1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 hidden="1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 hidden="1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 hidden="1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 hidden="1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 hidden="1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 hidden="1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 hidden="1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 hidden="1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 hidden="1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 hidden="1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 hidden="1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 hidden="1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 hidden="1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 hidden="1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 hidden="1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 hidden="1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 hidden="1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 hidden="1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 hidden="1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 hidden="1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 hidden="1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 hidden="1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 hidden="1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 hidden="1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 hidden="1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 hidden="1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 hidden="1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 hidden="1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 hidden="1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 hidden="1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 hidden="1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 hidden="1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 hidden="1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 hidden="1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 hidden="1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 hidden="1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 hidden="1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 hidden="1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 hidden="1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 hidden="1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 hidden="1">
      <c r="R6697" s="38" t="str">
        <f>IF(H6697="","",H6697&amp;I6697)</f>
        <v/>
      </c>
      <c r="S6697" s="38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 hidden="1">
      <c r="R6698" s="38" t="str">
        <f>IF(H6698="","",H6698&amp;I6698)</f>
        <v/>
      </c>
      <c r="S6698" s="38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 hidden="1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 hidden="1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 hidden="1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 hidden="1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 hidden="1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 hidden="1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 hidden="1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 hidden="1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 hidden="1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 hidden="1">
      <c r="T6708" t="str">
        <f>IF(C6708="","",UPPER(LEFT(SUBSTITUTE(C6708," ",""),3))&amp;"-"&amp;TEXT(B6708,"AAMMDD")&amp;"-1")</f>
        <v/>
      </c>
    </row>
    <row r="6709" spans="18:20" hidden="1">
      <c r="T6709" t="str">
        <f>IF(C6709="","",UPPER(LEFT(SUBSTITUTE(C6709," ",""),3))&amp;"-"&amp;TEXT(B6709,"AAMMDD")&amp;"-1")</f>
        <v/>
      </c>
    </row>
    <row r="6710" spans="18:20" hidden="1">
      <c r="T6710" t="str">
        <f>IF(C6710="","",UPPER(LEFT(SUBSTITUTE(C6710," ",""),3))&amp;"-"&amp;TEXT(B6710,"AAMMDD")&amp;"-1")</f>
        <v/>
      </c>
    </row>
    <row r="6711" spans="18:20" hidden="1">
      <c r="T6711" t="str">
        <f>IF(C6711="","",UPPER(LEFT(SUBSTITUTE(C6711," ",""),3))&amp;"-"&amp;TEXT(B6711,"AAMMDD")&amp;"-1")</f>
        <v/>
      </c>
    </row>
    <row r="6712" spans="18:20" hidden="1">
      <c r="T6712" t="str">
        <f>IF(C6712="","",UPPER(LEFT(SUBSTITUTE(C6712," ",""),3))&amp;"-"&amp;TEXT(B6712,"AAMMDD")&amp;"-1")</f>
        <v/>
      </c>
    </row>
    <row r="6713" spans="18:20" hidden="1">
      <c r="T6713" t="str">
        <f>IF(C6713="","",UPPER(LEFT(SUBSTITUTE(C6713," ",""),3))&amp;"-"&amp;TEXT(B6713,"AAMMDD")&amp;"-1")</f>
        <v/>
      </c>
    </row>
    <row r="6714" spans="18:20" hidden="1">
      <c r="T6714" t="str">
        <f>IF(C6714="","",UPPER(LEFT(SUBSTITUTE(C6714," ",""),3))&amp;"-"&amp;TEXT(B6714,"AAMMDD")&amp;"-1")</f>
        <v/>
      </c>
    </row>
    <row r="6715" spans="18:20" hidden="1">
      <c r="T6715" t="str">
        <f>IF(C6715="","",UPPER(LEFT(SUBSTITUTE(C6715," ",""),3))&amp;"-"&amp;TEXT(B6715,"AAMMDD")&amp;"-1")</f>
        <v/>
      </c>
    </row>
    <row r="6716" spans="18:20" hidden="1">
      <c r="T6716" t="str">
        <f>IF(C6716="","",UPPER(LEFT(SUBSTITUTE(C6716," ",""),3))&amp;"-"&amp;TEXT(B6716,"AAMMDD")&amp;"-1")</f>
        <v/>
      </c>
    </row>
    <row r="6717" spans="18:20" hidden="1">
      <c r="T6717" t="str">
        <f>IF(C6717="","",UPPER(LEFT(SUBSTITUTE(C6717," ",""),3))&amp;"-"&amp;TEXT(B6717,"AAMMDD")&amp;"-1")</f>
        <v/>
      </c>
    </row>
    <row r="6718" spans="18:20" hidden="1">
      <c r="T6718" t="str">
        <f>IF(C6718="","",UPPER(LEFT(SUBSTITUTE(C6718," ",""),3))&amp;"-"&amp;TEXT(B6718,"AAMMDD")&amp;"-1")</f>
        <v/>
      </c>
    </row>
    <row r="6719" spans="18:20" hidden="1">
      <c r="T6719" t="str">
        <f>IF(C6719="","",UPPER(LEFT(SUBSTITUTE(C6719," ",""),3))&amp;"-"&amp;TEXT(B6719,"AAMMDD")&amp;"-1")</f>
        <v/>
      </c>
    </row>
    <row r="6720" spans="18:20" hidden="1">
      <c r="T6720" t="str">
        <f>IF(C6720="","",UPPER(LEFT(SUBSTITUTE(C6720," ",""),3))&amp;"-"&amp;TEXT(B6720,"AAMMDD")&amp;"-1")</f>
        <v/>
      </c>
    </row>
    <row r="6721" spans="20:20" hidden="1">
      <c r="T6721" t="str">
        <f>IF(C6721="","",UPPER(LEFT(SUBSTITUTE(C6721," ",""),3))&amp;"-"&amp;TEXT(B6721,"AAMMDD")&amp;"-1")</f>
        <v/>
      </c>
    </row>
    <row r="6722" spans="20:20" hidden="1">
      <c r="T6722" t="str">
        <f>IF(C6722="","",UPPER(LEFT(SUBSTITUTE(C6722," ",""),3))&amp;"-"&amp;TEXT(B6722,"AAMMDD")&amp;"-1")</f>
        <v/>
      </c>
    </row>
    <row r="6723" spans="20:20" hidden="1">
      <c r="T6723" t="str">
        <f>IF(C6723="","",UPPER(LEFT(SUBSTITUTE(C6723," ",""),3))&amp;"-"&amp;TEXT(B6723,"AAMMDD")&amp;"-1")</f>
        <v/>
      </c>
    </row>
    <row r="6724" spans="20:20" hidden="1">
      <c r="T6724" t="str">
        <f>IF(C6724="","",UPPER(LEFT(SUBSTITUTE(C6724," ",""),3))&amp;"-"&amp;TEXT(B6724,"AAMMDD")&amp;"-1")</f>
        <v/>
      </c>
    </row>
    <row r="6725" spans="20:20" hidden="1">
      <c r="T6725" t="str">
        <f>IF(C6725="","",UPPER(LEFT(SUBSTITUTE(C6725," ",""),3))&amp;"-"&amp;TEXT(B6725,"AAMMDD")&amp;"-1")</f>
        <v/>
      </c>
    </row>
    <row r="6726" spans="20:20" hidden="1">
      <c r="T6726" t="str">
        <f>IF(C6726="","",UPPER(LEFT(SUBSTITUTE(C6726," ",""),3))&amp;"-"&amp;TEXT(B6726,"AAMMDD")&amp;"-1")</f>
        <v/>
      </c>
    </row>
    <row r="6727" spans="20:20" hidden="1">
      <c r="T6727" t="str">
        <f>IF(C6727="","",UPPER(LEFT(SUBSTITUTE(C6727," ",""),3))&amp;"-"&amp;TEXT(B6727,"AAMMDD")&amp;"-1")</f>
        <v/>
      </c>
    </row>
    <row r="6728" spans="20:20" hidden="1">
      <c r="T6728" t="str">
        <f>IF(C6728="","",UPPER(LEFT(SUBSTITUTE(C6728," ",""),3))&amp;"-"&amp;TEXT(B6728,"AAMMDD")&amp;"-1")</f>
        <v/>
      </c>
    </row>
    <row r="6729" spans="20:20" hidden="1">
      <c r="T6729" t="str">
        <f>IF(C6729="","",UPPER(LEFT(SUBSTITUTE(C6729," ",""),3))&amp;"-"&amp;TEXT(B6729,"AAMMDD")&amp;"-1")</f>
        <v/>
      </c>
    </row>
    <row r="6730" spans="20:20" hidden="1">
      <c r="T6730" t="str">
        <f>IF(C6730="","",UPPER(LEFT(SUBSTITUTE(C6730," ",""),3))&amp;"-"&amp;TEXT(B6730,"AAMMDD")&amp;"-1")</f>
        <v/>
      </c>
    </row>
    <row r="6731" spans="20:20" hidden="1">
      <c r="T6731" t="str">
        <f>IF(C6731="","",UPPER(LEFT(SUBSTITUTE(C6731," ",""),3))&amp;"-"&amp;TEXT(B6731,"AAMMDD")&amp;"-1")</f>
        <v/>
      </c>
    </row>
    <row r="6732" spans="20:20" hidden="1">
      <c r="T6732" t="str">
        <f>IF(C6732="","",UPPER(LEFT(SUBSTITUTE(C6732," ",""),3))&amp;"-"&amp;TEXT(B6732,"AAMMDD")&amp;"-1")</f>
        <v/>
      </c>
    </row>
    <row r="6733" spans="20:20" hidden="1">
      <c r="T6733" t="str">
        <f>IF(C6733="","",UPPER(LEFT(SUBSTITUTE(C6733," ",""),3))&amp;"-"&amp;TEXT(B6733,"AAMMDD")&amp;"-1")</f>
        <v/>
      </c>
    </row>
    <row r="6734" spans="20:20" hidden="1">
      <c r="T6734" t="str">
        <f>IF(C6734="","",UPPER(LEFT(SUBSTITUTE(C6734," ",""),3))&amp;"-"&amp;TEXT(B6734,"AAMMDD")&amp;"-1")</f>
        <v/>
      </c>
    </row>
    <row r="6735" spans="20:20" hidden="1">
      <c r="T6735" t="str">
        <f>IF(C6735="","",UPPER(LEFT(SUBSTITUTE(C6735," ",""),3))&amp;"-"&amp;TEXT(B6735,"AAMMDD")&amp;"-1")</f>
        <v/>
      </c>
    </row>
    <row r="6736" spans="20:20" hidden="1">
      <c r="T6736" t="str">
        <f>IF(C6736="","",UPPER(LEFT(SUBSTITUTE(C6736," ",""),3))&amp;"-"&amp;TEXT(B6736,"AAMMDD")&amp;"-1")</f>
        <v/>
      </c>
    </row>
    <row r="6737" spans="20:20" hidden="1">
      <c r="T6737" t="str">
        <f>IF(C6737="","",UPPER(LEFT(SUBSTITUTE(C6737," ",""),3))&amp;"-"&amp;TEXT(B6737,"AAMMDD")&amp;"-1")</f>
        <v/>
      </c>
    </row>
    <row r="6738" spans="20:20" hidden="1">
      <c r="T6738" t="str">
        <f>IF(C6738="","",UPPER(LEFT(SUBSTITUTE(C6738," ",""),3))&amp;"-"&amp;TEXT(B6738,"AAMMDD")&amp;"-1")</f>
        <v/>
      </c>
    </row>
    <row r="6739" spans="20:20" hidden="1">
      <c r="T6739" t="str">
        <f>IF(C6739="","",UPPER(LEFT(SUBSTITUTE(C6739," ",""),3))&amp;"-"&amp;TEXT(B6739,"AAMMDD")&amp;"-1")</f>
        <v/>
      </c>
    </row>
    <row r="6740" spans="20:20" hidden="1">
      <c r="T6740" t="str">
        <f>IF(C6740="","",UPPER(LEFT(SUBSTITUTE(C6740," ",""),3))&amp;"-"&amp;TEXT(B6740,"AAMMDD")&amp;"-1")</f>
        <v/>
      </c>
    </row>
    <row r="6741" spans="20:20" hidden="1">
      <c r="T6741" t="str">
        <f>IF(C6741="","",UPPER(LEFT(SUBSTITUTE(C6741," ",""),3))&amp;"-"&amp;TEXT(B6741,"AAMMDD")&amp;"-1")</f>
        <v/>
      </c>
    </row>
    <row r="6742" spans="20:20" hidden="1">
      <c r="T6742" t="str">
        <f>IF(C6742="","",UPPER(LEFT(SUBSTITUTE(C6742," ",""),3))&amp;"-"&amp;TEXT(B6742,"AAMMDD")&amp;"-1")</f>
        <v/>
      </c>
    </row>
    <row r="6743" spans="20:20" hidden="1">
      <c r="T6743" t="str">
        <f>IF(C6743="","",UPPER(LEFT(SUBSTITUTE(C6743," ",""),3))&amp;"-"&amp;TEXT(B6743,"AAMMDD")&amp;"-1")</f>
        <v/>
      </c>
    </row>
    <row r="6744" spans="20:20" hidden="1">
      <c r="T6744" t="str">
        <f>IF(C6744="","",UPPER(LEFT(SUBSTITUTE(C6744," ",""),3))&amp;"-"&amp;TEXT(B6744,"AAMMDD")&amp;"-1")</f>
        <v/>
      </c>
    </row>
    <row r="6745" spans="20:20" hidden="1">
      <c r="T6745" t="str">
        <f>IF(C6745="","",UPPER(LEFT(SUBSTITUTE(C6745," ",""),3))&amp;"-"&amp;TEXT(B6745,"AAMMDD")&amp;"-1")</f>
        <v/>
      </c>
    </row>
    <row r="6746" spans="20:20" hidden="1">
      <c r="T6746" t="str">
        <f>IF(C6746="","",UPPER(LEFT(SUBSTITUTE(C6746," ",""),3))&amp;"-"&amp;TEXT(B6746,"AAMMDD")&amp;"-1")</f>
        <v/>
      </c>
    </row>
    <row r="6747" spans="20:20" hidden="1">
      <c r="T6747" t="str">
        <f>IF(C6747="","",UPPER(LEFT(SUBSTITUTE(C6747," ",""),3))&amp;"-"&amp;TEXT(B6747,"AAMMDD")&amp;"-1")</f>
        <v/>
      </c>
    </row>
    <row r="6748" spans="20:20" hidden="1">
      <c r="T6748" t="str">
        <f>IF(C6748="","",UPPER(LEFT(SUBSTITUTE(C6748," ",""),3))&amp;"-"&amp;TEXT(B6748,"AAMMDD")&amp;"-1")</f>
        <v/>
      </c>
    </row>
    <row r="6749" spans="20:20" hidden="1">
      <c r="T6749" t="str">
        <f>IF(C6749="","",UPPER(LEFT(SUBSTITUTE(C6749," ",""),3))&amp;"-"&amp;TEXT(B6749,"AAMMDD")&amp;"-1")</f>
        <v/>
      </c>
    </row>
    <row r="6750" spans="20:20" hidden="1">
      <c r="T6750" t="str">
        <f>IF(C6750="","",UPPER(LEFT(SUBSTITUTE(C6750," ",""),3))&amp;"-"&amp;TEXT(B6750,"AAMMDD")&amp;"-1")</f>
        <v/>
      </c>
    </row>
    <row r="6751" spans="20:20" hidden="1">
      <c r="T6751" t="str">
        <f>IF(C6751="","",UPPER(LEFT(SUBSTITUTE(C6751," ",""),3))&amp;"-"&amp;TEXT(B6751,"AAMMDD")&amp;"-1")</f>
        <v/>
      </c>
    </row>
    <row r="6752" spans="20:20" hidden="1">
      <c r="T6752" t="str">
        <f>IF(C6752="","",UPPER(LEFT(SUBSTITUTE(C6752," ",""),3))&amp;"-"&amp;TEXT(B6752,"AAMMDD")&amp;"-1")</f>
        <v/>
      </c>
    </row>
    <row r="6753" spans="20:20" hidden="1">
      <c r="T6753" t="str">
        <f>IF(C6753="","",UPPER(LEFT(SUBSTITUTE(C6753," ",""),3))&amp;"-"&amp;TEXT(B6753,"AAMMDD")&amp;"-1")</f>
        <v/>
      </c>
    </row>
    <row r="6754" spans="20:20" hidden="1">
      <c r="T6754" t="str">
        <f>IF(C6754="","",UPPER(LEFT(SUBSTITUTE(C6754," ",""),3))&amp;"-"&amp;TEXT(B6754,"AAMMDD")&amp;"-1")</f>
        <v/>
      </c>
    </row>
    <row r="6755" spans="20:20" hidden="1">
      <c r="T6755" t="str">
        <f>IF(C6755="","",UPPER(LEFT(SUBSTITUTE(C6755," ",""),3))&amp;"-"&amp;TEXT(B6755,"AAMMDD")&amp;"-1")</f>
        <v/>
      </c>
    </row>
    <row r="6756" spans="20:20" hidden="1">
      <c r="T6756" t="str">
        <f>IF(C6756="","",UPPER(LEFT(SUBSTITUTE(C6756," ",""),3))&amp;"-"&amp;TEXT(B6756,"AAMMDD")&amp;"-1")</f>
        <v/>
      </c>
    </row>
    <row r="6757" spans="20:20" hidden="1">
      <c r="T6757" t="str">
        <f>IF(C6757="","",UPPER(LEFT(SUBSTITUTE(C6757," ",""),3))&amp;"-"&amp;TEXT(B6757,"AAMMDD")&amp;"-1")</f>
        <v/>
      </c>
    </row>
    <row r="6758" spans="20:20" hidden="1">
      <c r="T6758" t="str">
        <f>IF(C6758="","",UPPER(LEFT(SUBSTITUTE(C6758," ",""),3))&amp;"-"&amp;TEXT(B6758,"AAMMDD")&amp;"-1")</f>
        <v/>
      </c>
    </row>
    <row r="6759" spans="20:20" hidden="1">
      <c r="T6759" t="str">
        <f>IF(C6759="","",UPPER(LEFT(SUBSTITUTE(C6759," ",""),3))&amp;"-"&amp;TEXT(B6759,"AAMMDD")&amp;"-1")</f>
        <v/>
      </c>
    </row>
    <row r="6760" spans="20:20" hidden="1">
      <c r="T6760" t="str">
        <f>IF(C6760="","",UPPER(LEFT(SUBSTITUTE(C6760," ",""),3))&amp;"-"&amp;TEXT(B6760,"AAMMDD")&amp;"-1")</f>
        <v/>
      </c>
    </row>
    <row r="6761" spans="20:20" hidden="1">
      <c r="T6761" t="str">
        <f>IF(C6761="","",UPPER(LEFT(SUBSTITUTE(C6761," ",""),3))&amp;"-"&amp;TEXT(B6761,"AAMMDD")&amp;"-1")</f>
        <v/>
      </c>
    </row>
    <row r="6762" spans="20:20" hidden="1">
      <c r="T6762" t="str">
        <f>IF(C6762="","",UPPER(LEFT(SUBSTITUTE(C6762," ",""),3))&amp;"-"&amp;TEXT(B6762,"AAMMDD")&amp;"-1")</f>
        <v/>
      </c>
    </row>
    <row r="6763" spans="20:20" hidden="1">
      <c r="T6763" t="str">
        <f>IF(C6763="","",UPPER(LEFT(SUBSTITUTE(C6763," ",""),3))&amp;"-"&amp;TEXT(B6763,"AAMMDD")&amp;"-1")</f>
        <v/>
      </c>
    </row>
    <row r="6764" spans="20:20" hidden="1">
      <c r="T6764" t="str">
        <f>IF(C6764="","",UPPER(LEFT(SUBSTITUTE(C6764," ",""),3))&amp;"-"&amp;TEXT(B6764,"AAMMDD")&amp;"-1")</f>
        <v/>
      </c>
    </row>
    <row r="6765" spans="20:20" hidden="1">
      <c r="T6765" t="str">
        <f>IF(C6765="","",UPPER(LEFT(SUBSTITUTE(C6765," ",""),3))&amp;"-"&amp;TEXT(B6765,"AAMMDD")&amp;"-1")</f>
        <v/>
      </c>
    </row>
    <row r="6766" spans="20:20" hidden="1">
      <c r="T6766" t="str">
        <f>IF(C6766="","",UPPER(LEFT(SUBSTITUTE(C6766," ",""),3))&amp;"-"&amp;TEXT(B6766,"AAMMDD")&amp;"-1")</f>
        <v/>
      </c>
    </row>
    <row r="6767" spans="20:20" hidden="1">
      <c r="T6767" t="str">
        <f>IF(C6767="","",UPPER(LEFT(SUBSTITUTE(C6767," ",""),3))&amp;"-"&amp;TEXT(B6767,"AAMMDD")&amp;"-1")</f>
        <v/>
      </c>
    </row>
    <row r="6768" spans="20:20" hidden="1">
      <c r="T6768" t="str">
        <f>IF(C6768="","",UPPER(LEFT(SUBSTITUTE(C6768," ",""),3))&amp;"-"&amp;TEXT(B6768,"AAMMDD")&amp;"-1")</f>
        <v/>
      </c>
    </row>
    <row r="6769" spans="20:20" hidden="1">
      <c r="T6769" t="str">
        <f>IF(C6769="","",UPPER(LEFT(SUBSTITUTE(C6769," ",""),3))&amp;"-"&amp;TEXT(B6769,"AAMMDD")&amp;"-1")</f>
        <v/>
      </c>
    </row>
    <row r="6770" spans="20:20" hidden="1">
      <c r="T6770" t="str">
        <f>IF(C6770="","",UPPER(LEFT(SUBSTITUTE(C6770," ",""),3))&amp;"-"&amp;TEXT(B6770,"AAMMDD")&amp;"-1")</f>
        <v/>
      </c>
    </row>
    <row r="6771" spans="20:20" hidden="1">
      <c r="T6771" t="str">
        <f>IF(C6771="","",UPPER(LEFT(SUBSTITUTE(C6771," ",""),3))&amp;"-"&amp;TEXT(B6771,"AAMMDD")&amp;"-1")</f>
        <v/>
      </c>
    </row>
    <row r="6772" spans="20:20" hidden="1">
      <c r="T6772" t="str">
        <f>IF(C6772="","",UPPER(LEFT(SUBSTITUTE(C6772," ",""),3))&amp;"-"&amp;TEXT(B6772,"AAMMDD")&amp;"-1")</f>
        <v/>
      </c>
    </row>
    <row r="6773" spans="20:20" hidden="1">
      <c r="T6773" t="str">
        <f>IF(C6773="","",UPPER(LEFT(SUBSTITUTE(C6773," ",""),3))&amp;"-"&amp;TEXT(B6773,"AAMMDD")&amp;"-1")</f>
        <v/>
      </c>
    </row>
    <row r="6774" spans="20:20" hidden="1">
      <c r="T6774" t="str">
        <f>IF(C6774="","",UPPER(LEFT(SUBSTITUTE(C6774," ",""),3))&amp;"-"&amp;TEXT(B6774,"AAMMDD")&amp;"-1")</f>
        <v/>
      </c>
    </row>
    <row r="6775" spans="20:20" hidden="1">
      <c r="T6775" t="str">
        <f>IF(C6775="","",UPPER(LEFT(SUBSTITUTE(C6775," ",""),3))&amp;"-"&amp;TEXT(B6775,"AAMMDD")&amp;"-1")</f>
        <v/>
      </c>
    </row>
    <row r="6776" spans="20:20" hidden="1">
      <c r="T6776" t="str">
        <f>IF(C6776="","",UPPER(LEFT(SUBSTITUTE(C6776," ",""),3))&amp;"-"&amp;TEXT(B6776,"AAMMDD")&amp;"-1")</f>
        <v/>
      </c>
    </row>
    <row r="6777" spans="20:20" hidden="1">
      <c r="T6777" t="str">
        <f>IF(C6777="","",UPPER(LEFT(SUBSTITUTE(C6777," ",""),3))&amp;"-"&amp;TEXT(B6777,"AAMMDD")&amp;"-1")</f>
        <v/>
      </c>
    </row>
    <row r="6778" spans="20:20" hidden="1">
      <c r="T6778" t="str">
        <f>IF(C6778="","",UPPER(LEFT(SUBSTITUTE(C6778," ",""),3))&amp;"-"&amp;TEXT(B6778,"AAMMDD")&amp;"-1")</f>
        <v/>
      </c>
    </row>
    <row r="6779" spans="20:20" hidden="1">
      <c r="T6779" t="str">
        <f>IF(C6779="","",UPPER(LEFT(SUBSTITUTE(C6779," ",""),3))&amp;"-"&amp;TEXT(B6779,"AAMMDD")&amp;"-1")</f>
        <v/>
      </c>
    </row>
    <row r="6780" spans="20:20" hidden="1">
      <c r="T6780" t="str">
        <f>IF(C6780="","",UPPER(LEFT(SUBSTITUTE(C6780," ",""),3))&amp;"-"&amp;TEXT(B6780,"AAMMDD")&amp;"-1")</f>
        <v/>
      </c>
    </row>
    <row r="6781" spans="20:20" hidden="1">
      <c r="T6781" t="str">
        <f>IF(C6781="","",UPPER(LEFT(SUBSTITUTE(C6781," ",""),3))&amp;"-"&amp;TEXT(B6781,"AAMMDD")&amp;"-1")</f>
        <v/>
      </c>
    </row>
    <row r="6782" spans="20:20" hidden="1">
      <c r="T6782" t="str">
        <f>IF(C6782="","",UPPER(LEFT(SUBSTITUTE(C6782," ",""),3))&amp;"-"&amp;TEXT(B6782,"AAMMDD")&amp;"-1")</f>
        <v/>
      </c>
    </row>
    <row r="6783" spans="20:20" hidden="1">
      <c r="T6783" t="str">
        <f>IF(C6783="","",UPPER(LEFT(SUBSTITUTE(C6783," ",""),3))&amp;"-"&amp;TEXT(B6783,"AAMMDD")&amp;"-1")</f>
        <v/>
      </c>
    </row>
    <row r="6784" spans="20:20" hidden="1">
      <c r="T6784" t="str">
        <f>IF(C6784="","",UPPER(LEFT(SUBSTITUTE(C6784," ",""),3))&amp;"-"&amp;TEXT(B6784,"AAMMDD")&amp;"-1")</f>
        <v/>
      </c>
    </row>
    <row r="6785" spans="20:20" hidden="1">
      <c r="T6785" t="str">
        <f>IF(C6785="","",UPPER(LEFT(SUBSTITUTE(C6785," ",""),3))&amp;"-"&amp;TEXT(B6785,"AAMMDD")&amp;"-1")</f>
        <v/>
      </c>
    </row>
    <row r="6786" spans="20:20" hidden="1">
      <c r="T6786" t="str">
        <f>IF(C6786="","",UPPER(LEFT(SUBSTITUTE(C6786," ",""),3))&amp;"-"&amp;TEXT(B6786,"AAMMDD")&amp;"-1")</f>
        <v/>
      </c>
    </row>
    <row r="6787" spans="20:20" hidden="1">
      <c r="T6787" t="str">
        <f>IF(C6787="","",UPPER(LEFT(SUBSTITUTE(C6787," ",""),3))&amp;"-"&amp;TEXT(B6787,"AAMMDD")&amp;"-1")</f>
        <v/>
      </c>
    </row>
    <row r="6788" spans="20:20" hidden="1">
      <c r="T6788" t="str">
        <f>IF(C6788="","",UPPER(LEFT(SUBSTITUTE(C6788," ",""),3))&amp;"-"&amp;TEXT(B6788,"AAMMDD")&amp;"-1")</f>
        <v/>
      </c>
    </row>
    <row r="6789" spans="20:20" hidden="1">
      <c r="T6789" t="str">
        <f>IF(C6789="","",UPPER(LEFT(SUBSTITUTE(C6789," ",""),3))&amp;"-"&amp;TEXT(B6789,"AAMMDD")&amp;"-1")</f>
        <v/>
      </c>
    </row>
    <row r="6790" spans="20:20" hidden="1">
      <c r="T6790" t="str">
        <f>IF(C6790="","",UPPER(LEFT(SUBSTITUTE(C6790," ",""),3))&amp;"-"&amp;TEXT(B6790,"AAMMDD")&amp;"-1")</f>
        <v/>
      </c>
    </row>
    <row r="6791" spans="20:20" hidden="1">
      <c r="T6791" t="str">
        <f>IF(C6791="","",UPPER(LEFT(SUBSTITUTE(C6791," ",""),3))&amp;"-"&amp;TEXT(B6791,"AAMMDD")&amp;"-1")</f>
        <v/>
      </c>
    </row>
    <row r="6792" spans="20:20" hidden="1">
      <c r="T6792" t="str">
        <f>IF(C6792="","",UPPER(LEFT(SUBSTITUTE(C6792," ",""),3))&amp;"-"&amp;TEXT(B6792,"AAMMDD")&amp;"-1")</f>
        <v/>
      </c>
    </row>
    <row r="6793" spans="20:20" hidden="1">
      <c r="T6793" t="str">
        <f>IF(C6793="","",UPPER(LEFT(SUBSTITUTE(C6793," ",""),3))&amp;"-"&amp;TEXT(B6793,"AAMMDD")&amp;"-1")</f>
        <v/>
      </c>
    </row>
    <row r="6794" spans="20:20" hidden="1">
      <c r="T6794" t="str">
        <f>IF(C6794="","",UPPER(LEFT(SUBSTITUTE(C6794," ",""),3))&amp;"-"&amp;TEXT(B6794,"AAMMDD")&amp;"-1")</f>
        <v/>
      </c>
    </row>
    <row r="6795" spans="20:20" hidden="1">
      <c r="T6795" t="str">
        <f>IF(C6795="","",UPPER(LEFT(SUBSTITUTE(C6795," ",""),3))&amp;"-"&amp;TEXT(B6795,"AAMMDD")&amp;"-1")</f>
        <v/>
      </c>
    </row>
    <row r="6796" spans="20:20" hidden="1">
      <c r="T6796" t="str">
        <f>IF(C6796="","",UPPER(LEFT(SUBSTITUTE(C6796," ",""),3))&amp;"-"&amp;TEXT(B6796,"AAMMDD")&amp;"-1")</f>
        <v/>
      </c>
    </row>
    <row r="6797" spans="20:20" hidden="1">
      <c r="T6797" t="str">
        <f>IF(C6797="","",UPPER(LEFT(SUBSTITUTE(C6797," ",""),3))&amp;"-"&amp;TEXT(B6797,"AAMMDD")&amp;"-1")</f>
        <v/>
      </c>
    </row>
    <row r="6798" spans="20:20" hidden="1">
      <c r="T6798" t="str">
        <f>IF(C6798="","",UPPER(LEFT(SUBSTITUTE(C6798," ",""),3))&amp;"-"&amp;TEXT(B6798,"AAMMDD")&amp;"-1")</f>
        <v/>
      </c>
    </row>
    <row r="6799" spans="20:20" hidden="1">
      <c r="T6799" t="str">
        <f>IF(C6799="","",UPPER(LEFT(SUBSTITUTE(C6799," ",""),3))&amp;"-"&amp;TEXT(B6799,"AAMMDD")&amp;"-1")</f>
        <v/>
      </c>
    </row>
    <row r="6800" spans="20:20" hidden="1">
      <c r="T6800" t="str">
        <f>IF(C6800="","",UPPER(LEFT(SUBSTITUTE(C6800," ",""),3))&amp;"-"&amp;TEXT(B6800,"AAMMDD")&amp;"-1")</f>
        <v/>
      </c>
    </row>
    <row r="6801" spans="20:20" hidden="1">
      <c r="T6801" t="str">
        <f>IF(C6801="","",UPPER(LEFT(SUBSTITUTE(C6801," ",""),3))&amp;"-"&amp;TEXT(B6801,"AAMMDD")&amp;"-1")</f>
        <v/>
      </c>
    </row>
    <row r="6802" spans="20:20" hidden="1">
      <c r="T6802" t="str">
        <f>IF(C6802="","",UPPER(LEFT(SUBSTITUTE(C6802," ",""),3))&amp;"-"&amp;TEXT(B6802,"AAMMDD")&amp;"-1")</f>
        <v/>
      </c>
    </row>
    <row r="6803" spans="20:20" hidden="1">
      <c r="T6803" t="str">
        <f>IF(C6803="","",UPPER(LEFT(SUBSTITUTE(C6803," ",""),3))&amp;"-"&amp;TEXT(B6803,"AAMMDD")&amp;"-1")</f>
        <v/>
      </c>
    </row>
    <row r="6804" spans="20:20" hidden="1">
      <c r="T6804" t="str">
        <f>IF(C6804="","",UPPER(LEFT(SUBSTITUTE(C6804," ",""),3))&amp;"-"&amp;TEXT(B6804,"AAMMDD")&amp;"-1")</f>
        <v/>
      </c>
    </row>
    <row r="6805" spans="20:20" hidden="1">
      <c r="T6805" t="str">
        <f>IF(C6805="","",UPPER(LEFT(SUBSTITUTE(C6805," ",""),3))&amp;"-"&amp;TEXT(B6805,"AAMMDD")&amp;"-1")</f>
        <v/>
      </c>
    </row>
    <row r="6806" spans="20:20" hidden="1">
      <c r="T6806" t="str">
        <f>IF(C6806="","",UPPER(LEFT(SUBSTITUTE(C6806," ",""),3))&amp;"-"&amp;TEXT(B6806,"AAMMDD")&amp;"-1")</f>
        <v/>
      </c>
    </row>
    <row r="6807" spans="20:20" hidden="1">
      <c r="T6807" t="str">
        <f>IF(C6807="","",UPPER(LEFT(SUBSTITUTE(C6807," ",""),3))&amp;"-"&amp;TEXT(B6807,"AAMMDD")&amp;"-1")</f>
        <v/>
      </c>
    </row>
    <row r="6808" spans="20:20" hidden="1">
      <c r="T6808" t="str">
        <f>IF(C6808="","",UPPER(LEFT(SUBSTITUTE(C6808," ",""),3))&amp;"-"&amp;TEXT(B6808,"AAMMDD")&amp;"-1")</f>
        <v/>
      </c>
    </row>
    <row r="6809" spans="20:20" hidden="1">
      <c r="T6809" t="str">
        <f>IF(C6809="","",UPPER(LEFT(SUBSTITUTE(C6809," ",""),3))&amp;"-"&amp;TEXT(B6809,"AAMMDD")&amp;"-1")</f>
        <v/>
      </c>
    </row>
    <row r="6810" spans="20:20" hidden="1">
      <c r="T6810" t="str">
        <f>IF(C6810="","",UPPER(LEFT(SUBSTITUTE(C6810," ",""),3))&amp;"-"&amp;TEXT(B6810,"AAMMDD")&amp;"-1")</f>
        <v/>
      </c>
    </row>
    <row r="6811" spans="20:20" hidden="1">
      <c r="T6811" t="str">
        <f>IF(C6811="","",UPPER(LEFT(SUBSTITUTE(C6811," ",""),3))&amp;"-"&amp;TEXT(B6811,"AAMMDD")&amp;"-1")</f>
        <v/>
      </c>
    </row>
    <row r="6812" spans="20:20" hidden="1">
      <c r="T6812" t="str">
        <f>IF(C6812="","",UPPER(LEFT(SUBSTITUTE(C6812," ",""),3))&amp;"-"&amp;TEXT(B6812,"AAMMDD")&amp;"-1")</f>
        <v/>
      </c>
    </row>
    <row r="6813" spans="20:20" hidden="1">
      <c r="T6813" t="str">
        <f>IF(C6813="","",UPPER(LEFT(SUBSTITUTE(C6813," ",""),3))&amp;"-"&amp;TEXT(B6813,"AAMMDD")&amp;"-1")</f>
        <v/>
      </c>
    </row>
    <row r="6814" spans="20:20" hidden="1">
      <c r="T6814" t="str">
        <f>IF(C6814="","",UPPER(LEFT(SUBSTITUTE(C6814," ",""),3))&amp;"-"&amp;TEXT(B6814,"AAMMDD")&amp;"-1")</f>
        <v/>
      </c>
    </row>
    <row r="6815" spans="20:20" hidden="1">
      <c r="T6815" t="str">
        <f>IF(C6815="","",UPPER(LEFT(SUBSTITUTE(C6815," ",""),3))&amp;"-"&amp;TEXT(B6815,"AAMMDD")&amp;"-1")</f>
        <v/>
      </c>
    </row>
    <row r="6816" spans="20:20" hidden="1">
      <c r="T6816" t="str">
        <f>IF(C6816="","",UPPER(LEFT(SUBSTITUTE(C6816," ",""),3))&amp;"-"&amp;TEXT(B6816,"AAMMDD")&amp;"-1")</f>
        <v/>
      </c>
    </row>
    <row r="6817" spans="20:20" hidden="1">
      <c r="T6817" t="str">
        <f>IF(C6817="","",UPPER(LEFT(SUBSTITUTE(C6817," ",""),3))&amp;"-"&amp;TEXT(B6817,"AAMMDD")&amp;"-1")</f>
        <v/>
      </c>
    </row>
    <row r="6818" spans="20:20" hidden="1">
      <c r="T6818" t="str">
        <f>IF(C6818="","",UPPER(LEFT(SUBSTITUTE(C6818," ",""),3))&amp;"-"&amp;TEXT(B6818,"AAMMDD")&amp;"-1")</f>
        <v/>
      </c>
    </row>
    <row r="6819" spans="20:20" hidden="1">
      <c r="T6819" t="str">
        <f>IF(C6819="","",UPPER(LEFT(SUBSTITUTE(C6819," ",""),3))&amp;"-"&amp;TEXT(B6819,"AAMMDD")&amp;"-1")</f>
        <v/>
      </c>
    </row>
    <row r="6820" spans="20:20" hidden="1">
      <c r="T6820" t="str">
        <f>IF(C6820="","",UPPER(LEFT(SUBSTITUTE(C6820," ",""),3))&amp;"-"&amp;TEXT(B6820,"AAMMDD")&amp;"-1")</f>
        <v/>
      </c>
    </row>
    <row r="6821" spans="20:20" hidden="1">
      <c r="T6821" t="str">
        <f>IF(C6821="","",UPPER(LEFT(SUBSTITUTE(C6821," ",""),3))&amp;"-"&amp;TEXT(B6821,"AAMMDD")&amp;"-1")</f>
        <v/>
      </c>
    </row>
    <row r="6822" spans="20:20" hidden="1">
      <c r="T6822" t="str">
        <f>IF(C6822="","",UPPER(LEFT(SUBSTITUTE(C6822," ",""),3))&amp;"-"&amp;TEXT(B6822,"AAMMDD")&amp;"-1")</f>
        <v/>
      </c>
    </row>
    <row r="6823" spans="20:20" hidden="1">
      <c r="T6823" t="str">
        <f>IF(C6823="","",UPPER(LEFT(SUBSTITUTE(C6823," ",""),3))&amp;"-"&amp;TEXT(B6823,"AAMMDD")&amp;"-1")</f>
        <v/>
      </c>
    </row>
    <row r="6824" spans="20:20" hidden="1">
      <c r="T6824" t="str">
        <f>IF(C6824="","",UPPER(LEFT(SUBSTITUTE(C6824," ",""),3))&amp;"-"&amp;TEXT(B6824,"AAMMDD")&amp;"-1")</f>
        <v/>
      </c>
    </row>
    <row r="6825" spans="20:20" hidden="1">
      <c r="T6825" t="str">
        <f>IF(C6825="","",UPPER(LEFT(SUBSTITUTE(C6825," ",""),3))&amp;"-"&amp;TEXT(B6825,"AAMMDD")&amp;"-1")</f>
        <v/>
      </c>
    </row>
    <row r="6826" spans="20:20" hidden="1">
      <c r="T6826" t="str">
        <f>IF(C6826="","",UPPER(LEFT(SUBSTITUTE(C6826," ",""),3))&amp;"-"&amp;TEXT(B6826,"AAMMDD")&amp;"-1")</f>
        <v/>
      </c>
    </row>
    <row r="6827" spans="20:20" hidden="1">
      <c r="T6827" t="str">
        <f>IF(C6827="","",UPPER(LEFT(SUBSTITUTE(C6827," ",""),3))&amp;"-"&amp;TEXT(B6827,"AAMMDD")&amp;"-1")</f>
        <v/>
      </c>
    </row>
    <row r="6828" spans="20:20" hidden="1">
      <c r="T6828" t="str">
        <f>IF(C6828="","",UPPER(LEFT(SUBSTITUTE(C6828," ",""),3))&amp;"-"&amp;TEXT(B6828,"AAMMDD")&amp;"-1")</f>
        <v/>
      </c>
    </row>
    <row r="6829" spans="20:20" hidden="1">
      <c r="T6829" t="str">
        <f>IF(C6829="","",UPPER(LEFT(SUBSTITUTE(C6829," ",""),3))&amp;"-"&amp;TEXT(B6829,"AAMMDD")&amp;"-1")</f>
        <v/>
      </c>
    </row>
    <row r="6830" spans="20:20" hidden="1">
      <c r="T6830" t="str">
        <f>IF(C6830="","",UPPER(LEFT(SUBSTITUTE(C6830," ",""),3))&amp;"-"&amp;TEXT(B6830,"AAMMDD")&amp;"-1")</f>
        <v/>
      </c>
    </row>
    <row r="6831" spans="20:20" hidden="1">
      <c r="T6831" t="str">
        <f>IF(C6831="","",UPPER(LEFT(SUBSTITUTE(C6831," ",""),3))&amp;"-"&amp;TEXT(B6831,"AAMMDD")&amp;"-1")</f>
        <v/>
      </c>
    </row>
    <row r="6832" spans="20:20" hidden="1">
      <c r="T6832" t="str">
        <f>IF(C6832="","",UPPER(LEFT(SUBSTITUTE(C6832," ",""),3))&amp;"-"&amp;TEXT(B6832,"AAMMDD")&amp;"-1")</f>
        <v/>
      </c>
    </row>
    <row r="6833" spans="20:20" hidden="1">
      <c r="T6833" t="str">
        <f>IF(C6833="","",UPPER(LEFT(SUBSTITUTE(C6833," ",""),3))&amp;"-"&amp;TEXT(B6833,"AAMMDD")&amp;"-1")</f>
        <v/>
      </c>
    </row>
    <row r="6834" spans="20:20" hidden="1">
      <c r="T6834" t="str">
        <f>IF(C6834="","",UPPER(LEFT(SUBSTITUTE(C6834," ",""),3))&amp;"-"&amp;TEXT(B6834,"AAMMDD")&amp;"-1")</f>
        <v/>
      </c>
    </row>
    <row r="6835" spans="20:20" hidden="1">
      <c r="T6835" t="str">
        <f>IF(C6835="","",UPPER(LEFT(SUBSTITUTE(C6835," ",""),3))&amp;"-"&amp;TEXT(B6835,"AAMMDD")&amp;"-1")</f>
        <v/>
      </c>
    </row>
    <row r="6836" spans="20:20" hidden="1">
      <c r="T6836" t="str">
        <f>IF(C6836="","",UPPER(LEFT(SUBSTITUTE(C6836," ",""),3))&amp;"-"&amp;TEXT(B6836,"AAMMDD")&amp;"-1")</f>
        <v/>
      </c>
    </row>
    <row r="6837" spans="20:20" hidden="1">
      <c r="T6837" t="str">
        <f>IF(C6837="","",UPPER(LEFT(SUBSTITUTE(C6837," ",""),3))&amp;"-"&amp;TEXT(B6837,"AAMMDD")&amp;"-1")</f>
        <v/>
      </c>
    </row>
    <row r="6838" spans="20:20" hidden="1">
      <c r="T6838" t="str">
        <f>IF(C6838="","",UPPER(LEFT(SUBSTITUTE(C6838," ",""),3))&amp;"-"&amp;TEXT(B6838,"AAMMDD")&amp;"-1")</f>
        <v/>
      </c>
    </row>
    <row r="6839" spans="20:20" hidden="1">
      <c r="T6839" t="str">
        <f>IF(C6839="","",UPPER(LEFT(SUBSTITUTE(C6839," ",""),3))&amp;"-"&amp;TEXT(B6839,"AAMMDD")&amp;"-1")</f>
        <v/>
      </c>
    </row>
    <row r="6840" spans="20:20" hidden="1">
      <c r="T6840" t="str">
        <f>IF(C6840="","",UPPER(LEFT(SUBSTITUTE(C6840," ",""),3))&amp;"-"&amp;TEXT(B6840,"AAMMDD")&amp;"-1")</f>
        <v/>
      </c>
    </row>
    <row r="6841" spans="20:20" hidden="1">
      <c r="T6841" t="str">
        <f>IF(C6841="","",UPPER(LEFT(SUBSTITUTE(C6841," ",""),3))&amp;"-"&amp;TEXT(B6841,"AAMMDD")&amp;"-1")</f>
        <v/>
      </c>
    </row>
    <row r="6842" spans="20:20" hidden="1">
      <c r="T6842" t="str">
        <f>IF(C6842="","",UPPER(LEFT(SUBSTITUTE(C6842," ",""),3))&amp;"-"&amp;TEXT(B6842,"AAMMDD")&amp;"-1")</f>
        <v/>
      </c>
    </row>
    <row r="6843" spans="20:20" hidden="1">
      <c r="T6843" t="str">
        <f>IF(C6843="","",UPPER(LEFT(SUBSTITUTE(C6843," ",""),3))&amp;"-"&amp;TEXT(B6843,"AAMMDD")&amp;"-1")</f>
        <v/>
      </c>
    </row>
    <row r="6844" spans="20:20" hidden="1">
      <c r="T6844" t="str">
        <f>IF(C6844="","",UPPER(LEFT(SUBSTITUTE(C6844," ",""),3))&amp;"-"&amp;TEXT(B6844,"AAMMDD")&amp;"-1")</f>
        <v/>
      </c>
    </row>
    <row r="6845" spans="20:20" hidden="1">
      <c r="T6845" t="str">
        <f>IF(C6845="","",UPPER(LEFT(SUBSTITUTE(C6845," ",""),3))&amp;"-"&amp;TEXT(B6845,"AAMMDD")&amp;"-1")</f>
        <v/>
      </c>
    </row>
    <row r="6846" spans="20:20" hidden="1">
      <c r="T6846" t="str">
        <f>IF(C6846="","",UPPER(LEFT(SUBSTITUTE(C6846," ",""),3))&amp;"-"&amp;TEXT(B6846,"AAMMDD")&amp;"-1")</f>
        <v/>
      </c>
    </row>
    <row r="6847" spans="20:20" hidden="1">
      <c r="T6847" t="str">
        <f>IF(C6847="","",UPPER(LEFT(SUBSTITUTE(C6847," ",""),3))&amp;"-"&amp;TEXT(B6847,"AAMMDD")&amp;"-1")</f>
        <v/>
      </c>
    </row>
    <row r="6848" spans="20:20" hidden="1">
      <c r="T6848" t="str">
        <f>IF(C6848="","",UPPER(LEFT(SUBSTITUTE(C6848," ",""),3))&amp;"-"&amp;TEXT(B6848,"AAMMDD")&amp;"-1")</f>
        <v/>
      </c>
    </row>
    <row r="6849" spans="20:20" hidden="1">
      <c r="T6849" t="str">
        <f>IF(C6849="","",UPPER(LEFT(SUBSTITUTE(C6849," ",""),3))&amp;"-"&amp;TEXT(B6849,"AAMMDD")&amp;"-1")</f>
        <v/>
      </c>
    </row>
    <row r="6850" spans="20:20" hidden="1">
      <c r="T6850" t="str">
        <f>IF(C6850="","",UPPER(LEFT(SUBSTITUTE(C6850," ",""),3))&amp;"-"&amp;TEXT(B6850,"AAMMDD")&amp;"-1")</f>
        <v/>
      </c>
    </row>
    <row r="6851" spans="20:20" hidden="1">
      <c r="T6851" t="str">
        <f>IF(C6851="","",UPPER(LEFT(SUBSTITUTE(C6851," ",""),3))&amp;"-"&amp;TEXT(B6851,"AAMMDD")&amp;"-1")</f>
        <v/>
      </c>
    </row>
    <row r="6852" spans="20:20" hidden="1">
      <c r="T6852" t="str">
        <f>IF(C6852="","",UPPER(LEFT(SUBSTITUTE(C6852," ",""),3))&amp;"-"&amp;TEXT(B6852,"AAMMDD")&amp;"-1")</f>
        <v/>
      </c>
    </row>
    <row r="6853" spans="20:20" hidden="1">
      <c r="T6853" t="str">
        <f>IF(C6853="","",UPPER(LEFT(SUBSTITUTE(C6853," ",""),3))&amp;"-"&amp;TEXT(B6853,"AAMMDD")&amp;"-1")</f>
        <v/>
      </c>
    </row>
    <row r="6854" spans="20:20" hidden="1">
      <c r="T6854" t="str">
        <f>IF(C6854="","",UPPER(LEFT(SUBSTITUTE(C6854," ",""),3))&amp;"-"&amp;TEXT(B6854,"AAMMDD")&amp;"-1")</f>
        <v/>
      </c>
    </row>
    <row r="6855" spans="20:20" hidden="1">
      <c r="T6855" t="str">
        <f>IF(C6855="","",UPPER(LEFT(SUBSTITUTE(C6855," ",""),3))&amp;"-"&amp;TEXT(B6855,"AAMMDD")&amp;"-1")</f>
        <v/>
      </c>
    </row>
    <row r="6856" spans="20:20" hidden="1">
      <c r="T6856" t="str">
        <f>IF(C6856="","",UPPER(LEFT(SUBSTITUTE(C6856," ",""),3))&amp;"-"&amp;TEXT(B6856,"AAMMDD")&amp;"-1")</f>
        <v/>
      </c>
    </row>
    <row r="6857" spans="20:20" hidden="1">
      <c r="T6857" t="str">
        <f>IF(C6857="","",UPPER(LEFT(SUBSTITUTE(C6857," ",""),3))&amp;"-"&amp;TEXT(B6857,"AAMMDD")&amp;"-1")</f>
        <v/>
      </c>
    </row>
    <row r="6858" spans="20:20" hidden="1">
      <c r="T6858" t="str">
        <f>IF(C6858="","",UPPER(LEFT(SUBSTITUTE(C6858," ",""),3))&amp;"-"&amp;TEXT(B6858,"AAMMDD")&amp;"-1")</f>
        <v/>
      </c>
    </row>
    <row r="6859" spans="20:20" hidden="1">
      <c r="T6859" t="str">
        <f>IF(C6859="","",UPPER(LEFT(SUBSTITUTE(C6859," ",""),3))&amp;"-"&amp;TEXT(B6859,"AAMMDD")&amp;"-1")</f>
        <v/>
      </c>
    </row>
    <row r="6860" spans="20:20" hidden="1">
      <c r="T6860" t="str">
        <f>IF(C6860="","",UPPER(LEFT(SUBSTITUTE(C6860," ",""),3))&amp;"-"&amp;TEXT(B6860,"AAMMDD")&amp;"-1")</f>
        <v/>
      </c>
    </row>
    <row r="6861" spans="20:20" hidden="1">
      <c r="T6861" t="str">
        <f>IF(C6861="","",UPPER(LEFT(SUBSTITUTE(C6861," ",""),3))&amp;"-"&amp;TEXT(B6861,"AAMMDD")&amp;"-1")</f>
        <v/>
      </c>
    </row>
    <row r="6862" spans="20:20" hidden="1">
      <c r="T6862" t="str">
        <f>IF(C6862="","",UPPER(LEFT(SUBSTITUTE(C6862," ",""),3))&amp;"-"&amp;TEXT(B6862,"AAMMDD")&amp;"-1")</f>
        <v/>
      </c>
    </row>
    <row r="6863" spans="20:20" hidden="1">
      <c r="T6863" t="str">
        <f>IF(C6863="","",UPPER(LEFT(SUBSTITUTE(C6863," ",""),3))&amp;"-"&amp;TEXT(B6863,"AAMMDD")&amp;"-1")</f>
        <v/>
      </c>
    </row>
    <row r="6864" spans="20:20" hidden="1">
      <c r="T6864" t="str">
        <f>IF(C6864="","",UPPER(LEFT(SUBSTITUTE(C6864," ",""),3))&amp;"-"&amp;TEXT(B6864,"AAMMDD")&amp;"-1")</f>
        <v/>
      </c>
    </row>
    <row r="6865" spans="20:20" hidden="1">
      <c r="T6865" t="str">
        <f>IF(C6865="","",UPPER(LEFT(SUBSTITUTE(C6865," ",""),3))&amp;"-"&amp;TEXT(B6865,"AAMMDD")&amp;"-1")</f>
        <v/>
      </c>
    </row>
    <row r="6866" spans="20:20" hidden="1">
      <c r="T6866" t="str">
        <f>IF(C6866="","",UPPER(LEFT(SUBSTITUTE(C6866," ",""),3))&amp;"-"&amp;TEXT(B6866,"AAMMDD")&amp;"-1")</f>
        <v/>
      </c>
    </row>
    <row r="6867" spans="20:20" hidden="1">
      <c r="T6867" t="str">
        <f>IF(C6867="","",UPPER(LEFT(SUBSTITUTE(C6867," ",""),3))&amp;"-"&amp;TEXT(B6867,"AAMMDD")&amp;"-1")</f>
        <v/>
      </c>
    </row>
    <row r="6868" spans="20:20" hidden="1">
      <c r="T6868" t="str">
        <f>IF(C6868="","",UPPER(LEFT(SUBSTITUTE(C6868," ",""),3))&amp;"-"&amp;TEXT(B6868,"AAMMDD")&amp;"-1")</f>
        <v/>
      </c>
    </row>
    <row r="6869" spans="20:20" hidden="1">
      <c r="T6869" t="str">
        <f>IF(C6869="","",UPPER(LEFT(SUBSTITUTE(C6869," ",""),3))&amp;"-"&amp;TEXT(B6869,"AAMMDD")&amp;"-1")</f>
        <v/>
      </c>
    </row>
    <row r="6870" spans="20:20" hidden="1">
      <c r="T6870" t="str">
        <f>IF(C6870="","",UPPER(LEFT(SUBSTITUTE(C6870," ",""),3))&amp;"-"&amp;TEXT(B6870,"AAMMDD")&amp;"-1")</f>
        <v/>
      </c>
    </row>
    <row r="6871" spans="20:20" hidden="1">
      <c r="T6871" t="str">
        <f>IF(C6871="","",UPPER(LEFT(SUBSTITUTE(C6871," ",""),3))&amp;"-"&amp;TEXT(B6871,"AAMMDD")&amp;"-1")</f>
        <v/>
      </c>
    </row>
    <row r="6872" spans="20:20" hidden="1">
      <c r="T6872" t="str">
        <f>IF(C6872="","",UPPER(LEFT(SUBSTITUTE(C6872," ",""),3))&amp;"-"&amp;TEXT(B6872,"AAMMDD")&amp;"-1")</f>
        <v/>
      </c>
    </row>
    <row r="6873" spans="20:20" hidden="1">
      <c r="T6873" t="str">
        <f>IF(C6873="","",UPPER(LEFT(SUBSTITUTE(C6873," ",""),3))&amp;"-"&amp;TEXT(B6873,"AAMMDD")&amp;"-1")</f>
        <v/>
      </c>
    </row>
    <row r="6874" spans="20:20" hidden="1">
      <c r="T6874" t="str">
        <f>IF(C6874="","",UPPER(LEFT(SUBSTITUTE(C6874," ",""),3))&amp;"-"&amp;TEXT(B6874,"AAMMDD")&amp;"-1")</f>
        <v/>
      </c>
    </row>
    <row r="6875" spans="20:20" hidden="1">
      <c r="T6875" t="str">
        <f>IF(C6875="","",UPPER(LEFT(SUBSTITUTE(C6875," ",""),3))&amp;"-"&amp;TEXT(B6875,"AAMMDD")&amp;"-1")</f>
        <v/>
      </c>
    </row>
    <row r="6876" spans="20:20" hidden="1">
      <c r="T6876" t="str">
        <f>IF(C6876="","",UPPER(LEFT(SUBSTITUTE(C6876," ",""),3))&amp;"-"&amp;TEXT(B6876,"AAMMDD")&amp;"-1")</f>
        <v/>
      </c>
    </row>
    <row r="6877" spans="20:20" hidden="1">
      <c r="T6877" t="str">
        <f>IF(C6877="","",UPPER(LEFT(SUBSTITUTE(C6877," ",""),3))&amp;"-"&amp;TEXT(B6877,"AAMMDD")&amp;"-1")</f>
        <v/>
      </c>
    </row>
    <row r="6878" spans="20:20" hidden="1">
      <c r="T6878" t="str">
        <f>IF(C6878="","",UPPER(LEFT(SUBSTITUTE(C6878," ",""),3))&amp;"-"&amp;TEXT(B6878,"AAMMDD")&amp;"-1")</f>
        <v/>
      </c>
    </row>
    <row r="6879" spans="20:20" hidden="1">
      <c r="T6879" t="str">
        <f>IF(C6879="","",UPPER(LEFT(SUBSTITUTE(C6879," ",""),3))&amp;"-"&amp;TEXT(B6879,"AAMMDD")&amp;"-1")</f>
        <v/>
      </c>
    </row>
    <row r="6880" spans="20:20" hidden="1">
      <c r="T6880" t="str">
        <f>IF(C6880="","",UPPER(LEFT(SUBSTITUTE(C6880," ",""),3))&amp;"-"&amp;TEXT(B6880,"AAMMDD")&amp;"-1")</f>
        <v/>
      </c>
    </row>
    <row r="6881" spans="20:20" hidden="1">
      <c r="T6881" t="str">
        <f>IF(C6881="","",UPPER(LEFT(SUBSTITUTE(C6881," ",""),3))&amp;"-"&amp;TEXT(B6881,"AAMMDD")&amp;"-1")</f>
        <v/>
      </c>
    </row>
    <row r="6882" spans="20:20" hidden="1">
      <c r="T6882" t="str">
        <f>IF(C6882="","",UPPER(LEFT(SUBSTITUTE(C6882," ",""),3))&amp;"-"&amp;TEXT(B6882,"AAMMDD")&amp;"-1")</f>
        <v/>
      </c>
    </row>
    <row r="6883" spans="20:20" hidden="1">
      <c r="T6883" t="str">
        <f>IF(C6883="","",UPPER(LEFT(SUBSTITUTE(C6883," ",""),3))&amp;"-"&amp;TEXT(B6883,"AAMMDD")&amp;"-1")</f>
        <v/>
      </c>
    </row>
    <row r="6884" spans="20:20" hidden="1">
      <c r="T6884" t="str">
        <f>IF(C6884="","",UPPER(LEFT(SUBSTITUTE(C6884," ",""),3))&amp;"-"&amp;TEXT(B6884,"AAMMDD")&amp;"-1")</f>
        <v/>
      </c>
    </row>
    <row r="6885" spans="20:20" hidden="1">
      <c r="T6885" t="str">
        <f>IF(C6885="","",UPPER(LEFT(SUBSTITUTE(C6885," ",""),3))&amp;"-"&amp;TEXT(B6885,"AAMMDD")&amp;"-1")</f>
        <v/>
      </c>
    </row>
    <row r="6886" spans="20:20" hidden="1">
      <c r="T6886" t="str">
        <f>IF(C6886="","",UPPER(LEFT(SUBSTITUTE(C6886," ",""),3))&amp;"-"&amp;TEXT(B6886,"AAMMDD")&amp;"-1")</f>
        <v/>
      </c>
    </row>
    <row r="6887" spans="20:20" hidden="1">
      <c r="T6887" t="str">
        <f>IF(C6887="","",UPPER(LEFT(SUBSTITUTE(C6887," ",""),3))&amp;"-"&amp;TEXT(B6887,"AAMMDD")&amp;"-1")</f>
        <v/>
      </c>
    </row>
    <row r="6888" spans="20:20" hidden="1">
      <c r="T6888" t="str">
        <f>IF(C6888="","",UPPER(LEFT(SUBSTITUTE(C6888," ",""),3))&amp;"-"&amp;TEXT(B6888,"AAMMDD")&amp;"-1")</f>
        <v/>
      </c>
    </row>
    <row r="6889" spans="20:20" hidden="1">
      <c r="T6889" t="str">
        <f>IF(C6889="","",UPPER(LEFT(SUBSTITUTE(C6889," ",""),3))&amp;"-"&amp;TEXT(B6889,"AAMMDD")&amp;"-1")</f>
        <v/>
      </c>
    </row>
    <row r="6890" spans="20:20" hidden="1">
      <c r="T6890" t="str">
        <f>IF(C6890="","",UPPER(LEFT(SUBSTITUTE(C6890," ",""),3))&amp;"-"&amp;TEXT(B6890,"AAMMDD")&amp;"-1")</f>
        <v/>
      </c>
    </row>
    <row r="6891" spans="20:20" hidden="1">
      <c r="T6891" t="str">
        <f>IF(C6891="","",UPPER(LEFT(SUBSTITUTE(C6891," ",""),3))&amp;"-"&amp;TEXT(B6891,"AAMMDD")&amp;"-1")</f>
        <v/>
      </c>
    </row>
    <row r="6892" spans="20:20" hidden="1">
      <c r="T6892" t="str">
        <f>IF(C6892="","",UPPER(LEFT(SUBSTITUTE(C6892," ",""),3))&amp;"-"&amp;TEXT(B6892,"AAMMDD")&amp;"-1")</f>
        <v/>
      </c>
    </row>
    <row r="6893" spans="20:20" hidden="1">
      <c r="T6893" t="str">
        <f>IF(C6893="","",UPPER(LEFT(SUBSTITUTE(C6893," ",""),3))&amp;"-"&amp;TEXT(B6893,"AAMMDD")&amp;"-1")</f>
        <v/>
      </c>
    </row>
    <row r="6894" spans="20:20" hidden="1">
      <c r="T6894" t="str">
        <f>IF(C6894="","",UPPER(LEFT(SUBSTITUTE(C6894," ",""),3))&amp;"-"&amp;TEXT(B6894,"AAMMDD")&amp;"-1")</f>
        <v/>
      </c>
    </row>
    <row r="6895" spans="20:20" hidden="1">
      <c r="T6895" t="str">
        <f>IF(C6895="","",UPPER(LEFT(SUBSTITUTE(C6895," ",""),3))&amp;"-"&amp;TEXT(B6895,"AAMMDD")&amp;"-1")</f>
        <v/>
      </c>
    </row>
    <row r="6896" spans="20:20" hidden="1">
      <c r="T6896" t="str">
        <f>IF(C6896="","",UPPER(LEFT(SUBSTITUTE(C6896," ",""),3))&amp;"-"&amp;TEXT(B6896,"AAMMDD")&amp;"-1")</f>
        <v/>
      </c>
    </row>
    <row r="6897" spans="20:20" hidden="1">
      <c r="T6897" t="str">
        <f>IF(C6897="","",UPPER(LEFT(SUBSTITUTE(C6897," ",""),3))&amp;"-"&amp;TEXT(B6897,"AAMMDD")&amp;"-1")</f>
        <v/>
      </c>
    </row>
    <row r="6898" spans="20:20" hidden="1">
      <c r="T6898" t="str">
        <f>IF(C6898="","",UPPER(LEFT(SUBSTITUTE(C6898," ",""),3))&amp;"-"&amp;TEXT(B6898,"AAMMDD")&amp;"-1")</f>
        <v/>
      </c>
    </row>
    <row r="6899" spans="20:20" hidden="1">
      <c r="T6899" t="str">
        <f>IF(C6899="","",UPPER(LEFT(SUBSTITUTE(C6899," ",""),3))&amp;"-"&amp;TEXT(B6899,"AAMMDD")&amp;"-1")</f>
        <v/>
      </c>
    </row>
    <row r="6900" spans="20:20" hidden="1">
      <c r="T6900" t="str">
        <f>IF(C6900="","",UPPER(LEFT(SUBSTITUTE(C6900," ",""),3))&amp;"-"&amp;TEXT(B6900,"AAMMDD")&amp;"-1")</f>
        <v/>
      </c>
    </row>
    <row r="6901" spans="20:20" hidden="1">
      <c r="T6901" t="str">
        <f>IF(C6901="","",UPPER(LEFT(SUBSTITUTE(C6901," ",""),3))&amp;"-"&amp;TEXT(B6901,"AAMMDD")&amp;"-1")</f>
        <v/>
      </c>
    </row>
    <row r="6902" spans="20:20" hidden="1">
      <c r="T6902" t="str">
        <f>IF(C6902="","",UPPER(LEFT(SUBSTITUTE(C6902," ",""),3))&amp;"-"&amp;TEXT(B6902,"AAMMDD")&amp;"-1")</f>
        <v/>
      </c>
    </row>
    <row r="6903" spans="20:20" hidden="1">
      <c r="T6903" t="str">
        <f>IF(C6903="","",UPPER(LEFT(SUBSTITUTE(C6903," ",""),3))&amp;"-"&amp;TEXT(B6903,"AAMMDD")&amp;"-1")</f>
        <v/>
      </c>
    </row>
    <row r="6904" spans="20:20" hidden="1">
      <c r="T6904" t="str">
        <f>IF(C6904="","",UPPER(LEFT(SUBSTITUTE(C6904," ",""),3))&amp;"-"&amp;TEXT(B6904,"AAMMDD")&amp;"-1")</f>
        <v/>
      </c>
    </row>
    <row r="6905" spans="20:20" hidden="1">
      <c r="T6905" t="str">
        <f>IF(C6905="","",UPPER(LEFT(SUBSTITUTE(C6905," ",""),3))&amp;"-"&amp;TEXT(B6905,"AAMMDD")&amp;"-1")</f>
        <v/>
      </c>
    </row>
    <row r="6906" spans="20:20" hidden="1">
      <c r="T6906" t="str">
        <f>IF(C6906="","",UPPER(LEFT(SUBSTITUTE(C6906," ",""),3))&amp;"-"&amp;TEXT(B6906,"AAMMDD")&amp;"-1")</f>
        <v/>
      </c>
    </row>
    <row r="6907" spans="20:20" hidden="1">
      <c r="T6907" t="str">
        <f>IF(C6907="","",UPPER(LEFT(SUBSTITUTE(C6907," ",""),3))&amp;"-"&amp;TEXT(B6907,"AAMMDD")&amp;"-1")</f>
        <v/>
      </c>
    </row>
    <row r="6908" spans="20:20" hidden="1">
      <c r="T6908" t="str">
        <f>IF(C6908="","",UPPER(LEFT(SUBSTITUTE(C6908," ",""),3))&amp;"-"&amp;TEXT(B6908,"AAMMDD")&amp;"-1")</f>
        <v/>
      </c>
    </row>
    <row r="6909" spans="20:20" hidden="1">
      <c r="T6909" t="str">
        <f>IF(C6909="","",UPPER(LEFT(SUBSTITUTE(C6909," ",""),3))&amp;"-"&amp;TEXT(B6909,"AAMMDD")&amp;"-1")</f>
        <v/>
      </c>
    </row>
    <row r="6910" spans="20:20" hidden="1">
      <c r="T6910" t="str">
        <f>IF(C6910="","",UPPER(LEFT(SUBSTITUTE(C6910," ",""),3))&amp;"-"&amp;TEXT(B6910,"AAMMDD")&amp;"-1")</f>
        <v/>
      </c>
    </row>
    <row r="6911" spans="20:20" hidden="1">
      <c r="T6911" t="str">
        <f>IF(C6911="","",UPPER(LEFT(SUBSTITUTE(C6911," ",""),3))&amp;"-"&amp;TEXT(B6911,"AAMMDD")&amp;"-1")</f>
        <v/>
      </c>
    </row>
    <row r="6912" spans="20:20" hidden="1">
      <c r="T6912" t="str">
        <f>IF(C6912="","",UPPER(LEFT(SUBSTITUTE(C6912," ",""),3))&amp;"-"&amp;TEXT(B6912,"AAMMDD")&amp;"-1")</f>
        <v/>
      </c>
    </row>
    <row r="6913" spans="20:20" hidden="1">
      <c r="T6913" t="str">
        <f>IF(C6913="","",UPPER(LEFT(SUBSTITUTE(C6913," ",""),3))&amp;"-"&amp;TEXT(B6913,"AAMMDD")&amp;"-1")</f>
        <v/>
      </c>
    </row>
    <row r="6914" spans="20:20" hidden="1">
      <c r="T6914" t="str">
        <f>IF(C6914="","",UPPER(LEFT(SUBSTITUTE(C6914," ",""),3))&amp;"-"&amp;TEXT(B6914,"AAMMDD")&amp;"-1")</f>
        <v/>
      </c>
    </row>
    <row r="6915" spans="20:20" hidden="1">
      <c r="T6915" t="str">
        <f>IF(C6915="","",UPPER(LEFT(SUBSTITUTE(C6915," ",""),3))&amp;"-"&amp;TEXT(B6915,"AAMMDD")&amp;"-1")</f>
        <v/>
      </c>
    </row>
    <row r="6916" spans="20:20" hidden="1">
      <c r="T6916" t="str">
        <f>IF(C6916="","",UPPER(LEFT(SUBSTITUTE(C6916," ",""),3))&amp;"-"&amp;TEXT(B6916,"AAMMDD")&amp;"-1")</f>
        <v/>
      </c>
    </row>
    <row r="6917" spans="20:20" hidden="1">
      <c r="T6917" t="str">
        <f>IF(C6917="","",UPPER(LEFT(SUBSTITUTE(C6917," ",""),3))&amp;"-"&amp;TEXT(B6917,"AAMMDD")&amp;"-1")</f>
        <v/>
      </c>
    </row>
    <row r="6918" spans="20:20" hidden="1">
      <c r="T6918" t="str">
        <f>IF(C6918="","",UPPER(LEFT(SUBSTITUTE(C6918," ",""),3))&amp;"-"&amp;TEXT(B6918,"AAMMDD")&amp;"-1")</f>
        <v/>
      </c>
    </row>
    <row r="6919" spans="20:20" hidden="1">
      <c r="T6919" t="str">
        <f>IF(C6919="","",UPPER(LEFT(SUBSTITUTE(C6919," ",""),3))&amp;"-"&amp;TEXT(B6919,"AAMMDD")&amp;"-1")</f>
        <v/>
      </c>
    </row>
    <row r="6920" spans="20:20" hidden="1">
      <c r="T6920" t="str">
        <f>IF(C6920="","",UPPER(LEFT(SUBSTITUTE(C6920," ",""),3))&amp;"-"&amp;TEXT(B6920,"AAMMDD")&amp;"-1")</f>
        <v/>
      </c>
    </row>
    <row r="6921" spans="20:20" hidden="1">
      <c r="T6921" t="str">
        <f>IF(C6921="","",UPPER(LEFT(SUBSTITUTE(C6921," ",""),3))&amp;"-"&amp;TEXT(B6921,"AAMMDD")&amp;"-1")</f>
        <v/>
      </c>
    </row>
    <row r="6922" spans="20:20" hidden="1">
      <c r="T6922" t="str">
        <f>IF(C6922="","",UPPER(LEFT(SUBSTITUTE(C6922," ",""),3))&amp;"-"&amp;TEXT(B6922,"AAMMDD")&amp;"-1")</f>
        <v/>
      </c>
    </row>
    <row r="6923" spans="20:20" hidden="1">
      <c r="T6923" t="str">
        <f>IF(C6923="","",UPPER(LEFT(SUBSTITUTE(C6923," ",""),3))&amp;"-"&amp;TEXT(B6923,"AAMMDD")&amp;"-1")</f>
        <v/>
      </c>
    </row>
    <row r="6924" spans="20:20" hidden="1">
      <c r="T6924" t="str">
        <f>IF(C6924="","",UPPER(LEFT(SUBSTITUTE(C6924," ",""),3))&amp;"-"&amp;TEXT(B6924,"AAMMDD")&amp;"-1")</f>
        <v/>
      </c>
    </row>
    <row r="6925" spans="20:20" hidden="1">
      <c r="T6925" t="str">
        <f>IF(C6925="","",UPPER(LEFT(SUBSTITUTE(C6925," ",""),3))&amp;"-"&amp;TEXT(B6925,"AAMMDD")&amp;"-1")</f>
        <v/>
      </c>
    </row>
    <row r="6926" spans="20:20" hidden="1">
      <c r="T6926" t="str">
        <f>IF(C6926="","",UPPER(LEFT(SUBSTITUTE(C6926," ",""),3))&amp;"-"&amp;TEXT(B6926,"AAMMDD")&amp;"-1")</f>
        <v/>
      </c>
    </row>
    <row r="6927" spans="20:20" hidden="1">
      <c r="T6927" t="str">
        <f>IF(C6927="","",UPPER(LEFT(SUBSTITUTE(C6927," ",""),3))&amp;"-"&amp;TEXT(B6927,"AAMMDD")&amp;"-1")</f>
        <v/>
      </c>
    </row>
    <row r="6928" spans="20:20" hidden="1">
      <c r="T6928" t="str">
        <f>IF(C6928="","",UPPER(LEFT(SUBSTITUTE(C6928," ",""),3))&amp;"-"&amp;TEXT(B6928,"AAMMDD")&amp;"-1")</f>
        <v/>
      </c>
    </row>
    <row r="6929" spans="20:20" hidden="1">
      <c r="T6929" t="str">
        <f>IF(C6929="","",UPPER(LEFT(SUBSTITUTE(C6929," ",""),3))&amp;"-"&amp;TEXT(B6929,"AAMMDD")&amp;"-1")</f>
        <v/>
      </c>
    </row>
    <row r="6930" spans="20:20" hidden="1">
      <c r="T6930" t="str">
        <f>IF(C6930="","",UPPER(LEFT(SUBSTITUTE(C6930," ",""),3))&amp;"-"&amp;TEXT(B6930,"AAMMDD")&amp;"-1")</f>
        <v/>
      </c>
    </row>
    <row r="6931" spans="20:20" hidden="1">
      <c r="T6931" t="str">
        <f>IF(C6931="","",UPPER(LEFT(SUBSTITUTE(C6931," ",""),3))&amp;"-"&amp;TEXT(B6931,"AAMMDD")&amp;"-1")</f>
        <v/>
      </c>
    </row>
    <row r="6932" spans="20:20" hidden="1">
      <c r="T6932" t="str">
        <f>IF(C6932="","",UPPER(LEFT(SUBSTITUTE(C6932," ",""),3))&amp;"-"&amp;TEXT(B6932,"AAMMDD")&amp;"-1")</f>
        <v/>
      </c>
    </row>
    <row r="6933" spans="20:20" hidden="1">
      <c r="T6933" t="str">
        <f>IF(C6933="","",UPPER(LEFT(SUBSTITUTE(C6933," ",""),3))&amp;"-"&amp;TEXT(B6933,"AAMMDD")&amp;"-1")</f>
        <v/>
      </c>
    </row>
    <row r="6934" spans="20:20" hidden="1">
      <c r="T6934" t="str">
        <f>IF(C6934="","",UPPER(LEFT(SUBSTITUTE(C6934," ",""),3))&amp;"-"&amp;TEXT(B6934,"AAMMDD")&amp;"-1")</f>
        <v/>
      </c>
    </row>
    <row r="6935" spans="20:20" hidden="1">
      <c r="T6935" t="str">
        <f>IF(C6935="","",UPPER(LEFT(SUBSTITUTE(C6935," ",""),3))&amp;"-"&amp;TEXT(B6935,"AAMMDD")&amp;"-1")</f>
        <v/>
      </c>
    </row>
    <row r="6936" spans="20:20" hidden="1">
      <c r="T6936" t="str">
        <f>IF(C6936="","",UPPER(LEFT(SUBSTITUTE(C6936," ",""),3))&amp;"-"&amp;TEXT(B6936,"AAMMDD")&amp;"-1")</f>
        <v/>
      </c>
    </row>
    <row r="6937" spans="20:20" hidden="1">
      <c r="T6937" t="str">
        <f>IF(C6937="","",UPPER(LEFT(SUBSTITUTE(C6937," ",""),3))&amp;"-"&amp;TEXT(B6937,"AAMMDD")&amp;"-1")</f>
        <v/>
      </c>
    </row>
    <row r="6938" spans="20:20" hidden="1">
      <c r="T6938" t="str">
        <f>IF(C6938="","",UPPER(LEFT(SUBSTITUTE(C6938," ",""),3))&amp;"-"&amp;TEXT(B6938,"AAMMDD")&amp;"-1")</f>
        <v/>
      </c>
    </row>
    <row r="6939" spans="20:20" hidden="1">
      <c r="T6939" t="str">
        <f>IF(C6939="","",UPPER(LEFT(SUBSTITUTE(C6939," ",""),3))&amp;"-"&amp;TEXT(B6939,"AAMMDD")&amp;"-1")</f>
        <v/>
      </c>
    </row>
    <row r="6940" spans="20:20" hidden="1">
      <c r="T6940" t="str">
        <f>IF(C6940="","",UPPER(LEFT(SUBSTITUTE(C6940," ",""),3))&amp;"-"&amp;TEXT(B6940,"AAMMDD")&amp;"-1")</f>
        <v/>
      </c>
    </row>
    <row r="6941" spans="20:20" hidden="1">
      <c r="T6941" t="str">
        <f>IF(C6941="","",UPPER(LEFT(SUBSTITUTE(C6941," ",""),3))&amp;"-"&amp;TEXT(B6941,"AAMMDD")&amp;"-1")</f>
        <v/>
      </c>
    </row>
    <row r="6942" spans="20:20" hidden="1">
      <c r="T6942" t="str">
        <f>IF(C6942="","",UPPER(LEFT(SUBSTITUTE(C6942," ",""),3))&amp;"-"&amp;TEXT(B6942,"AAMMDD")&amp;"-1")</f>
        <v/>
      </c>
    </row>
    <row r="6943" spans="20:20" hidden="1">
      <c r="T6943" t="str">
        <f>IF(C6943="","",UPPER(LEFT(SUBSTITUTE(C6943," ",""),3))&amp;"-"&amp;TEXT(B6943,"AAMMDD")&amp;"-1")</f>
        <v/>
      </c>
    </row>
    <row r="6944" spans="20:20" hidden="1">
      <c r="T6944" t="str">
        <f>IF(C6944="","",UPPER(LEFT(SUBSTITUTE(C6944," ",""),3))&amp;"-"&amp;TEXT(B6944,"AAMMDD")&amp;"-1")</f>
        <v/>
      </c>
    </row>
    <row r="6945" spans="20:20" hidden="1">
      <c r="T6945" t="str">
        <f>IF(C6945="","",UPPER(LEFT(SUBSTITUTE(C6945," ",""),3))&amp;"-"&amp;TEXT(B6945,"AAMMDD")&amp;"-1")</f>
        <v/>
      </c>
    </row>
    <row r="6946" spans="20:20" hidden="1">
      <c r="T6946" t="str">
        <f>IF(C6946="","",UPPER(LEFT(SUBSTITUTE(C6946," ",""),3))&amp;"-"&amp;TEXT(B6946,"AAMMDD")&amp;"-1")</f>
        <v/>
      </c>
    </row>
    <row r="6947" spans="20:20" hidden="1">
      <c r="T6947" t="str">
        <f>IF(C6947="","",UPPER(LEFT(SUBSTITUTE(C6947," ",""),3))&amp;"-"&amp;TEXT(B6947,"AAMMDD")&amp;"-1")</f>
        <v/>
      </c>
    </row>
    <row r="6948" spans="20:20" hidden="1">
      <c r="T6948" t="str">
        <f>IF(C6948="","",UPPER(LEFT(SUBSTITUTE(C6948," ",""),3))&amp;"-"&amp;TEXT(B6948,"AAMMDD")&amp;"-1")</f>
        <v/>
      </c>
    </row>
    <row r="6949" spans="20:20" hidden="1">
      <c r="T6949" t="str">
        <f>IF(C6949="","",UPPER(LEFT(SUBSTITUTE(C6949," ",""),3))&amp;"-"&amp;TEXT(B6949,"AAMMDD")&amp;"-1")</f>
        <v/>
      </c>
    </row>
    <row r="6950" spans="20:20" hidden="1">
      <c r="T6950" t="str">
        <f>IF(C6950="","",UPPER(LEFT(SUBSTITUTE(C6950," ",""),3))&amp;"-"&amp;TEXT(B6950,"AAMMDD")&amp;"-1")</f>
        <v/>
      </c>
    </row>
    <row r="6951" spans="20:20" hidden="1">
      <c r="T6951" t="str">
        <f>IF(C6951="","",UPPER(LEFT(SUBSTITUTE(C6951," ",""),3))&amp;"-"&amp;TEXT(B6951,"AAMMDD")&amp;"-1")</f>
        <v/>
      </c>
    </row>
    <row r="6952" spans="20:20" hidden="1">
      <c r="T6952" t="str">
        <f>IF(C6952="","",UPPER(LEFT(SUBSTITUTE(C6952," ",""),3))&amp;"-"&amp;TEXT(B6952,"AAMMDD")&amp;"-1")</f>
        <v/>
      </c>
    </row>
    <row r="6953" spans="20:20" hidden="1">
      <c r="T6953" t="str">
        <f>IF(C6953="","",UPPER(LEFT(SUBSTITUTE(C6953," ",""),3))&amp;"-"&amp;TEXT(B6953,"AAMMDD")&amp;"-1")</f>
        <v/>
      </c>
    </row>
    <row r="6954" spans="20:20" hidden="1">
      <c r="T6954" t="str">
        <f>IF(C6954="","",UPPER(LEFT(SUBSTITUTE(C6954," ",""),3))&amp;"-"&amp;TEXT(B6954,"AAMMDD")&amp;"-1")</f>
        <v/>
      </c>
    </row>
    <row r="6955" spans="20:20" hidden="1">
      <c r="T6955" t="str">
        <f>IF(C6955="","",UPPER(LEFT(SUBSTITUTE(C6955," ",""),3))&amp;"-"&amp;TEXT(B6955,"AAMMDD")&amp;"-1")</f>
        <v/>
      </c>
    </row>
    <row r="6956" spans="20:20" hidden="1">
      <c r="T6956" t="str">
        <f>IF(C6956="","",UPPER(LEFT(SUBSTITUTE(C6956," ",""),3))&amp;"-"&amp;TEXT(B6956,"AAMMDD")&amp;"-1")</f>
        <v/>
      </c>
    </row>
    <row r="6957" spans="20:20" hidden="1">
      <c r="T6957" t="str">
        <f>IF(C6957="","",UPPER(LEFT(SUBSTITUTE(C6957," ",""),3))&amp;"-"&amp;TEXT(B6957,"AAMMDD")&amp;"-1")</f>
        <v/>
      </c>
    </row>
    <row r="6958" spans="20:20" hidden="1">
      <c r="T6958" t="str">
        <f>IF(C6958="","",UPPER(LEFT(SUBSTITUTE(C6958," ",""),3))&amp;"-"&amp;TEXT(B6958,"AAMMDD")&amp;"-1")</f>
        <v/>
      </c>
    </row>
    <row r="6959" spans="20:20" hidden="1">
      <c r="T6959" t="str">
        <f>IF(C6959="","",UPPER(LEFT(SUBSTITUTE(C6959," ",""),3))&amp;"-"&amp;TEXT(B6959,"AAMMDD")&amp;"-1")</f>
        <v/>
      </c>
    </row>
    <row r="6960" spans="20:20" hidden="1">
      <c r="T6960" t="str">
        <f>IF(C6960="","",UPPER(LEFT(SUBSTITUTE(C6960," ",""),3))&amp;"-"&amp;TEXT(B6960,"AAMMDD")&amp;"-1")</f>
        <v/>
      </c>
    </row>
    <row r="6961" spans="20:20" hidden="1">
      <c r="T6961" t="str">
        <f>IF(C6961="","",UPPER(LEFT(SUBSTITUTE(C6961," ",""),3))&amp;"-"&amp;TEXT(B6961,"AAMMDD")&amp;"-1")</f>
        <v/>
      </c>
    </row>
    <row r="6962" spans="20:20" hidden="1">
      <c r="T6962" t="str">
        <f>IF(C6962="","",UPPER(LEFT(SUBSTITUTE(C6962," ",""),3))&amp;"-"&amp;TEXT(B6962,"AAMMDD")&amp;"-1")</f>
        <v/>
      </c>
    </row>
    <row r="6963" spans="20:20" hidden="1">
      <c r="T6963" t="str">
        <f>IF(C6963="","",UPPER(LEFT(SUBSTITUTE(C6963," ",""),3))&amp;"-"&amp;TEXT(B6963,"AAMMDD")&amp;"-1")</f>
        <v/>
      </c>
    </row>
    <row r="6964" spans="20:20" hidden="1">
      <c r="T6964" t="str">
        <f>IF(C6964="","",UPPER(LEFT(SUBSTITUTE(C6964," ",""),3))&amp;"-"&amp;TEXT(B6964,"AAMMDD")&amp;"-1")</f>
        <v/>
      </c>
    </row>
    <row r="6965" spans="20:20" hidden="1">
      <c r="T6965" t="str">
        <f>IF(C6965="","",UPPER(LEFT(SUBSTITUTE(C6965," ",""),3))&amp;"-"&amp;TEXT(B6965,"AAMMDD")&amp;"-1")</f>
        <v/>
      </c>
    </row>
    <row r="6966" spans="20:20" hidden="1">
      <c r="T6966" t="str">
        <f>IF(C6966="","",UPPER(LEFT(SUBSTITUTE(C6966," ",""),3))&amp;"-"&amp;TEXT(B6966,"AAMMDD")&amp;"-1")</f>
        <v/>
      </c>
    </row>
    <row r="6967" spans="20:20" hidden="1">
      <c r="T6967" t="str">
        <f>IF(C6967="","",UPPER(LEFT(SUBSTITUTE(C6967," ",""),3))&amp;"-"&amp;TEXT(B6967,"AAMMDD")&amp;"-1")</f>
        <v/>
      </c>
    </row>
    <row r="6968" spans="20:20" hidden="1">
      <c r="T6968" t="str">
        <f>IF(C6968="","",UPPER(LEFT(SUBSTITUTE(C6968," ",""),3))&amp;"-"&amp;TEXT(B6968,"AAMMDD")&amp;"-1")</f>
        <v/>
      </c>
    </row>
    <row r="6969" spans="20:20" hidden="1">
      <c r="T6969" t="str">
        <f>IF(C6969="","",UPPER(LEFT(SUBSTITUTE(C6969," ",""),3))&amp;"-"&amp;TEXT(B6969,"AAMMDD")&amp;"-1")</f>
        <v/>
      </c>
    </row>
    <row r="6970" spans="20:20" hidden="1">
      <c r="T6970" t="str">
        <f>IF(C6970="","",UPPER(LEFT(SUBSTITUTE(C6970," ",""),3))&amp;"-"&amp;TEXT(B6970,"AAMMDD")&amp;"-1")</f>
        <v/>
      </c>
    </row>
    <row r="6971" spans="20:20" hidden="1">
      <c r="T6971" t="str">
        <f>IF(C6971="","",UPPER(LEFT(SUBSTITUTE(C6971," ",""),3))&amp;"-"&amp;TEXT(B6971,"AAMMDD")&amp;"-1")</f>
        <v/>
      </c>
    </row>
    <row r="6972" spans="20:20" hidden="1">
      <c r="T6972" t="str">
        <f>IF(C6972="","",UPPER(LEFT(SUBSTITUTE(C6972," ",""),3))&amp;"-"&amp;TEXT(B6972,"AAMMDD")&amp;"-1")</f>
        <v/>
      </c>
    </row>
    <row r="6973" spans="20:20" hidden="1">
      <c r="T6973" t="str">
        <f>IF(C6973="","",UPPER(LEFT(SUBSTITUTE(C6973," ",""),3))&amp;"-"&amp;TEXT(B6973,"AAMMDD")&amp;"-1")</f>
        <v/>
      </c>
    </row>
    <row r="6974" spans="20:20" hidden="1">
      <c r="T6974" t="str">
        <f>IF(C6974="","",UPPER(LEFT(SUBSTITUTE(C6974," ",""),3))&amp;"-"&amp;TEXT(B6974,"AAMMDD")&amp;"-1")</f>
        <v/>
      </c>
    </row>
    <row r="6975" spans="20:20" hidden="1">
      <c r="T6975" t="str">
        <f>IF(C6975="","",UPPER(LEFT(SUBSTITUTE(C6975," ",""),3))&amp;"-"&amp;TEXT(B6975,"AAMMDD")&amp;"-1")</f>
        <v/>
      </c>
    </row>
    <row r="6976" spans="20:20" hidden="1">
      <c r="T6976" t="str">
        <f>IF(C6976="","",UPPER(LEFT(SUBSTITUTE(C6976," ",""),3))&amp;"-"&amp;TEXT(B6976,"AAMMDD")&amp;"-1")</f>
        <v/>
      </c>
    </row>
    <row r="6977" spans="20:20" hidden="1">
      <c r="T6977" t="str">
        <f>IF(C6977="","",UPPER(LEFT(SUBSTITUTE(C6977," ",""),3))&amp;"-"&amp;TEXT(B6977,"AAMMDD")&amp;"-1")</f>
        <v/>
      </c>
    </row>
    <row r="6978" spans="20:20" hidden="1">
      <c r="T6978" t="str">
        <f>IF(C6978="","",UPPER(LEFT(SUBSTITUTE(C6978," ",""),3))&amp;"-"&amp;TEXT(B6978,"AAMMDD")&amp;"-1")</f>
        <v/>
      </c>
    </row>
    <row r="6979" spans="20:20" hidden="1">
      <c r="T6979" t="str">
        <f>IF(C6979="","",UPPER(LEFT(SUBSTITUTE(C6979," ",""),3))&amp;"-"&amp;TEXT(B6979,"AAMMDD")&amp;"-1")</f>
        <v/>
      </c>
    </row>
    <row r="6980" spans="20:20" hidden="1">
      <c r="T6980" t="str">
        <f>IF(C6980="","",UPPER(LEFT(SUBSTITUTE(C6980," ",""),3))&amp;"-"&amp;TEXT(B6980,"AAMMDD")&amp;"-1")</f>
        <v/>
      </c>
    </row>
    <row r="6981" spans="20:20" hidden="1">
      <c r="T6981" t="str">
        <f>IF(C6981="","",UPPER(LEFT(SUBSTITUTE(C6981," ",""),3))&amp;"-"&amp;TEXT(B6981,"AAMMDD")&amp;"-1")</f>
        <v/>
      </c>
    </row>
    <row r="6982" spans="20:20" hidden="1">
      <c r="T6982" t="str">
        <f>IF(C6982="","",UPPER(LEFT(SUBSTITUTE(C6982," ",""),3))&amp;"-"&amp;TEXT(B6982,"AAMMDD")&amp;"-1")</f>
        <v/>
      </c>
    </row>
    <row r="6983" spans="20:20" hidden="1">
      <c r="T6983" t="str">
        <f>IF(C6983="","",UPPER(LEFT(SUBSTITUTE(C6983," ",""),3))&amp;"-"&amp;TEXT(B6983,"AAMMDD")&amp;"-1")</f>
        <v/>
      </c>
    </row>
    <row r="6984" spans="20:20" hidden="1">
      <c r="T6984" t="str">
        <f>IF(C6984="","",UPPER(LEFT(SUBSTITUTE(C6984," ",""),3))&amp;"-"&amp;TEXT(B6984,"AAMMDD")&amp;"-1")</f>
        <v/>
      </c>
    </row>
    <row r="6985" spans="20:20" hidden="1">
      <c r="T6985" t="str">
        <f>IF(C6985="","",UPPER(LEFT(SUBSTITUTE(C6985," ",""),3))&amp;"-"&amp;TEXT(B6985,"AAMMDD")&amp;"-1")</f>
        <v/>
      </c>
    </row>
    <row r="6986" spans="20:20" hidden="1">
      <c r="T6986" t="str">
        <f>IF(C6986="","",UPPER(LEFT(SUBSTITUTE(C6986," ",""),3))&amp;"-"&amp;TEXT(B6986,"AAMMDD")&amp;"-1")</f>
        <v/>
      </c>
    </row>
    <row r="6987" spans="20:20" hidden="1">
      <c r="T6987" t="str">
        <f>IF(C6987="","",UPPER(LEFT(SUBSTITUTE(C6987," ",""),3))&amp;"-"&amp;TEXT(B6987,"AAMMDD")&amp;"-1")</f>
        <v/>
      </c>
    </row>
    <row r="6988" spans="20:20" hidden="1">
      <c r="T6988" t="str">
        <f>IF(C6988="","",UPPER(LEFT(SUBSTITUTE(C6988," ",""),3))&amp;"-"&amp;TEXT(B6988,"AAMMDD")&amp;"-1")</f>
        <v/>
      </c>
    </row>
    <row r="6989" spans="20:20" hidden="1">
      <c r="T6989" t="str">
        <f>IF(C6989="","",UPPER(LEFT(SUBSTITUTE(C6989," ",""),3))&amp;"-"&amp;TEXT(B6989,"AAMMDD")&amp;"-1")</f>
        <v/>
      </c>
    </row>
    <row r="6990" spans="20:20" hidden="1">
      <c r="T6990" t="str">
        <f>IF(C6990="","",UPPER(LEFT(SUBSTITUTE(C6990," ",""),3))&amp;"-"&amp;TEXT(B6990,"AAMMDD")&amp;"-1")</f>
        <v/>
      </c>
    </row>
    <row r="6991" spans="20:20" hidden="1">
      <c r="T6991" t="str">
        <f>IF(C6991="","",UPPER(LEFT(SUBSTITUTE(C6991," ",""),3))&amp;"-"&amp;TEXT(B6991,"AAMMDD")&amp;"-1")</f>
        <v/>
      </c>
    </row>
    <row r="6992" spans="20:20" hidden="1">
      <c r="T6992" t="str">
        <f>IF(C6992="","",UPPER(LEFT(SUBSTITUTE(C6992," ",""),3))&amp;"-"&amp;TEXT(B6992,"AAMMDD")&amp;"-1")</f>
        <v/>
      </c>
    </row>
    <row r="6993" spans="20:20" hidden="1">
      <c r="T6993" t="str">
        <f>IF(C6993="","",UPPER(LEFT(SUBSTITUTE(C6993," ",""),3))&amp;"-"&amp;TEXT(B6993,"AAMMDD")&amp;"-1")</f>
        <v/>
      </c>
    </row>
    <row r="6994" spans="20:20" hidden="1">
      <c r="T6994" t="str">
        <f>IF(C6994="","",UPPER(LEFT(SUBSTITUTE(C6994," ",""),3))&amp;"-"&amp;TEXT(B6994,"AAMMDD")&amp;"-1")</f>
        <v/>
      </c>
    </row>
    <row r="6995" spans="20:20" hidden="1">
      <c r="T6995" t="str">
        <f>IF(C6995="","",UPPER(LEFT(SUBSTITUTE(C6995," ",""),3))&amp;"-"&amp;TEXT(B6995,"AAMMDD")&amp;"-1")</f>
        <v/>
      </c>
    </row>
    <row r="6996" spans="20:20" hidden="1">
      <c r="T6996" t="str">
        <f>IF(C6996="","",UPPER(LEFT(SUBSTITUTE(C6996," ",""),3))&amp;"-"&amp;TEXT(B6996,"AAMMDD")&amp;"-1")</f>
        <v/>
      </c>
    </row>
    <row r="6997" spans="20:20" hidden="1">
      <c r="T6997" t="str">
        <f>IF(C6997="","",UPPER(LEFT(SUBSTITUTE(C6997," ",""),3))&amp;"-"&amp;TEXT(B6997,"AAMMDD")&amp;"-1")</f>
        <v/>
      </c>
    </row>
    <row r="6998" spans="20:20" hidden="1">
      <c r="T6998" t="str">
        <f>IF(C6998="","",UPPER(LEFT(SUBSTITUTE(C6998," ",""),3))&amp;"-"&amp;TEXT(B6998,"AAMMDD")&amp;"-1")</f>
        <v/>
      </c>
    </row>
    <row r="6999" spans="20:20" hidden="1">
      <c r="T6999" t="str">
        <f>IF(C6999="","",UPPER(LEFT(SUBSTITUTE(C6999," ",""),3))&amp;"-"&amp;TEXT(B6999,"AAMMDD")&amp;"-1")</f>
        <v/>
      </c>
    </row>
    <row r="7000" spans="20:20" hidden="1">
      <c r="T7000" t="str">
        <f>IF(C7000="","",UPPER(LEFT(SUBSTITUTE(C7000," ",""),3))&amp;"-"&amp;TEXT(B7000,"AAMMDD")&amp;"-1")</f>
        <v/>
      </c>
    </row>
    <row r="7001" spans="20:20" hidden="1">
      <c r="T7001" t="str">
        <f>IF(C7001="","",UPPER(LEFT(SUBSTITUTE(C7001," ",""),3))&amp;"-"&amp;TEXT(B7001,"AAMMDD")&amp;"-1")</f>
        <v/>
      </c>
    </row>
    <row r="7002" spans="20:20" hidden="1">
      <c r="T7002" t="str">
        <f>IF(C7002="","",UPPER(LEFT(SUBSTITUTE(C7002," ",""),3))&amp;"-"&amp;TEXT(B7002,"AAMMDD")&amp;"-1")</f>
        <v/>
      </c>
    </row>
    <row r="7003" spans="20:20" hidden="1">
      <c r="T7003" t="str">
        <f>IF(C7003="","",UPPER(LEFT(SUBSTITUTE(C7003," ",""),3))&amp;"-"&amp;TEXT(B7003,"AAMMDD")&amp;"-1")</f>
        <v/>
      </c>
    </row>
    <row r="7004" spans="20:20" hidden="1">
      <c r="T7004" t="str">
        <f>IF(C7004="","",UPPER(LEFT(SUBSTITUTE(C7004," ",""),3))&amp;"-"&amp;TEXT(B7004,"AAMMDD")&amp;"-1")</f>
        <v/>
      </c>
    </row>
    <row r="7005" spans="20:20" hidden="1">
      <c r="T7005" t="str">
        <f>IF(C7005="","",UPPER(LEFT(SUBSTITUTE(C7005," ",""),3))&amp;"-"&amp;TEXT(B7005,"AAMMDD")&amp;"-1")</f>
        <v/>
      </c>
    </row>
    <row r="7006" spans="20:20" hidden="1">
      <c r="T7006" t="str">
        <f>IF(C7006="","",UPPER(LEFT(SUBSTITUTE(C7006," ",""),3))&amp;"-"&amp;TEXT(B7006,"AAMMDD")&amp;"-1")</f>
        <v/>
      </c>
    </row>
    <row r="7007" spans="20:20" hidden="1">
      <c r="T7007" t="str">
        <f>IF(C7007="","",UPPER(LEFT(SUBSTITUTE(C7007," ",""),3))&amp;"-"&amp;TEXT(B7007,"AAMMDD")&amp;"-1")</f>
        <v/>
      </c>
    </row>
    <row r="7008" spans="20:20" hidden="1">
      <c r="T7008" t="str">
        <f>IF(C7008="","",UPPER(LEFT(SUBSTITUTE(C7008," ",""),3))&amp;"-"&amp;TEXT(B7008,"AAMMDD")&amp;"-1")</f>
        <v/>
      </c>
    </row>
    <row r="7009" spans="20:20" hidden="1">
      <c r="T7009" t="str">
        <f>IF(C7009="","",UPPER(LEFT(SUBSTITUTE(C7009," ",""),3))&amp;"-"&amp;TEXT(B7009,"AAMMDD")&amp;"-1")</f>
        <v/>
      </c>
    </row>
    <row r="7010" spans="20:20" hidden="1">
      <c r="T7010" t="str">
        <f>IF(C7010="","",UPPER(LEFT(SUBSTITUTE(C7010," ",""),3))&amp;"-"&amp;TEXT(B7010,"AAMMDD")&amp;"-1")</f>
        <v/>
      </c>
    </row>
    <row r="7011" spans="20:20" hidden="1">
      <c r="T7011" t="str">
        <f>IF(C7011="","",UPPER(LEFT(SUBSTITUTE(C7011," ",""),3))&amp;"-"&amp;TEXT(B7011,"AAMMDD")&amp;"-1")</f>
        <v/>
      </c>
    </row>
    <row r="7012" spans="20:20" hidden="1">
      <c r="T7012" t="str">
        <f>IF(C7012="","",UPPER(LEFT(SUBSTITUTE(C7012," ",""),3))&amp;"-"&amp;TEXT(B7012,"AAMMDD")&amp;"-1")</f>
        <v/>
      </c>
    </row>
    <row r="7013" spans="20:20" hidden="1">
      <c r="T7013" t="str">
        <f>IF(C7013="","",UPPER(LEFT(SUBSTITUTE(C7013," ",""),3))&amp;"-"&amp;TEXT(B7013,"AAMMDD")&amp;"-1")</f>
        <v/>
      </c>
    </row>
    <row r="7014" spans="20:20" hidden="1">
      <c r="T7014" t="str">
        <f>IF(C7014="","",UPPER(LEFT(SUBSTITUTE(C7014," ",""),3))&amp;"-"&amp;TEXT(B7014,"AAMMDD")&amp;"-1")</f>
        <v/>
      </c>
    </row>
    <row r="7015" spans="20:20" hidden="1">
      <c r="T7015" t="str">
        <f>IF(C7015="","",UPPER(LEFT(SUBSTITUTE(C7015," ",""),3))&amp;"-"&amp;TEXT(B7015,"AAMMDD")&amp;"-1")</f>
        <v/>
      </c>
    </row>
    <row r="7016" spans="20:20" hidden="1">
      <c r="T7016" t="str">
        <f>IF(C7016="","",UPPER(LEFT(SUBSTITUTE(C7016," ",""),3))&amp;"-"&amp;TEXT(B7016,"AAMMDD")&amp;"-1")</f>
        <v/>
      </c>
    </row>
    <row r="7017" spans="20:20" hidden="1">
      <c r="T7017" t="str">
        <f>IF(C7017="","",UPPER(LEFT(SUBSTITUTE(C7017," ",""),3))&amp;"-"&amp;TEXT(B7017,"AAMMDD")&amp;"-1")</f>
        <v/>
      </c>
    </row>
    <row r="7018" spans="20:20" hidden="1">
      <c r="T7018" t="str">
        <f>IF(C7018="","",UPPER(LEFT(SUBSTITUTE(C7018," ",""),3))&amp;"-"&amp;TEXT(B7018,"AAMMDD")&amp;"-1")</f>
        <v/>
      </c>
    </row>
    <row r="7019" spans="20:20" hidden="1">
      <c r="T7019" t="str">
        <f>IF(C7019="","",UPPER(LEFT(SUBSTITUTE(C7019," ",""),3))&amp;"-"&amp;TEXT(B7019,"AAMMDD")&amp;"-1")</f>
        <v/>
      </c>
    </row>
    <row r="7020" spans="20:20" hidden="1">
      <c r="T7020" t="str">
        <f>IF(C7020="","",UPPER(LEFT(SUBSTITUTE(C7020," ",""),3))&amp;"-"&amp;TEXT(B7020,"AAMMDD")&amp;"-1")</f>
        <v/>
      </c>
    </row>
    <row r="7021" spans="20:20" hidden="1">
      <c r="T7021" t="str">
        <f>IF(C7021="","",UPPER(LEFT(SUBSTITUTE(C7021," ",""),3))&amp;"-"&amp;TEXT(B7021,"AAMMDD")&amp;"-1")</f>
        <v/>
      </c>
    </row>
    <row r="7022" spans="20:20" hidden="1">
      <c r="T7022" t="str">
        <f>IF(C7022="","",UPPER(LEFT(SUBSTITUTE(C7022," ",""),3))&amp;"-"&amp;TEXT(B7022,"AAMMDD")&amp;"-1")</f>
        <v/>
      </c>
    </row>
    <row r="7023" spans="20:20" hidden="1">
      <c r="T7023" t="str">
        <f>IF(C7023="","",UPPER(LEFT(SUBSTITUTE(C7023," ",""),3))&amp;"-"&amp;TEXT(B7023,"AAMMDD")&amp;"-1")</f>
        <v/>
      </c>
    </row>
    <row r="7024" spans="20:20" hidden="1">
      <c r="T7024" t="str">
        <f>IF(C7024="","",UPPER(LEFT(SUBSTITUTE(C7024," ",""),3))&amp;"-"&amp;TEXT(B7024,"AAMMDD")&amp;"-1")</f>
        <v/>
      </c>
    </row>
    <row r="7025" spans="20:20" hidden="1">
      <c r="T7025" t="str">
        <f>IF(C7025="","",UPPER(LEFT(SUBSTITUTE(C7025," ",""),3))&amp;"-"&amp;TEXT(B7025,"AAMMDD")&amp;"-1")</f>
        <v/>
      </c>
    </row>
    <row r="7026" spans="20:20" hidden="1">
      <c r="T7026" t="str">
        <f>IF(C7026="","",UPPER(LEFT(SUBSTITUTE(C7026," ",""),3))&amp;"-"&amp;TEXT(B7026,"AAMMDD")&amp;"-1")</f>
        <v/>
      </c>
    </row>
    <row r="7027" spans="20:20" hidden="1">
      <c r="T7027" t="str">
        <f>IF(C7027="","",UPPER(LEFT(SUBSTITUTE(C7027," ",""),3))&amp;"-"&amp;TEXT(B7027,"AAMMDD")&amp;"-1")</f>
        <v/>
      </c>
    </row>
    <row r="7028" spans="20:20" hidden="1">
      <c r="T7028" t="str">
        <f>IF(C7028="","",UPPER(LEFT(SUBSTITUTE(C7028," ",""),3))&amp;"-"&amp;TEXT(B7028,"AAMMDD")&amp;"-1")</f>
        <v/>
      </c>
    </row>
    <row r="7029" spans="20:20" hidden="1">
      <c r="T7029" t="str">
        <f>IF(C7029="","",UPPER(LEFT(SUBSTITUTE(C7029," ",""),3))&amp;"-"&amp;TEXT(B7029,"AAMMDD")&amp;"-1")</f>
        <v/>
      </c>
    </row>
    <row r="7030" spans="20:20" hidden="1">
      <c r="T7030" t="str">
        <f>IF(C7030="","",UPPER(LEFT(SUBSTITUTE(C7030," ",""),3))&amp;"-"&amp;TEXT(B7030,"AAMMDD")&amp;"-1")</f>
        <v/>
      </c>
    </row>
    <row r="7031" spans="20:20" hidden="1">
      <c r="T7031" t="str">
        <f>IF(C7031="","",UPPER(LEFT(SUBSTITUTE(C7031," ",""),3))&amp;"-"&amp;TEXT(B7031,"AAMMDD")&amp;"-1")</f>
        <v/>
      </c>
    </row>
    <row r="7032" spans="20:20" hidden="1">
      <c r="T7032" t="str">
        <f>IF(C7032="","",UPPER(LEFT(SUBSTITUTE(C7032," ",""),3))&amp;"-"&amp;TEXT(B7032,"AAMMDD")&amp;"-1")</f>
        <v/>
      </c>
    </row>
    <row r="7033" spans="20:20" hidden="1">
      <c r="T7033" t="str">
        <f>IF(C7033="","",UPPER(LEFT(SUBSTITUTE(C7033," ",""),3))&amp;"-"&amp;TEXT(B7033,"AAMMDD")&amp;"-1")</f>
        <v/>
      </c>
    </row>
    <row r="7034" spans="20:20" hidden="1">
      <c r="T7034" t="str">
        <f>IF(C7034="","",UPPER(LEFT(SUBSTITUTE(C7034," ",""),3))&amp;"-"&amp;TEXT(B7034,"AAMMDD")&amp;"-1")</f>
        <v/>
      </c>
    </row>
    <row r="7035" spans="20:20" hidden="1">
      <c r="T7035" t="str">
        <f>IF(C7035="","",UPPER(LEFT(SUBSTITUTE(C7035," ",""),3))&amp;"-"&amp;TEXT(B7035,"AAMMDD")&amp;"-1")</f>
        <v/>
      </c>
    </row>
    <row r="7036" spans="20:20" hidden="1">
      <c r="T7036" t="str">
        <f>IF(C7036="","",UPPER(LEFT(SUBSTITUTE(C7036," ",""),3))&amp;"-"&amp;TEXT(B7036,"AAMMDD")&amp;"-1")</f>
        <v/>
      </c>
    </row>
    <row r="7037" spans="20:20" hidden="1">
      <c r="T7037" t="str">
        <f>IF(C7037="","",UPPER(LEFT(SUBSTITUTE(C7037," ",""),3))&amp;"-"&amp;TEXT(B7037,"AAMMDD")&amp;"-1")</f>
        <v/>
      </c>
    </row>
    <row r="7038" spans="20:20" hidden="1">
      <c r="T7038" t="str">
        <f>IF(C7038="","",UPPER(LEFT(SUBSTITUTE(C7038," ",""),3))&amp;"-"&amp;TEXT(B7038,"AAMMDD")&amp;"-1")</f>
        <v/>
      </c>
    </row>
    <row r="7039" spans="20:20" hidden="1">
      <c r="T7039" t="str">
        <f>IF(C7039="","",UPPER(LEFT(SUBSTITUTE(C7039," ",""),3))&amp;"-"&amp;TEXT(B7039,"AAMMDD")&amp;"-1")</f>
        <v/>
      </c>
    </row>
    <row r="7040" spans="20:20" hidden="1">
      <c r="T7040" t="str">
        <f>IF(C7040="","",UPPER(LEFT(SUBSTITUTE(C7040," ",""),3))&amp;"-"&amp;TEXT(B7040,"AAMMDD")&amp;"-1")</f>
        <v/>
      </c>
    </row>
    <row r="7041" spans="20:20" hidden="1">
      <c r="T7041" t="str">
        <f>IF(C7041="","",UPPER(LEFT(SUBSTITUTE(C7041," ",""),3))&amp;"-"&amp;TEXT(B7041,"AAMMDD")&amp;"-1")</f>
        <v/>
      </c>
    </row>
    <row r="7042" spans="20:20" hidden="1">
      <c r="T7042" t="str">
        <f>IF(C7042="","",UPPER(LEFT(SUBSTITUTE(C7042," ",""),3))&amp;"-"&amp;TEXT(B7042,"AAMMDD")&amp;"-1")</f>
        <v/>
      </c>
    </row>
    <row r="7043" spans="20:20" hidden="1">
      <c r="T7043" t="str">
        <f>IF(C7043="","",UPPER(LEFT(SUBSTITUTE(C7043," ",""),3))&amp;"-"&amp;TEXT(B7043,"AAMMDD")&amp;"-1")</f>
        <v/>
      </c>
    </row>
    <row r="7044" spans="20:20" hidden="1">
      <c r="T7044" t="str">
        <f>IF(C7044="","",UPPER(LEFT(SUBSTITUTE(C7044," ",""),3))&amp;"-"&amp;TEXT(B7044,"AAMMDD")&amp;"-1")</f>
        <v/>
      </c>
    </row>
    <row r="7045" spans="20:20" hidden="1">
      <c r="T7045" t="str">
        <f>IF(C7045="","",UPPER(LEFT(SUBSTITUTE(C7045," ",""),3))&amp;"-"&amp;TEXT(B7045,"AAMMDD")&amp;"-1")</f>
        <v/>
      </c>
    </row>
    <row r="7046" spans="20:20" hidden="1">
      <c r="T7046" t="str">
        <f>IF(C7046="","",UPPER(LEFT(SUBSTITUTE(C7046," ",""),3))&amp;"-"&amp;TEXT(B7046,"AAMMDD")&amp;"-1")</f>
        <v/>
      </c>
    </row>
    <row r="7047" spans="20:20" hidden="1">
      <c r="T7047" t="str">
        <f>IF(C7047="","",UPPER(LEFT(SUBSTITUTE(C7047," ",""),3))&amp;"-"&amp;TEXT(B7047,"AAMMDD")&amp;"-1")</f>
        <v/>
      </c>
    </row>
    <row r="7048" spans="20:20" hidden="1">
      <c r="T7048" t="str">
        <f>IF(C7048="","",UPPER(LEFT(SUBSTITUTE(C7048," ",""),3))&amp;"-"&amp;TEXT(B7048,"AAMMDD")&amp;"-1")</f>
        <v/>
      </c>
    </row>
    <row r="7049" spans="20:20" hidden="1">
      <c r="T7049" t="str">
        <f>IF(C7049="","",UPPER(LEFT(SUBSTITUTE(C7049," ",""),3))&amp;"-"&amp;TEXT(B7049,"AAMMDD")&amp;"-1")</f>
        <v/>
      </c>
    </row>
    <row r="7050" spans="20:20" hidden="1">
      <c r="T7050" t="str">
        <f>IF(C7050="","",UPPER(LEFT(SUBSTITUTE(C7050," ",""),3))&amp;"-"&amp;TEXT(B7050,"AAMMDD")&amp;"-1")</f>
        <v/>
      </c>
    </row>
    <row r="7051" spans="20:20" hidden="1">
      <c r="T7051" t="str">
        <f>IF(C7051="","",UPPER(LEFT(SUBSTITUTE(C7051," ",""),3))&amp;"-"&amp;TEXT(B7051,"AAMMDD")&amp;"-1")</f>
        <v/>
      </c>
    </row>
    <row r="7052" spans="20:20" hidden="1">
      <c r="T7052" t="str">
        <f>IF(C7052="","",UPPER(LEFT(SUBSTITUTE(C7052," ",""),3))&amp;"-"&amp;TEXT(B7052,"AAMMDD")&amp;"-1")</f>
        <v/>
      </c>
    </row>
    <row r="7053" spans="20:20" hidden="1">
      <c r="T7053" t="str">
        <f>IF(C7053="","",UPPER(LEFT(SUBSTITUTE(C7053," ",""),3))&amp;"-"&amp;TEXT(B7053,"AAMMDD")&amp;"-1")</f>
        <v/>
      </c>
    </row>
    <row r="7054" spans="20:20" hidden="1">
      <c r="T7054" t="str">
        <f>IF(C7054="","",UPPER(LEFT(SUBSTITUTE(C7054," ",""),3))&amp;"-"&amp;TEXT(B7054,"AAMMDD")&amp;"-1")</f>
        <v/>
      </c>
    </row>
    <row r="7055" spans="20:20" hidden="1">
      <c r="T7055" t="str">
        <f>IF(C7055="","",UPPER(LEFT(SUBSTITUTE(C7055," ",""),3))&amp;"-"&amp;TEXT(B7055,"AAMMDD")&amp;"-1")</f>
        <v/>
      </c>
    </row>
    <row r="7056" spans="20:20" hidden="1">
      <c r="T7056" t="str">
        <f>IF(C7056="","",UPPER(LEFT(SUBSTITUTE(C7056," ",""),3))&amp;"-"&amp;TEXT(B7056,"AAMMDD")&amp;"-1")</f>
        <v/>
      </c>
    </row>
    <row r="7057" spans="20:20" hidden="1">
      <c r="T7057" t="str">
        <f>IF(C7057="","",UPPER(LEFT(SUBSTITUTE(C7057," ",""),3))&amp;"-"&amp;TEXT(B7057,"AAMMDD")&amp;"-1")</f>
        <v/>
      </c>
    </row>
    <row r="7058" spans="20:20" hidden="1">
      <c r="T7058" t="str">
        <f>IF(C7058="","",UPPER(LEFT(SUBSTITUTE(C7058," ",""),3))&amp;"-"&amp;TEXT(B7058,"AAMMDD")&amp;"-1")</f>
        <v/>
      </c>
    </row>
    <row r="7059" spans="20:20" hidden="1">
      <c r="T7059" t="str">
        <f>IF(C7059="","",UPPER(LEFT(SUBSTITUTE(C7059," ",""),3))&amp;"-"&amp;TEXT(B7059,"AAMMDD")&amp;"-1")</f>
        <v/>
      </c>
    </row>
    <row r="7060" spans="20:20" hidden="1">
      <c r="T7060" t="str">
        <f>IF(C7060="","",UPPER(LEFT(SUBSTITUTE(C7060," ",""),3))&amp;"-"&amp;TEXT(B7060,"AAMMDD")&amp;"-1")</f>
        <v/>
      </c>
    </row>
    <row r="7061" spans="20:20" hidden="1">
      <c r="T7061" t="str">
        <f>IF(C7061="","",UPPER(LEFT(SUBSTITUTE(C7061," ",""),3))&amp;"-"&amp;TEXT(B7061,"AAMMDD")&amp;"-1")</f>
        <v/>
      </c>
    </row>
    <row r="7062" spans="20:20" hidden="1">
      <c r="T7062" t="str">
        <f>IF(C7062="","",UPPER(LEFT(SUBSTITUTE(C7062," ",""),3))&amp;"-"&amp;TEXT(B7062,"AAMMDD")&amp;"-1")</f>
        <v/>
      </c>
    </row>
    <row r="7063" spans="20:20" hidden="1">
      <c r="T7063" t="str">
        <f>IF(C7063="","",UPPER(LEFT(SUBSTITUTE(C7063," ",""),3))&amp;"-"&amp;TEXT(B7063,"AAMMDD")&amp;"-1")</f>
        <v/>
      </c>
    </row>
    <row r="7064" spans="20:20" hidden="1">
      <c r="T7064" t="str">
        <f>IF(C7064="","",UPPER(LEFT(SUBSTITUTE(C7064," ",""),3))&amp;"-"&amp;TEXT(B7064,"AAMMDD")&amp;"-1")</f>
        <v/>
      </c>
    </row>
    <row r="7065" spans="20:20" hidden="1">
      <c r="T7065" t="str">
        <f>IF(C7065="","",UPPER(LEFT(SUBSTITUTE(C7065," ",""),3))&amp;"-"&amp;TEXT(B7065,"AAMMDD")&amp;"-1")</f>
        <v/>
      </c>
    </row>
    <row r="7066" spans="20:20" hidden="1">
      <c r="T7066" t="str">
        <f>IF(C7066="","",UPPER(LEFT(SUBSTITUTE(C7066," ",""),3))&amp;"-"&amp;TEXT(B7066,"AAMMDD")&amp;"-1")</f>
        <v/>
      </c>
    </row>
    <row r="7067" spans="20:20" hidden="1">
      <c r="T7067" t="str">
        <f>IF(C7067="","",UPPER(LEFT(SUBSTITUTE(C7067," ",""),3))&amp;"-"&amp;TEXT(B7067,"AAMMDD")&amp;"-1")</f>
        <v/>
      </c>
    </row>
    <row r="7068" spans="20:20" hidden="1">
      <c r="T7068" t="str">
        <f>IF(C7068="","",UPPER(LEFT(SUBSTITUTE(C7068," ",""),3))&amp;"-"&amp;TEXT(B7068,"AAMMDD")&amp;"-1")</f>
        <v/>
      </c>
    </row>
    <row r="7069" spans="20:20" hidden="1">
      <c r="T7069" t="str">
        <f>IF(C7069="","",UPPER(LEFT(SUBSTITUTE(C7069," ",""),3))&amp;"-"&amp;TEXT(B7069,"AAMMDD")&amp;"-1")</f>
        <v/>
      </c>
    </row>
    <row r="7070" spans="20:20" hidden="1">
      <c r="T7070" t="str">
        <f>IF(C7070="","",UPPER(LEFT(SUBSTITUTE(C7070," ",""),3))&amp;"-"&amp;TEXT(B7070,"AAMMDD")&amp;"-1")</f>
        <v/>
      </c>
    </row>
    <row r="7071" spans="20:20" hidden="1">
      <c r="T7071" t="str">
        <f>IF(C7071="","",UPPER(LEFT(SUBSTITUTE(C7071," ",""),3))&amp;"-"&amp;TEXT(B7071,"AAMMDD")&amp;"-1")</f>
        <v/>
      </c>
    </row>
    <row r="7072" spans="20:20" hidden="1">
      <c r="T7072" t="str">
        <f>IF(C7072="","",UPPER(LEFT(SUBSTITUTE(C7072," ",""),3))&amp;"-"&amp;TEXT(B7072,"AAMMDD")&amp;"-1")</f>
        <v/>
      </c>
    </row>
    <row r="7073" spans="20:20" hidden="1">
      <c r="T7073" t="str">
        <f>IF(C7073="","",UPPER(LEFT(SUBSTITUTE(C7073," ",""),3))&amp;"-"&amp;TEXT(B7073,"AAMMDD")&amp;"-1")</f>
        <v/>
      </c>
    </row>
    <row r="7074" spans="20:20" hidden="1">
      <c r="T7074" t="str">
        <f>IF(C7074="","",UPPER(LEFT(SUBSTITUTE(C7074," ",""),3))&amp;"-"&amp;TEXT(B7074,"AAMMDD")&amp;"-1")</f>
        <v/>
      </c>
    </row>
    <row r="7075" spans="20:20" hidden="1">
      <c r="T7075" t="str">
        <f>IF(C7075="","",UPPER(LEFT(SUBSTITUTE(C7075," ",""),3))&amp;"-"&amp;TEXT(B7075,"AAMMDD")&amp;"-1")</f>
        <v/>
      </c>
    </row>
    <row r="7076" spans="20:20" hidden="1">
      <c r="T7076" t="str">
        <f>IF(C7076="","",UPPER(LEFT(SUBSTITUTE(C7076," ",""),3))&amp;"-"&amp;TEXT(B7076,"AAMMDD")&amp;"-1")</f>
        <v/>
      </c>
    </row>
    <row r="7077" spans="20:20" hidden="1">
      <c r="T7077" t="str">
        <f>IF(C7077="","",UPPER(LEFT(SUBSTITUTE(C7077," ",""),3))&amp;"-"&amp;TEXT(B7077,"AAMMDD")&amp;"-1")</f>
        <v/>
      </c>
    </row>
    <row r="7078" spans="20:20" hidden="1">
      <c r="T7078" t="str">
        <f>IF(C7078="","",UPPER(LEFT(SUBSTITUTE(C7078," ",""),3))&amp;"-"&amp;TEXT(B7078,"AAMMDD")&amp;"-1")</f>
        <v/>
      </c>
    </row>
    <row r="7079" spans="20:20" hidden="1">
      <c r="T7079" t="str">
        <f>IF(C7079="","",UPPER(LEFT(SUBSTITUTE(C7079," ",""),3))&amp;"-"&amp;TEXT(B7079,"AAMMDD")&amp;"-1")</f>
        <v/>
      </c>
    </row>
    <row r="7080" spans="20:20" hidden="1">
      <c r="T7080" t="str">
        <f>IF(C7080="","",UPPER(LEFT(SUBSTITUTE(C7080," ",""),3))&amp;"-"&amp;TEXT(B7080,"AAMMDD")&amp;"-1")</f>
        <v/>
      </c>
    </row>
    <row r="7081" spans="20:20" hidden="1">
      <c r="T7081" t="str">
        <f>IF(C7081="","",UPPER(LEFT(SUBSTITUTE(C7081," ",""),3))&amp;"-"&amp;TEXT(B7081,"AAMMDD")&amp;"-1")</f>
        <v/>
      </c>
    </row>
    <row r="7082" spans="20:20" hidden="1">
      <c r="T7082" t="str">
        <f>IF(C7082="","",UPPER(LEFT(SUBSTITUTE(C7082," ",""),3))&amp;"-"&amp;TEXT(B7082,"AAMMDD")&amp;"-1")</f>
        <v/>
      </c>
    </row>
    <row r="7083" spans="20:20" hidden="1">
      <c r="T7083" t="str">
        <f>IF(C7083="","",UPPER(LEFT(SUBSTITUTE(C7083," ",""),3))&amp;"-"&amp;TEXT(B7083,"AAMMDD")&amp;"-1")</f>
        <v/>
      </c>
    </row>
    <row r="7084" spans="20:20" hidden="1">
      <c r="T7084" t="str">
        <f>IF(C7084="","",UPPER(LEFT(SUBSTITUTE(C7084," ",""),3))&amp;"-"&amp;TEXT(B7084,"AAMMDD")&amp;"-1")</f>
        <v/>
      </c>
    </row>
    <row r="7085" spans="20:20" hidden="1">
      <c r="T7085" t="str">
        <f>IF(C7085="","",UPPER(LEFT(SUBSTITUTE(C7085," ",""),3))&amp;"-"&amp;TEXT(B7085,"AAMMDD")&amp;"-1")</f>
        <v/>
      </c>
    </row>
    <row r="7086" spans="20:20" hidden="1">
      <c r="T7086" t="str">
        <f>IF(C7086="","",UPPER(LEFT(SUBSTITUTE(C7086," ",""),3))&amp;"-"&amp;TEXT(B7086,"AAMMDD")&amp;"-1")</f>
        <v/>
      </c>
    </row>
    <row r="7087" spans="20:20" hidden="1">
      <c r="T7087" t="str">
        <f>IF(C7087="","",UPPER(LEFT(SUBSTITUTE(C7087," ",""),3))&amp;"-"&amp;TEXT(B7087,"AAMMDD")&amp;"-1")</f>
        <v/>
      </c>
    </row>
    <row r="7088" spans="20:20" hidden="1">
      <c r="T7088" t="str">
        <f>IF(C7088="","",UPPER(LEFT(SUBSTITUTE(C7088," ",""),3))&amp;"-"&amp;TEXT(B7088,"AAMMDD")&amp;"-1")</f>
        <v/>
      </c>
    </row>
    <row r="7089" spans="20:20" hidden="1">
      <c r="T7089" t="str">
        <f>IF(C7089="","",UPPER(LEFT(SUBSTITUTE(C7089," ",""),3))&amp;"-"&amp;TEXT(B7089,"AAMMDD")&amp;"-1")</f>
        <v/>
      </c>
    </row>
    <row r="7090" spans="20:20" hidden="1">
      <c r="T7090" t="str">
        <f>IF(C7090="","",UPPER(LEFT(SUBSTITUTE(C7090," ",""),3))&amp;"-"&amp;TEXT(B7090,"AAMMDD")&amp;"-1")</f>
        <v/>
      </c>
    </row>
    <row r="7091" spans="20:20" hidden="1">
      <c r="T7091" t="str">
        <f>IF(C7091="","",UPPER(LEFT(SUBSTITUTE(C7091," ",""),3))&amp;"-"&amp;TEXT(B7091,"AAMMDD")&amp;"-1")</f>
        <v/>
      </c>
    </row>
    <row r="7092" spans="20:20" hidden="1">
      <c r="T7092" t="str">
        <f>IF(C7092="","",UPPER(LEFT(SUBSTITUTE(C7092," ",""),3))&amp;"-"&amp;TEXT(B7092,"AAMMDD")&amp;"-1")</f>
        <v/>
      </c>
    </row>
    <row r="7093" spans="20:20" hidden="1">
      <c r="T7093" t="str">
        <f>IF(C7093="","",UPPER(LEFT(SUBSTITUTE(C7093," ",""),3))&amp;"-"&amp;TEXT(B7093,"AAMMDD")&amp;"-1")</f>
        <v/>
      </c>
    </row>
    <row r="7094" spans="20:20" hidden="1">
      <c r="T7094" t="str">
        <f>IF(C7094="","",UPPER(LEFT(SUBSTITUTE(C7094," ",""),3))&amp;"-"&amp;TEXT(B7094,"AAMMDD")&amp;"-1")</f>
        <v/>
      </c>
    </row>
    <row r="7095" spans="20:20" hidden="1">
      <c r="T7095" t="str">
        <f>IF(C7095="","",UPPER(LEFT(SUBSTITUTE(C7095," ",""),3))&amp;"-"&amp;TEXT(B7095,"AAMMDD")&amp;"-1")</f>
        <v/>
      </c>
    </row>
    <row r="7096" spans="20:20" hidden="1">
      <c r="T7096" t="str">
        <f>IF(C7096="","",UPPER(LEFT(SUBSTITUTE(C7096," ",""),3))&amp;"-"&amp;TEXT(B7096,"AAMMDD")&amp;"-1")</f>
        <v/>
      </c>
    </row>
    <row r="7097" spans="20:20" hidden="1">
      <c r="T7097" t="str">
        <f>IF(C7097="","",UPPER(LEFT(SUBSTITUTE(C7097," ",""),3))&amp;"-"&amp;TEXT(B7097,"AAMMDD")&amp;"-1")</f>
        <v/>
      </c>
    </row>
    <row r="7098" spans="20:20" hidden="1">
      <c r="T7098" t="str">
        <f>IF(C7098="","",UPPER(LEFT(SUBSTITUTE(C7098," ",""),3))&amp;"-"&amp;TEXT(B7098,"AAMMDD")&amp;"-1")</f>
        <v/>
      </c>
    </row>
    <row r="7099" spans="20:20" hidden="1">
      <c r="T7099" t="str">
        <f>IF(C7099="","",UPPER(LEFT(SUBSTITUTE(C7099," ",""),3))&amp;"-"&amp;TEXT(B7099,"AAMMDD")&amp;"-1")</f>
        <v/>
      </c>
    </row>
    <row r="7100" spans="20:20" hidden="1">
      <c r="T7100" t="str">
        <f>IF(C7100="","",UPPER(LEFT(SUBSTITUTE(C7100," ",""),3))&amp;"-"&amp;TEXT(B7100,"AAMMDD")&amp;"-1")</f>
        <v/>
      </c>
    </row>
    <row r="7101" spans="20:20" hidden="1">
      <c r="T7101" t="str">
        <f>IF(C7101="","",UPPER(LEFT(SUBSTITUTE(C7101," ",""),3))&amp;"-"&amp;TEXT(B7101,"AAMMDD")&amp;"-1")</f>
        <v/>
      </c>
    </row>
    <row r="7102" spans="20:20" hidden="1">
      <c r="T7102" t="str">
        <f>IF(C7102="","",UPPER(LEFT(SUBSTITUTE(C7102," ",""),3))&amp;"-"&amp;TEXT(B7102,"AAMMDD")&amp;"-1")</f>
        <v/>
      </c>
    </row>
    <row r="7103" spans="20:20" hidden="1">
      <c r="T7103" t="str">
        <f>IF(C7103="","",UPPER(LEFT(SUBSTITUTE(C7103," ",""),3))&amp;"-"&amp;TEXT(B7103,"AAMMDD")&amp;"-1")</f>
        <v/>
      </c>
    </row>
    <row r="7104" spans="20:20" hidden="1">
      <c r="T7104" t="str">
        <f>IF(C7104="","",UPPER(LEFT(SUBSTITUTE(C7104," ",""),3))&amp;"-"&amp;TEXT(B7104,"AAMMDD")&amp;"-1")</f>
        <v/>
      </c>
    </row>
    <row r="7105" spans="20:20" hidden="1">
      <c r="T7105" t="str">
        <f>IF(C7105="","",UPPER(LEFT(SUBSTITUTE(C7105," ",""),3))&amp;"-"&amp;TEXT(B7105,"AAMMDD")&amp;"-1")</f>
        <v/>
      </c>
    </row>
    <row r="7106" spans="20:20" hidden="1">
      <c r="T7106" t="str">
        <f>IF(C7106="","",UPPER(LEFT(SUBSTITUTE(C7106," ",""),3))&amp;"-"&amp;TEXT(B7106,"AAMMDD")&amp;"-1")</f>
        <v/>
      </c>
    </row>
    <row r="7107" spans="20:20" hidden="1">
      <c r="T7107" t="str">
        <f>IF(C7107="","",UPPER(LEFT(SUBSTITUTE(C7107," ",""),3))&amp;"-"&amp;TEXT(B7107,"AAMMDD")&amp;"-1")</f>
        <v/>
      </c>
    </row>
    <row r="7108" spans="20:20" hidden="1">
      <c r="T7108" t="str">
        <f>IF(C7108="","",UPPER(LEFT(SUBSTITUTE(C7108," ",""),3))&amp;"-"&amp;TEXT(B7108,"AAMMDD")&amp;"-1")</f>
        <v/>
      </c>
    </row>
    <row r="7109" spans="20:20" hidden="1">
      <c r="T7109" t="str">
        <f>IF(C7109="","",UPPER(LEFT(SUBSTITUTE(C7109," ",""),3))&amp;"-"&amp;TEXT(B7109,"AAMMDD")&amp;"-1")</f>
        <v/>
      </c>
    </row>
    <row r="7110" spans="20:20" hidden="1">
      <c r="T7110" t="str">
        <f>IF(C7110="","",UPPER(LEFT(SUBSTITUTE(C7110," ",""),3))&amp;"-"&amp;TEXT(B7110,"AAMMDD")&amp;"-1")</f>
        <v/>
      </c>
    </row>
    <row r="7111" spans="20:20" hidden="1">
      <c r="T7111" t="str">
        <f>IF(C7111="","",UPPER(LEFT(SUBSTITUTE(C7111," ",""),3))&amp;"-"&amp;TEXT(B7111,"AAMMDD")&amp;"-1")</f>
        <v/>
      </c>
    </row>
    <row r="7112" spans="20:20" hidden="1">
      <c r="T7112" t="str">
        <f>IF(C7112="","",UPPER(LEFT(SUBSTITUTE(C7112," ",""),3))&amp;"-"&amp;TEXT(B7112,"AAMMDD")&amp;"-1")</f>
        <v/>
      </c>
    </row>
    <row r="7113" spans="20:20" hidden="1">
      <c r="T7113" t="str">
        <f>IF(C7113="","",UPPER(LEFT(SUBSTITUTE(C7113," ",""),3))&amp;"-"&amp;TEXT(B7113,"AAMMDD")&amp;"-1")</f>
        <v/>
      </c>
    </row>
    <row r="7114" spans="20:20" hidden="1">
      <c r="T7114" t="str">
        <f>IF(C7114="","",UPPER(LEFT(SUBSTITUTE(C7114," ",""),3))&amp;"-"&amp;TEXT(B7114,"AAMMDD")&amp;"-1")</f>
        <v/>
      </c>
    </row>
    <row r="7115" spans="20:20" hidden="1">
      <c r="T7115" t="str">
        <f>IF(C7115="","",UPPER(LEFT(SUBSTITUTE(C7115," ",""),3))&amp;"-"&amp;TEXT(B7115,"AAMMDD")&amp;"-1")</f>
        <v/>
      </c>
    </row>
    <row r="7116" spans="20:20" hidden="1">
      <c r="T7116" t="str">
        <f>IF(C7116="","",UPPER(LEFT(SUBSTITUTE(C7116," ",""),3))&amp;"-"&amp;TEXT(B7116,"AAMMDD")&amp;"-1")</f>
        <v/>
      </c>
    </row>
    <row r="7117" spans="20:20" hidden="1">
      <c r="T7117" t="str">
        <f>IF(C7117="","",UPPER(LEFT(SUBSTITUTE(C7117," ",""),3))&amp;"-"&amp;TEXT(B7117,"AAMMDD")&amp;"-1")</f>
        <v/>
      </c>
    </row>
    <row r="7118" spans="20:20" hidden="1">
      <c r="T7118" t="str">
        <f>IF(C7118="","",UPPER(LEFT(SUBSTITUTE(C7118," ",""),3))&amp;"-"&amp;TEXT(B7118,"AAMMDD")&amp;"-1")</f>
        <v/>
      </c>
    </row>
    <row r="7119" spans="20:20" hidden="1">
      <c r="T7119" t="str">
        <f>IF(C7119="","",UPPER(LEFT(SUBSTITUTE(C7119," ",""),3))&amp;"-"&amp;TEXT(B7119,"AAMMDD")&amp;"-1")</f>
        <v/>
      </c>
    </row>
    <row r="7120" spans="20:20" hidden="1">
      <c r="T7120" t="str">
        <f>IF(C7120="","",UPPER(LEFT(SUBSTITUTE(C7120," ",""),3))&amp;"-"&amp;TEXT(B7120,"AAMMDD")&amp;"-1")</f>
        <v/>
      </c>
    </row>
    <row r="7121" spans="20:20" hidden="1">
      <c r="T7121" t="str">
        <f>IF(C7121="","",UPPER(LEFT(SUBSTITUTE(C7121," ",""),3))&amp;"-"&amp;TEXT(B7121,"AAMMDD")&amp;"-1")</f>
        <v/>
      </c>
    </row>
    <row r="7122" spans="20:20" hidden="1">
      <c r="T7122" t="str">
        <f>IF(C7122="","",UPPER(LEFT(SUBSTITUTE(C7122," ",""),3))&amp;"-"&amp;TEXT(B7122,"AAMMDD")&amp;"-1")</f>
        <v/>
      </c>
    </row>
    <row r="7123" spans="20:20" hidden="1">
      <c r="T7123" t="str">
        <f>IF(C7123="","",UPPER(LEFT(SUBSTITUTE(C7123," ",""),3))&amp;"-"&amp;TEXT(B7123,"AAMMDD")&amp;"-1")</f>
        <v/>
      </c>
    </row>
    <row r="7124" spans="20:20" hidden="1">
      <c r="T7124" t="str">
        <f>IF(C7124="","",UPPER(LEFT(SUBSTITUTE(C7124," ",""),3))&amp;"-"&amp;TEXT(B7124,"AAMMDD")&amp;"-1")</f>
        <v/>
      </c>
    </row>
    <row r="7125" spans="20:20" hidden="1">
      <c r="T7125" t="str">
        <f>IF(C7125="","",UPPER(LEFT(SUBSTITUTE(C7125," ",""),3))&amp;"-"&amp;TEXT(B7125,"AAMMDD")&amp;"-1")</f>
        <v/>
      </c>
    </row>
    <row r="7126" spans="20:20" hidden="1">
      <c r="T7126" t="str">
        <f>IF(C7126="","",UPPER(LEFT(SUBSTITUTE(C7126," ",""),3))&amp;"-"&amp;TEXT(B7126,"AAMMDD")&amp;"-1")</f>
        <v/>
      </c>
    </row>
    <row r="7127" spans="20:20" hidden="1">
      <c r="T7127" t="str">
        <f>IF(C7127="","",UPPER(LEFT(SUBSTITUTE(C7127," ",""),3))&amp;"-"&amp;TEXT(B7127,"AAMMDD")&amp;"-1")</f>
        <v/>
      </c>
    </row>
    <row r="7128" spans="20:20" hidden="1">
      <c r="T7128" t="str">
        <f>IF(C7128="","",UPPER(LEFT(SUBSTITUTE(C7128," ",""),3))&amp;"-"&amp;TEXT(B7128,"AAMMDD")&amp;"-1")</f>
        <v/>
      </c>
    </row>
    <row r="7129" spans="20:20" hidden="1">
      <c r="T7129" t="str">
        <f>IF(C7129="","",UPPER(LEFT(SUBSTITUTE(C7129," ",""),3))&amp;"-"&amp;TEXT(B7129,"AAMMDD")&amp;"-1")</f>
        <v/>
      </c>
    </row>
    <row r="7130" spans="20:20" hidden="1">
      <c r="T7130" t="str">
        <f>IF(C7130="","",UPPER(LEFT(SUBSTITUTE(C7130," ",""),3))&amp;"-"&amp;TEXT(B7130,"AAMMDD")&amp;"-1")</f>
        <v/>
      </c>
    </row>
    <row r="7131" spans="20:20" hidden="1">
      <c r="T7131" t="str">
        <f>IF(C7131="","",UPPER(LEFT(SUBSTITUTE(C7131," ",""),3))&amp;"-"&amp;TEXT(B7131,"AAMMDD")&amp;"-1")</f>
        <v/>
      </c>
    </row>
    <row r="7132" spans="20:20" hidden="1">
      <c r="T7132" t="str">
        <f>IF(C7132="","",UPPER(LEFT(SUBSTITUTE(C7132," ",""),3))&amp;"-"&amp;TEXT(B7132,"AAMMDD")&amp;"-1")</f>
        <v/>
      </c>
    </row>
    <row r="7133" spans="20:20" hidden="1">
      <c r="T7133" t="str">
        <f>IF(C7133="","",UPPER(LEFT(SUBSTITUTE(C7133," ",""),3))&amp;"-"&amp;TEXT(B7133,"AAMMDD")&amp;"-1")</f>
        <v/>
      </c>
    </row>
    <row r="7134" spans="20:20" hidden="1">
      <c r="T7134" t="str">
        <f>IF(C7134="","",UPPER(LEFT(SUBSTITUTE(C7134," ",""),3))&amp;"-"&amp;TEXT(B7134,"AAMMDD")&amp;"-1")</f>
        <v/>
      </c>
    </row>
    <row r="7135" spans="20:20" hidden="1">
      <c r="T7135" t="str">
        <f>IF(C7135="","",UPPER(LEFT(SUBSTITUTE(C7135," ",""),3))&amp;"-"&amp;TEXT(B7135,"AAMMDD")&amp;"-1")</f>
        <v/>
      </c>
    </row>
    <row r="7136" spans="20:20" hidden="1">
      <c r="T7136" t="str">
        <f>IF(C7136="","",UPPER(LEFT(SUBSTITUTE(C7136," ",""),3))&amp;"-"&amp;TEXT(B7136,"AAMMDD")&amp;"-1")</f>
        <v/>
      </c>
    </row>
    <row r="7137" spans="20:20" hidden="1">
      <c r="T7137" t="str">
        <f>IF(C7137="","",UPPER(LEFT(SUBSTITUTE(C7137," ",""),3))&amp;"-"&amp;TEXT(B7137,"AAMMDD")&amp;"-1")</f>
        <v/>
      </c>
    </row>
    <row r="7138" spans="20:20" hidden="1">
      <c r="T7138" t="str">
        <f>IF(C7138="","",UPPER(LEFT(SUBSTITUTE(C7138," ",""),3))&amp;"-"&amp;TEXT(B7138,"AAMMDD")&amp;"-1")</f>
        <v/>
      </c>
    </row>
    <row r="7139" spans="20:20" hidden="1">
      <c r="T7139" t="str">
        <f>IF(C7139="","",UPPER(LEFT(SUBSTITUTE(C7139," ",""),3))&amp;"-"&amp;TEXT(B7139,"AAMMDD")&amp;"-1")</f>
        <v/>
      </c>
    </row>
    <row r="7140" spans="20:20" hidden="1">
      <c r="T7140" t="str">
        <f>IF(C7140="","",UPPER(LEFT(SUBSTITUTE(C7140," ",""),3))&amp;"-"&amp;TEXT(B7140,"AAMMDD")&amp;"-1")</f>
        <v/>
      </c>
    </row>
    <row r="7141" spans="20:20" hidden="1">
      <c r="T7141" t="str">
        <f>IF(C7141="","",UPPER(LEFT(SUBSTITUTE(C7141," ",""),3))&amp;"-"&amp;TEXT(B7141,"AAMMDD")&amp;"-1")</f>
        <v/>
      </c>
    </row>
    <row r="7142" spans="20:20" hidden="1">
      <c r="T7142" t="str">
        <f>IF(C7142="","",UPPER(LEFT(SUBSTITUTE(C7142," ",""),3))&amp;"-"&amp;TEXT(B7142,"AAMMDD")&amp;"-1")</f>
        <v/>
      </c>
    </row>
    <row r="7143" spans="20:20" hidden="1">
      <c r="T7143" t="str">
        <f>IF(C7143="","",UPPER(LEFT(SUBSTITUTE(C7143," ",""),3))&amp;"-"&amp;TEXT(B7143,"AAMMDD")&amp;"-1")</f>
        <v/>
      </c>
    </row>
    <row r="7144" spans="20:20" hidden="1">
      <c r="T7144" t="str">
        <f>IF(C7144="","",UPPER(LEFT(SUBSTITUTE(C7144," ",""),3))&amp;"-"&amp;TEXT(B7144,"AAMMDD")&amp;"-1")</f>
        <v/>
      </c>
    </row>
    <row r="7145" spans="20:20" hidden="1">
      <c r="T7145" t="str">
        <f>IF(C7145="","",UPPER(LEFT(SUBSTITUTE(C7145," ",""),3))&amp;"-"&amp;TEXT(B7145,"AAMMDD")&amp;"-1")</f>
        <v/>
      </c>
    </row>
    <row r="7146" spans="20:20" hidden="1">
      <c r="T7146" t="str">
        <f>IF(C7146="","",UPPER(LEFT(SUBSTITUTE(C7146," ",""),3))&amp;"-"&amp;TEXT(B7146,"AAMMDD")&amp;"-1")</f>
        <v/>
      </c>
    </row>
    <row r="7147" spans="20:20" hidden="1">
      <c r="T7147" t="str">
        <f>IF(C7147="","",UPPER(LEFT(SUBSTITUTE(C7147," ",""),3))&amp;"-"&amp;TEXT(B7147,"AAMMDD")&amp;"-1")</f>
        <v/>
      </c>
    </row>
    <row r="7148" spans="20:20" hidden="1">
      <c r="T7148" t="str">
        <f>IF(C7148="","",UPPER(LEFT(SUBSTITUTE(C7148," ",""),3))&amp;"-"&amp;TEXT(B7148,"AAMMDD")&amp;"-1")</f>
        <v/>
      </c>
    </row>
    <row r="7149" spans="20:20" hidden="1">
      <c r="T7149" t="str">
        <f>IF(C7149="","",UPPER(LEFT(SUBSTITUTE(C7149," ",""),3))&amp;"-"&amp;TEXT(B7149,"AAMMDD")&amp;"-1")</f>
        <v/>
      </c>
    </row>
    <row r="7150" spans="20:20" hidden="1">
      <c r="T7150" t="str">
        <f>IF(C7150="","",UPPER(LEFT(SUBSTITUTE(C7150," ",""),3))&amp;"-"&amp;TEXT(B7150,"AAMMDD")&amp;"-1")</f>
        <v/>
      </c>
    </row>
    <row r="7151" spans="20:20" hidden="1">
      <c r="T7151" t="str">
        <f>IF(C7151="","",UPPER(LEFT(SUBSTITUTE(C7151," ",""),3))&amp;"-"&amp;TEXT(B7151,"AAMMDD")&amp;"-1")</f>
        <v/>
      </c>
    </row>
    <row r="7152" spans="20:20" hidden="1">
      <c r="T7152" t="str">
        <f>IF(C7152="","",UPPER(LEFT(SUBSTITUTE(C7152," ",""),3))&amp;"-"&amp;TEXT(B7152,"AAMMDD")&amp;"-1")</f>
        <v/>
      </c>
    </row>
    <row r="7153" spans="20:20" hidden="1">
      <c r="T7153" t="str">
        <f>IF(C7153="","",UPPER(LEFT(SUBSTITUTE(C7153," ",""),3))&amp;"-"&amp;TEXT(B7153,"AAMMDD")&amp;"-1")</f>
        <v/>
      </c>
    </row>
    <row r="7154" spans="20:20" hidden="1">
      <c r="T7154" t="str">
        <f>IF(C7154="","",UPPER(LEFT(SUBSTITUTE(C7154," ",""),3))&amp;"-"&amp;TEXT(B7154,"AAMMDD")&amp;"-1")</f>
        <v/>
      </c>
    </row>
    <row r="7155" spans="20:20" hidden="1">
      <c r="T7155" t="str">
        <f>IF(C7155="","",UPPER(LEFT(SUBSTITUTE(C7155," ",""),3))&amp;"-"&amp;TEXT(B7155,"AAMMDD")&amp;"-1")</f>
        <v/>
      </c>
    </row>
    <row r="7156" spans="20:20" hidden="1">
      <c r="T7156" t="str">
        <f>IF(C7156="","",UPPER(LEFT(SUBSTITUTE(C7156," ",""),3))&amp;"-"&amp;TEXT(B7156,"AAMMDD")&amp;"-1")</f>
        <v/>
      </c>
    </row>
    <row r="7157" spans="20:20" hidden="1">
      <c r="T7157" t="str">
        <f>IF(C7157="","",UPPER(LEFT(SUBSTITUTE(C7157," ",""),3))&amp;"-"&amp;TEXT(B7157,"AAMMDD")&amp;"-1")</f>
        <v/>
      </c>
    </row>
    <row r="7158" spans="20:20" hidden="1">
      <c r="T7158" t="str">
        <f>IF(C7158="","",UPPER(LEFT(SUBSTITUTE(C7158," ",""),3))&amp;"-"&amp;TEXT(B7158,"AAMMDD")&amp;"-1")</f>
        <v/>
      </c>
    </row>
    <row r="7159" spans="20:20" hidden="1">
      <c r="T7159" t="str">
        <f>IF(C7159="","",UPPER(LEFT(SUBSTITUTE(C7159," ",""),3))&amp;"-"&amp;TEXT(B7159,"AAMMDD")&amp;"-1")</f>
        <v/>
      </c>
    </row>
    <row r="7160" spans="20:20" hidden="1">
      <c r="T7160" t="str">
        <f>IF(C7160="","",UPPER(LEFT(SUBSTITUTE(C7160," ",""),3))&amp;"-"&amp;TEXT(B7160,"AAMMDD")&amp;"-1")</f>
        <v/>
      </c>
    </row>
    <row r="7161" spans="20:20" hidden="1">
      <c r="T7161" t="str">
        <f>IF(C7161="","",UPPER(LEFT(SUBSTITUTE(C7161," ",""),3))&amp;"-"&amp;TEXT(B7161,"AAMMDD")&amp;"-1")</f>
        <v/>
      </c>
    </row>
    <row r="7162" spans="20:20" hidden="1">
      <c r="T7162" t="str">
        <f>IF(C7162="","",UPPER(LEFT(SUBSTITUTE(C7162," ",""),3))&amp;"-"&amp;TEXT(B7162,"AAMMDD")&amp;"-1")</f>
        <v/>
      </c>
    </row>
    <row r="7163" spans="20:20" hidden="1">
      <c r="T7163" t="str">
        <f>IF(C7163="","",UPPER(LEFT(SUBSTITUTE(C7163," ",""),3))&amp;"-"&amp;TEXT(B7163,"AAMMDD")&amp;"-1")</f>
        <v/>
      </c>
    </row>
    <row r="7164" spans="20:20" hidden="1">
      <c r="T7164" t="str">
        <f>IF(C7164="","",UPPER(LEFT(SUBSTITUTE(C7164," ",""),3))&amp;"-"&amp;TEXT(B7164,"AAMMDD")&amp;"-1")</f>
        <v/>
      </c>
    </row>
    <row r="7165" spans="20:20" hidden="1">
      <c r="T7165" t="str">
        <f>IF(C7165="","",UPPER(LEFT(SUBSTITUTE(C7165," ",""),3))&amp;"-"&amp;TEXT(B7165,"AAMMDD")&amp;"-1")</f>
        <v/>
      </c>
    </row>
    <row r="7166" spans="20:20" hidden="1">
      <c r="T7166" t="str">
        <f>IF(C7166="","",UPPER(LEFT(SUBSTITUTE(C7166," ",""),3))&amp;"-"&amp;TEXT(B7166,"AAMMDD")&amp;"-1")</f>
        <v/>
      </c>
    </row>
    <row r="7167" spans="20:20" hidden="1">
      <c r="T7167" t="str">
        <f>IF(C7167="","",UPPER(LEFT(SUBSTITUTE(C7167," ",""),3))&amp;"-"&amp;TEXT(B7167,"AAMMDD")&amp;"-1")</f>
        <v/>
      </c>
    </row>
    <row r="7168" spans="20:20" hidden="1">
      <c r="T7168" t="str">
        <f>IF(C7168="","",UPPER(LEFT(SUBSTITUTE(C7168," ",""),3))&amp;"-"&amp;TEXT(B7168,"AAMMDD")&amp;"-1")</f>
        <v/>
      </c>
    </row>
    <row r="7169" spans="20:20" hidden="1">
      <c r="T7169" t="str">
        <f>IF(C7169="","",UPPER(LEFT(SUBSTITUTE(C7169," ",""),3))&amp;"-"&amp;TEXT(B7169,"AAMMDD")&amp;"-1")</f>
        <v/>
      </c>
    </row>
    <row r="7170" spans="20:20" hidden="1">
      <c r="T7170" t="str">
        <f>IF(C7170="","",UPPER(LEFT(SUBSTITUTE(C7170," ",""),3))&amp;"-"&amp;TEXT(B7170,"AAMMDD")&amp;"-1")</f>
        <v/>
      </c>
    </row>
    <row r="7171" spans="20:20" hidden="1">
      <c r="T7171" t="str">
        <f>IF(C7171="","",UPPER(LEFT(SUBSTITUTE(C7171," ",""),3))&amp;"-"&amp;TEXT(B7171,"AAMMDD")&amp;"-1")</f>
        <v/>
      </c>
    </row>
    <row r="7172" spans="20:20" hidden="1">
      <c r="T7172" t="str">
        <f>IF(C7172="","",UPPER(LEFT(SUBSTITUTE(C7172," ",""),3))&amp;"-"&amp;TEXT(B7172,"AAMMDD")&amp;"-1")</f>
        <v/>
      </c>
    </row>
    <row r="7173" spans="20:20" hidden="1">
      <c r="T7173" t="str">
        <f>IF(C7173="","",UPPER(LEFT(SUBSTITUTE(C7173," ",""),3))&amp;"-"&amp;TEXT(B7173,"AAMMDD")&amp;"-1")</f>
        <v/>
      </c>
    </row>
    <row r="7174" spans="20:20" hidden="1">
      <c r="T7174" t="str">
        <f>IF(C7174="","",UPPER(LEFT(SUBSTITUTE(C7174," ",""),3))&amp;"-"&amp;TEXT(B7174,"AAMMDD")&amp;"-1")</f>
        <v/>
      </c>
    </row>
    <row r="7175" spans="20:20" hidden="1">
      <c r="T7175" t="str">
        <f>IF(C7175="","",UPPER(LEFT(SUBSTITUTE(C7175," ",""),3))&amp;"-"&amp;TEXT(B7175,"AAMMDD")&amp;"-1")</f>
        <v/>
      </c>
    </row>
    <row r="7176" spans="20:20" hidden="1">
      <c r="T7176" t="str">
        <f>IF(C7176="","",UPPER(LEFT(SUBSTITUTE(C7176," ",""),3))&amp;"-"&amp;TEXT(B7176,"AAMMDD")&amp;"-1")</f>
        <v/>
      </c>
    </row>
    <row r="7177" spans="20:20" hidden="1">
      <c r="T7177" t="str">
        <f>IF(C7177="","",UPPER(LEFT(SUBSTITUTE(C7177," ",""),3))&amp;"-"&amp;TEXT(B7177,"AAMMDD")&amp;"-1")</f>
        <v/>
      </c>
    </row>
    <row r="7178" spans="20:20" hidden="1">
      <c r="T7178" t="str">
        <f>IF(C7178="","",UPPER(LEFT(SUBSTITUTE(C7178," ",""),3))&amp;"-"&amp;TEXT(B7178,"AAMMDD")&amp;"-1")</f>
        <v/>
      </c>
    </row>
    <row r="7179" spans="20:20" hidden="1">
      <c r="T7179" t="str">
        <f>IF(C7179="","",UPPER(LEFT(SUBSTITUTE(C7179," ",""),3))&amp;"-"&amp;TEXT(B7179,"AAMMDD")&amp;"-1")</f>
        <v/>
      </c>
    </row>
    <row r="7180" spans="20:20" hidden="1">
      <c r="T7180" t="str">
        <f>IF(C7180="","",UPPER(LEFT(SUBSTITUTE(C7180," ",""),3))&amp;"-"&amp;TEXT(B7180,"AAMMDD")&amp;"-1")</f>
        <v/>
      </c>
    </row>
    <row r="7181" spans="20:20" hidden="1">
      <c r="T7181" t="str">
        <f>IF(C7181="","",UPPER(LEFT(SUBSTITUTE(C7181," ",""),3))&amp;"-"&amp;TEXT(B7181,"AAMMDD")&amp;"-1")</f>
        <v/>
      </c>
    </row>
    <row r="7182" spans="20:20" hidden="1">
      <c r="T7182" t="str">
        <f>IF(C7182="","",UPPER(LEFT(SUBSTITUTE(C7182," ",""),3))&amp;"-"&amp;TEXT(B7182,"AAMMDD")&amp;"-1")</f>
        <v/>
      </c>
    </row>
    <row r="7183" spans="20:20" hidden="1">
      <c r="T7183" t="str">
        <f>IF(C7183="","",UPPER(LEFT(SUBSTITUTE(C7183," ",""),3))&amp;"-"&amp;TEXT(B7183,"AAMMDD")&amp;"-1")</f>
        <v/>
      </c>
    </row>
    <row r="7184" spans="20:20" hidden="1">
      <c r="T7184" t="str">
        <f>IF(C7184="","",UPPER(LEFT(SUBSTITUTE(C7184," ",""),3))&amp;"-"&amp;TEXT(B7184,"AAMMDD")&amp;"-1")</f>
        <v/>
      </c>
    </row>
    <row r="7185" spans="20:20" hidden="1">
      <c r="T7185" t="str">
        <f>IF(C7185="","",UPPER(LEFT(SUBSTITUTE(C7185," ",""),3))&amp;"-"&amp;TEXT(B7185,"AAMMDD")&amp;"-1")</f>
        <v/>
      </c>
    </row>
    <row r="7186" spans="20:20" hidden="1">
      <c r="T7186" t="str">
        <f>IF(C7186="","",UPPER(LEFT(SUBSTITUTE(C7186," ",""),3))&amp;"-"&amp;TEXT(B7186,"AAMMDD")&amp;"-1")</f>
        <v/>
      </c>
    </row>
    <row r="7187" spans="20:20" hidden="1">
      <c r="T7187" t="str">
        <f>IF(C7187="","",UPPER(LEFT(SUBSTITUTE(C7187," ",""),3))&amp;"-"&amp;TEXT(B7187,"AAMMDD")&amp;"-1")</f>
        <v/>
      </c>
    </row>
    <row r="7188" spans="20:20" hidden="1">
      <c r="T7188" t="str">
        <f>IF(C7188="","",UPPER(LEFT(SUBSTITUTE(C7188," ",""),3))&amp;"-"&amp;TEXT(B7188,"AAMMDD")&amp;"-1")</f>
        <v/>
      </c>
    </row>
    <row r="7189" spans="20:20" hidden="1">
      <c r="T7189" t="str">
        <f>IF(C7189="","",UPPER(LEFT(SUBSTITUTE(C7189," ",""),3))&amp;"-"&amp;TEXT(B7189,"AAMMDD")&amp;"-1")</f>
        <v/>
      </c>
    </row>
    <row r="7190" spans="20:20" hidden="1">
      <c r="T7190" t="str">
        <f>IF(C7190="","",UPPER(LEFT(SUBSTITUTE(C7190," ",""),3))&amp;"-"&amp;TEXT(B7190,"AAMMDD")&amp;"-1")</f>
        <v/>
      </c>
    </row>
    <row r="7191" spans="20:20" hidden="1">
      <c r="T7191" t="str">
        <f>IF(C7191="","",UPPER(LEFT(SUBSTITUTE(C7191," ",""),3))&amp;"-"&amp;TEXT(B7191,"AAMMDD")&amp;"-1")</f>
        <v/>
      </c>
    </row>
    <row r="7192" spans="20:20" hidden="1">
      <c r="T7192" t="str">
        <f>IF(C7192="","",UPPER(LEFT(SUBSTITUTE(C7192," ",""),3))&amp;"-"&amp;TEXT(B7192,"AAMMDD")&amp;"-1")</f>
        <v/>
      </c>
    </row>
    <row r="7193" spans="20:20" hidden="1">
      <c r="T7193" t="str">
        <f>IF(C7193="","",UPPER(LEFT(SUBSTITUTE(C7193," ",""),3))&amp;"-"&amp;TEXT(B7193,"AAMMDD")&amp;"-1")</f>
        <v/>
      </c>
    </row>
    <row r="7194" spans="20:20" hidden="1">
      <c r="T7194" t="str">
        <f>IF(C7194="","",UPPER(LEFT(SUBSTITUTE(C7194," ",""),3))&amp;"-"&amp;TEXT(B7194,"AAMMDD")&amp;"-1")</f>
        <v/>
      </c>
    </row>
    <row r="7195" spans="20:20" hidden="1">
      <c r="T7195" t="str">
        <f>IF(C7195="","",UPPER(LEFT(SUBSTITUTE(C7195," ",""),3))&amp;"-"&amp;TEXT(B7195,"AAMMDD")&amp;"-1")</f>
        <v/>
      </c>
    </row>
    <row r="7196" spans="20:20" hidden="1">
      <c r="T7196" t="str">
        <f>IF(C7196="","",UPPER(LEFT(SUBSTITUTE(C7196," ",""),3))&amp;"-"&amp;TEXT(B7196,"AAMMDD")&amp;"-1")</f>
        <v/>
      </c>
    </row>
    <row r="7197" spans="20:20" hidden="1">
      <c r="T7197" t="str">
        <f>IF(C7197="","",UPPER(LEFT(SUBSTITUTE(C7197," ",""),3))&amp;"-"&amp;TEXT(B7197,"AAMMDD")&amp;"-1")</f>
        <v/>
      </c>
    </row>
    <row r="7198" spans="20:20" hidden="1">
      <c r="T7198" t="str">
        <f>IF(C7198="","",UPPER(LEFT(SUBSTITUTE(C7198," ",""),3))&amp;"-"&amp;TEXT(B7198,"AAMMDD")&amp;"-1")</f>
        <v/>
      </c>
    </row>
    <row r="7199" spans="20:20" hidden="1">
      <c r="T7199" t="str">
        <f>IF(C7199="","",UPPER(LEFT(SUBSTITUTE(C7199," ",""),3))&amp;"-"&amp;TEXT(B7199,"AAMMDD")&amp;"-1")</f>
        <v/>
      </c>
    </row>
    <row r="7200" spans="20:20" hidden="1">
      <c r="T7200" t="str">
        <f>IF(C7200="","",UPPER(LEFT(SUBSTITUTE(C7200," ",""),3))&amp;"-"&amp;TEXT(B7200,"AAMMDD")&amp;"-1")</f>
        <v/>
      </c>
    </row>
    <row r="7201" spans="20:20" hidden="1">
      <c r="T7201" t="str">
        <f>IF(C7201="","",UPPER(LEFT(SUBSTITUTE(C7201," ",""),3))&amp;"-"&amp;TEXT(B7201,"AAMMDD")&amp;"-1")</f>
        <v/>
      </c>
    </row>
    <row r="7202" spans="20:20" hidden="1">
      <c r="T7202" t="str">
        <f>IF(C7202="","",UPPER(LEFT(SUBSTITUTE(C7202," ",""),3))&amp;"-"&amp;TEXT(B7202,"AAMMDD")&amp;"-1")</f>
        <v/>
      </c>
    </row>
    <row r="7203" spans="20:20" hidden="1">
      <c r="T7203" t="str">
        <f>IF(C7203="","",UPPER(LEFT(SUBSTITUTE(C7203," ",""),3))&amp;"-"&amp;TEXT(B7203,"AAMMDD")&amp;"-1")</f>
        <v/>
      </c>
    </row>
    <row r="7204" spans="20:20" hidden="1">
      <c r="T7204" t="str">
        <f>IF(C7204="","",UPPER(LEFT(SUBSTITUTE(C7204," ",""),3))&amp;"-"&amp;TEXT(B7204,"AAMMDD")&amp;"-1")</f>
        <v/>
      </c>
    </row>
    <row r="7205" spans="20:20" hidden="1">
      <c r="T7205" t="str">
        <f>IF(C7205="","",UPPER(LEFT(SUBSTITUTE(C7205," ",""),3))&amp;"-"&amp;TEXT(B7205,"AAMMDD")&amp;"-1")</f>
        <v/>
      </c>
    </row>
    <row r="7206" spans="20:20" hidden="1">
      <c r="T7206" t="str">
        <f>IF(C7206="","",UPPER(LEFT(SUBSTITUTE(C7206," ",""),3))&amp;"-"&amp;TEXT(B7206,"AAMMDD")&amp;"-1")</f>
        <v/>
      </c>
    </row>
    <row r="7207" spans="20:20" hidden="1">
      <c r="T7207" t="str">
        <f>IF(C7207="","",UPPER(LEFT(SUBSTITUTE(C7207," ",""),3))&amp;"-"&amp;TEXT(B7207,"AAMMDD")&amp;"-1")</f>
        <v/>
      </c>
    </row>
    <row r="7208" spans="20:20" hidden="1">
      <c r="T7208" t="str">
        <f>IF(C7208="","",UPPER(LEFT(SUBSTITUTE(C7208," ",""),3))&amp;"-"&amp;TEXT(B7208,"AAMMDD")&amp;"-1")</f>
        <v/>
      </c>
    </row>
    <row r="7209" spans="20:20" hidden="1">
      <c r="T7209" t="str">
        <f>IF(C7209="","",UPPER(LEFT(SUBSTITUTE(C7209," ",""),3))&amp;"-"&amp;TEXT(B7209,"AAMMDD")&amp;"-1")</f>
        <v/>
      </c>
    </row>
    <row r="7210" spans="20:20" hidden="1">
      <c r="T7210" t="str">
        <f>IF(C7210="","",UPPER(LEFT(SUBSTITUTE(C7210," ",""),3))&amp;"-"&amp;TEXT(B7210,"AAMMDD")&amp;"-1")</f>
        <v/>
      </c>
    </row>
    <row r="7211" spans="20:20" hidden="1">
      <c r="T7211" t="str">
        <f>IF(C7211="","",UPPER(LEFT(SUBSTITUTE(C7211," ",""),3))&amp;"-"&amp;TEXT(B7211,"AAMMDD")&amp;"-1")</f>
        <v/>
      </c>
    </row>
    <row r="7212" spans="20:20" hidden="1">
      <c r="T7212" t="str">
        <f>IF(C7212="","",UPPER(LEFT(SUBSTITUTE(C7212," ",""),3))&amp;"-"&amp;TEXT(B7212,"AAMMDD")&amp;"-1")</f>
        <v/>
      </c>
    </row>
    <row r="7213" spans="20:20" hidden="1">
      <c r="T7213" t="str">
        <f>IF(C7213="","",UPPER(LEFT(SUBSTITUTE(C7213," ",""),3))&amp;"-"&amp;TEXT(B7213,"AAMMDD")&amp;"-1")</f>
        <v/>
      </c>
    </row>
    <row r="7214" spans="20:20" hidden="1">
      <c r="T7214" t="str">
        <f>IF(C7214="","",UPPER(LEFT(SUBSTITUTE(C7214," ",""),3))&amp;"-"&amp;TEXT(B7214,"AAMMDD")&amp;"-1")</f>
        <v/>
      </c>
    </row>
    <row r="7215" spans="20:20" hidden="1">
      <c r="T7215" t="str">
        <f>IF(C7215="","",UPPER(LEFT(SUBSTITUTE(C7215," ",""),3))&amp;"-"&amp;TEXT(B7215,"AAMMDD")&amp;"-1")</f>
        <v/>
      </c>
    </row>
    <row r="7216" spans="20:20" hidden="1">
      <c r="T7216" t="str">
        <f>IF(C7216="","",UPPER(LEFT(SUBSTITUTE(C7216," ",""),3))&amp;"-"&amp;TEXT(B7216,"AAMMDD")&amp;"-1")</f>
        <v/>
      </c>
    </row>
    <row r="7217" spans="20:20" hidden="1">
      <c r="T7217" t="str">
        <f>IF(C7217="","",UPPER(LEFT(SUBSTITUTE(C7217," ",""),3))&amp;"-"&amp;TEXT(B7217,"AAMMDD")&amp;"-1")</f>
        <v/>
      </c>
    </row>
    <row r="7218" spans="20:20" hidden="1">
      <c r="T7218" t="str">
        <f>IF(C7218="","",UPPER(LEFT(SUBSTITUTE(C7218," ",""),3))&amp;"-"&amp;TEXT(B7218,"AAMMDD")&amp;"-1")</f>
        <v/>
      </c>
    </row>
    <row r="7219" spans="20:20" hidden="1">
      <c r="T7219" t="str">
        <f>IF(C7219="","",UPPER(LEFT(SUBSTITUTE(C7219," ",""),3))&amp;"-"&amp;TEXT(B7219,"AAMMDD")&amp;"-1")</f>
        <v/>
      </c>
    </row>
    <row r="7220" spans="20:20" hidden="1">
      <c r="T7220" t="str">
        <f>IF(C7220="","",UPPER(LEFT(SUBSTITUTE(C7220," ",""),3))&amp;"-"&amp;TEXT(B7220,"AAMMDD")&amp;"-1")</f>
        <v/>
      </c>
    </row>
    <row r="7221" spans="20:20" hidden="1">
      <c r="T7221" t="str">
        <f>IF(C7221="","",UPPER(LEFT(SUBSTITUTE(C7221," ",""),3))&amp;"-"&amp;TEXT(B7221,"AAMMDD")&amp;"-1")</f>
        <v/>
      </c>
    </row>
    <row r="7222" spans="20:20" hidden="1">
      <c r="T7222" t="str">
        <f>IF(C7222="","",UPPER(LEFT(SUBSTITUTE(C7222," ",""),3))&amp;"-"&amp;TEXT(B7222,"AAMMDD")&amp;"-1")</f>
        <v/>
      </c>
    </row>
    <row r="7223" spans="20:20" hidden="1">
      <c r="T7223" t="str">
        <f>IF(C7223="","",UPPER(LEFT(SUBSTITUTE(C7223," ",""),3))&amp;"-"&amp;TEXT(B7223,"AAMMDD")&amp;"-1")</f>
        <v/>
      </c>
    </row>
    <row r="7224" spans="20:20" hidden="1">
      <c r="T7224" t="str">
        <f>IF(C7224="","",UPPER(LEFT(SUBSTITUTE(C7224," ",""),3))&amp;"-"&amp;TEXT(B7224,"AAMMDD")&amp;"-1")</f>
        <v/>
      </c>
    </row>
    <row r="7225" spans="20:20" hidden="1">
      <c r="T7225" t="str">
        <f>IF(C7225="","",UPPER(LEFT(SUBSTITUTE(C7225," ",""),3))&amp;"-"&amp;TEXT(B7225,"AAMMDD")&amp;"-1")</f>
        <v/>
      </c>
    </row>
    <row r="7226" spans="20:20" hidden="1">
      <c r="T7226" t="str">
        <f>IF(C7226="","",UPPER(LEFT(SUBSTITUTE(C7226," ",""),3))&amp;"-"&amp;TEXT(B7226,"AAMMDD")&amp;"-1")</f>
        <v/>
      </c>
    </row>
    <row r="7227" spans="20:20" hidden="1">
      <c r="T7227" t="str">
        <f>IF(C7227="","",UPPER(LEFT(SUBSTITUTE(C7227," ",""),3))&amp;"-"&amp;TEXT(B7227,"AAMMDD")&amp;"-1")</f>
        <v/>
      </c>
    </row>
    <row r="7228" spans="20:20" hidden="1">
      <c r="T7228" t="str">
        <f>IF(C7228="","",UPPER(LEFT(SUBSTITUTE(C7228," ",""),3))&amp;"-"&amp;TEXT(B7228,"AAMMDD")&amp;"-1")</f>
        <v/>
      </c>
    </row>
    <row r="7229" spans="20:20" hidden="1">
      <c r="T7229" t="str">
        <f>IF(C7229="","",UPPER(LEFT(SUBSTITUTE(C7229," ",""),3))&amp;"-"&amp;TEXT(B7229,"AAMMDD")&amp;"-1")</f>
        <v/>
      </c>
    </row>
    <row r="7230" spans="20:20" hidden="1">
      <c r="T7230" t="str">
        <f>IF(C7230="","",UPPER(LEFT(SUBSTITUTE(C7230," ",""),3))&amp;"-"&amp;TEXT(B7230,"AAMMDD")&amp;"-1")</f>
        <v/>
      </c>
    </row>
    <row r="7231" spans="20:20" hidden="1">
      <c r="T7231" t="str">
        <f>IF(C7231="","",UPPER(LEFT(SUBSTITUTE(C7231," ",""),3))&amp;"-"&amp;TEXT(B7231,"AAMMDD")&amp;"-1")</f>
        <v/>
      </c>
    </row>
    <row r="7232" spans="20:20" hidden="1">
      <c r="T7232" t="str">
        <f>IF(C7232="","",UPPER(LEFT(SUBSTITUTE(C7232," ",""),3))&amp;"-"&amp;TEXT(B7232,"AAMMDD")&amp;"-1")</f>
        <v/>
      </c>
    </row>
    <row r="7233" spans="20:20" hidden="1">
      <c r="T7233" t="str">
        <f>IF(C7233="","",UPPER(LEFT(SUBSTITUTE(C7233," ",""),3))&amp;"-"&amp;TEXT(B7233,"AAMMDD")&amp;"-1")</f>
        <v/>
      </c>
    </row>
    <row r="7234" spans="20:20" hidden="1">
      <c r="T7234" t="str">
        <f>IF(C7234="","",UPPER(LEFT(SUBSTITUTE(C7234," ",""),3))&amp;"-"&amp;TEXT(B7234,"AAMMDD")&amp;"-1")</f>
        <v/>
      </c>
    </row>
    <row r="7235" spans="20:20" hidden="1">
      <c r="T7235" t="str">
        <f>IF(C7235="","",UPPER(LEFT(SUBSTITUTE(C7235," ",""),3))&amp;"-"&amp;TEXT(B7235,"AAMMDD")&amp;"-1")</f>
        <v/>
      </c>
    </row>
    <row r="7236" spans="20:20" hidden="1">
      <c r="T7236" t="str">
        <f>IF(C7236="","",UPPER(LEFT(SUBSTITUTE(C7236," ",""),3))&amp;"-"&amp;TEXT(B7236,"AAMMDD")&amp;"-1")</f>
        <v/>
      </c>
    </row>
    <row r="7237" spans="20:20" hidden="1">
      <c r="T7237" t="str">
        <f>IF(C7237="","",UPPER(LEFT(SUBSTITUTE(C7237," ",""),3))&amp;"-"&amp;TEXT(B7237,"AAMMDD")&amp;"-1")</f>
        <v/>
      </c>
    </row>
    <row r="7238" spans="20:20" hidden="1">
      <c r="T7238" t="str">
        <f>IF(C7238="","",UPPER(LEFT(SUBSTITUTE(C7238," ",""),3))&amp;"-"&amp;TEXT(B7238,"AAMMDD")&amp;"-1")</f>
        <v/>
      </c>
    </row>
    <row r="7239" spans="20:20" hidden="1">
      <c r="T7239" t="str">
        <f>IF(C7239="","",UPPER(LEFT(SUBSTITUTE(C7239," ",""),3))&amp;"-"&amp;TEXT(B7239,"AAMMDD")&amp;"-1")</f>
        <v/>
      </c>
    </row>
    <row r="7240" spans="20:20" hidden="1">
      <c r="T7240" t="str">
        <f>IF(C7240="","",UPPER(LEFT(SUBSTITUTE(C7240," ",""),3))&amp;"-"&amp;TEXT(B7240,"AAMMDD")&amp;"-1")</f>
        <v/>
      </c>
    </row>
    <row r="7241" spans="20:20" hidden="1">
      <c r="T7241" t="str">
        <f>IF(C7241="","",UPPER(LEFT(SUBSTITUTE(C7241," ",""),3))&amp;"-"&amp;TEXT(B7241,"AAMMDD")&amp;"-1")</f>
        <v/>
      </c>
    </row>
    <row r="7242" spans="20:20" hidden="1">
      <c r="T7242" t="str">
        <f>IF(C7242="","",UPPER(LEFT(SUBSTITUTE(C7242," ",""),3))&amp;"-"&amp;TEXT(B7242,"AAMMDD")&amp;"-1")</f>
        <v/>
      </c>
    </row>
    <row r="7243" spans="20:20" hidden="1">
      <c r="T7243" t="str">
        <f>IF(C7243="","",UPPER(LEFT(SUBSTITUTE(C7243," ",""),3))&amp;"-"&amp;TEXT(B7243,"AAMMDD")&amp;"-1")</f>
        <v/>
      </c>
    </row>
    <row r="7244" spans="20:20" hidden="1">
      <c r="T7244" t="str">
        <f>IF(C7244="","",UPPER(LEFT(SUBSTITUTE(C7244," ",""),3))&amp;"-"&amp;TEXT(B7244,"AAMMDD")&amp;"-1")</f>
        <v/>
      </c>
    </row>
    <row r="7245" spans="20:20" hidden="1">
      <c r="T7245" t="str">
        <f>IF(C7245="","",UPPER(LEFT(SUBSTITUTE(C7245," ",""),3))&amp;"-"&amp;TEXT(B7245,"AAMMDD")&amp;"-1")</f>
        <v/>
      </c>
    </row>
    <row r="7246" spans="20:20" hidden="1">
      <c r="T7246" t="str">
        <f>IF(C7246="","",UPPER(LEFT(SUBSTITUTE(C7246," ",""),3))&amp;"-"&amp;TEXT(B7246,"AAMMDD")&amp;"-1")</f>
        <v/>
      </c>
    </row>
    <row r="7247" spans="20:20" hidden="1">
      <c r="T7247" t="str">
        <f>IF(C7247="","",UPPER(LEFT(SUBSTITUTE(C7247," ",""),3))&amp;"-"&amp;TEXT(B7247,"AAMMDD")&amp;"-1")</f>
        <v/>
      </c>
    </row>
    <row r="7248" spans="20:20" hidden="1">
      <c r="T7248" t="str">
        <f>IF(C7248="","",UPPER(LEFT(SUBSTITUTE(C7248," ",""),3))&amp;"-"&amp;TEXT(B7248,"AAMMDD")&amp;"-1")</f>
        <v/>
      </c>
    </row>
    <row r="7249" spans="20:20" hidden="1">
      <c r="T7249" t="str">
        <f>IF(C7249="","",UPPER(LEFT(SUBSTITUTE(C7249," ",""),3))&amp;"-"&amp;TEXT(B7249,"AAMMDD")&amp;"-1")</f>
        <v/>
      </c>
    </row>
    <row r="7250" spans="20:20" hidden="1">
      <c r="T7250" t="str">
        <f>IF(C7250="","",UPPER(LEFT(SUBSTITUTE(C7250," ",""),3))&amp;"-"&amp;TEXT(B7250,"AAMMDD")&amp;"-1")</f>
        <v/>
      </c>
    </row>
    <row r="7251" spans="20:20" hidden="1">
      <c r="T7251" t="str">
        <f>IF(C7251="","",UPPER(LEFT(SUBSTITUTE(C7251," ",""),3))&amp;"-"&amp;TEXT(B7251,"AAMMDD")&amp;"-1")</f>
        <v/>
      </c>
    </row>
    <row r="7252" spans="20:20" hidden="1">
      <c r="T7252" t="str">
        <f>IF(C7252="","",UPPER(LEFT(SUBSTITUTE(C7252," ",""),3))&amp;"-"&amp;TEXT(B7252,"AAMMDD")&amp;"-1")</f>
        <v/>
      </c>
    </row>
    <row r="7253" spans="20:20" hidden="1">
      <c r="T7253" t="str">
        <f>IF(C7253="","",UPPER(LEFT(SUBSTITUTE(C7253," ",""),3))&amp;"-"&amp;TEXT(B7253,"AAMMDD")&amp;"-1")</f>
        <v/>
      </c>
    </row>
    <row r="7254" spans="20:20" hidden="1">
      <c r="T7254" t="str">
        <f>IF(C7254="","",UPPER(LEFT(SUBSTITUTE(C7254," ",""),3))&amp;"-"&amp;TEXT(B7254,"AAMMDD")&amp;"-1")</f>
        <v/>
      </c>
    </row>
    <row r="7255" spans="20:20" hidden="1">
      <c r="T7255" t="str">
        <f>IF(C7255="","",UPPER(LEFT(SUBSTITUTE(C7255," ",""),3))&amp;"-"&amp;TEXT(B7255,"AAMMDD")&amp;"-1")</f>
        <v/>
      </c>
    </row>
    <row r="7256" spans="20:20" hidden="1">
      <c r="T7256" t="str">
        <f>IF(C7256="","",UPPER(LEFT(SUBSTITUTE(C7256," ",""),3))&amp;"-"&amp;TEXT(B7256,"AAMMDD")&amp;"-1")</f>
        <v/>
      </c>
    </row>
    <row r="7257" spans="20:20" hidden="1">
      <c r="T7257" t="str">
        <f>IF(C7257="","",UPPER(LEFT(SUBSTITUTE(C7257," ",""),3))&amp;"-"&amp;TEXT(B7257,"AAMMDD")&amp;"-1")</f>
        <v/>
      </c>
    </row>
    <row r="7258" spans="20:20" hidden="1">
      <c r="T7258" t="str">
        <f>IF(C7258="","",UPPER(LEFT(SUBSTITUTE(C7258," ",""),3))&amp;"-"&amp;TEXT(B7258,"AAMMDD")&amp;"-1")</f>
        <v/>
      </c>
    </row>
    <row r="7259" spans="20:20" hidden="1">
      <c r="T7259" t="str">
        <f>IF(C7259="","",UPPER(LEFT(SUBSTITUTE(C7259," ",""),3))&amp;"-"&amp;TEXT(B7259,"AAMMDD")&amp;"-1")</f>
        <v/>
      </c>
    </row>
    <row r="7260" spans="20:20" hidden="1">
      <c r="T7260" t="str">
        <f>IF(C7260="","",UPPER(LEFT(SUBSTITUTE(C7260," ",""),3))&amp;"-"&amp;TEXT(B7260,"AAMMDD")&amp;"-1")</f>
        <v/>
      </c>
    </row>
    <row r="7261" spans="20:20" hidden="1">
      <c r="T7261" t="str">
        <f>IF(C7261="","",UPPER(LEFT(SUBSTITUTE(C7261," ",""),3))&amp;"-"&amp;TEXT(B7261,"AAMMDD")&amp;"-1")</f>
        <v/>
      </c>
    </row>
    <row r="7262" spans="20:20" hidden="1">
      <c r="T7262" t="str">
        <f>IF(C7262="","",UPPER(LEFT(SUBSTITUTE(C7262," ",""),3))&amp;"-"&amp;TEXT(B7262,"AAMMDD")&amp;"-1")</f>
        <v/>
      </c>
    </row>
    <row r="7263" spans="20:20" hidden="1">
      <c r="T7263" t="str">
        <f>IF(C7263="","",UPPER(LEFT(SUBSTITUTE(C7263," ",""),3))&amp;"-"&amp;TEXT(B7263,"AAMMDD")&amp;"-1")</f>
        <v/>
      </c>
    </row>
    <row r="7264" spans="20:20" hidden="1">
      <c r="T7264" t="str">
        <f>IF(C7264="","",UPPER(LEFT(SUBSTITUTE(C7264," ",""),3))&amp;"-"&amp;TEXT(B7264,"AAMMDD")&amp;"-1")</f>
        <v/>
      </c>
    </row>
    <row r="7265" spans="20:20" hidden="1">
      <c r="T7265" t="str">
        <f>IF(C7265="","",UPPER(LEFT(SUBSTITUTE(C7265," ",""),3))&amp;"-"&amp;TEXT(B7265,"AAMMDD")&amp;"-1")</f>
        <v/>
      </c>
    </row>
    <row r="7266" spans="20:20" hidden="1">
      <c r="T7266" t="str">
        <f>IF(C7266="","",UPPER(LEFT(SUBSTITUTE(C7266," ",""),3))&amp;"-"&amp;TEXT(B7266,"AAMMDD")&amp;"-1")</f>
        <v/>
      </c>
    </row>
    <row r="7267" spans="20:20" hidden="1">
      <c r="T7267" t="str">
        <f>IF(C7267="","",UPPER(LEFT(SUBSTITUTE(C7267," ",""),3))&amp;"-"&amp;TEXT(B7267,"AAMMDD")&amp;"-1")</f>
        <v/>
      </c>
    </row>
    <row r="7268" spans="20:20" hidden="1">
      <c r="T7268" t="str">
        <f>IF(C7268="","",UPPER(LEFT(SUBSTITUTE(C7268," ",""),3))&amp;"-"&amp;TEXT(B7268,"AAMMDD")&amp;"-1")</f>
        <v/>
      </c>
    </row>
    <row r="7269" spans="20:20" hidden="1">
      <c r="T7269" t="str">
        <f>IF(C7269="","",UPPER(LEFT(SUBSTITUTE(C7269," ",""),3))&amp;"-"&amp;TEXT(B7269,"AAMMDD")&amp;"-1")</f>
        <v/>
      </c>
    </row>
    <row r="7270" spans="20:20" hidden="1">
      <c r="T7270" t="str">
        <f>IF(C7270="","",UPPER(LEFT(SUBSTITUTE(C7270," ",""),3))&amp;"-"&amp;TEXT(B7270,"AAMMDD")&amp;"-1")</f>
        <v/>
      </c>
    </row>
    <row r="7271" spans="20:20" hidden="1">
      <c r="T7271" t="str">
        <f>IF(C7271="","",UPPER(LEFT(SUBSTITUTE(C7271," ",""),3))&amp;"-"&amp;TEXT(B7271,"AAMMDD")&amp;"-1")</f>
        <v/>
      </c>
    </row>
    <row r="7272" spans="20:20" hidden="1">
      <c r="T7272" t="str">
        <f>IF(C7272="","",UPPER(LEFT(SUBSTITUTE(C7272," ",""),3))&amp;"-"&amp;TEXT(B7272,"AAMMDD")&amp;"-1")</f>
        <v/>
      </c>
    </row>
    <row r="7273" spans="20:20" hidden="1">
      <c r="T7273" t="str">
        <f>IF(C7273="","",UPPER(LEFT(SUBSTITUTE(C7273," ",""),3))&amp;"-"&amp;TEXT(B7273,"AAMMDD")&amp;"-1")</f>
        <v/>
      </c>
    </row>
    <row r="7274" spans="20:20" hidden="1">
      <c r="T7274" t="str">
        <f>IF(C7274="","",UPPER(LEFT(SUBSTITUTE(C7274," ",""),3))&amp;"-"&amp;TEXT(B7274,"AAMMDD")&amp;"-1")</f>
        <v/>
      </c>
    </row>
    <row r="7275" spans="20:20" hidden="1">
      <c r="T7275" t="str">
        <f>IF(C7275="","",UPPER(LEFT(SUBSTITUTE(C7275," ",""),3))&amp;"-"&amp;TEXT(B7275,"AAMMDD")&amp;"-1")</f>
        <v/>
      </c>
    </row>
    <row r="7276" spans="20:20" hidden="1">
      <c r="T7276" t="str">
        <f>IF(C7276="","",UPPER(LEFT(SUBSTITUTE(C7276," ",""),3))&amp;"-"&amp;TEXT(B7276,"AAMMDD")&amp;"-1")</f>
        <v/>
      </c>
    </row>
    <row r="7277" spans="20:20" hidden="1">
      <c r="T7277" t="str">
        <f>IF(C7277="","",UPPER(LEFT(SUBSTITUTE(C7277," ",""),3))&amp;"-"&amp;TEXT(B7277,"AAMMDD")&amp;"-1")</f>
        <v/>
      </c>
    </row>
    <row r="7278" spans="20:20" hidden="1">
      <c r="T7278" t="str">
        <f>IF(C7278="","",UPPER(LEFT(SUBSTITUTE(C7278," ",""),3))&amp;"-"&amp;TEXT(B7278,"AAMMDD")&amp;"-1")</f>
        <v/>
      </c>
    </row>
    <row r="7279" spans="20:20" hidden="1">
      <c r="T7279" t="str">
        <f>IF(C7279="","",UPPER(LEFT(SUBSTITUTE(C7279," ",""),3))&amp;"-"&amp;TEXT(B7279,"AAMMDD")&amp;"-1")</f>
        <v/>
      </c>
    </row>
    <row r="7280" spans="20:20" hidden="1">
      <c r="T7280" t="str">
        <f>IF(C7280="","",UPPER(LEFT(SUBSTITUTE(C7280," ",""),3))&amp;"-"&amp;TEXT(B7280,"AAMMDD")&amp;"-1")</f>
        <v/>
      </c>
    </row>
    <row r="7281" spans="20:20" hidden="1">
      <c r="T7281" t="str">
        <f>IF(C7281="","",UPPER(LEFT(SUBSTITUTE(C7281," ",""),3))&amp;"-"&amp;TEXT(B7281,"AAMMDD")&amp;"-1")</f>
        <v/>
      </c>
    </row>
    <row r="7282" spans="20:20" hidden="1">
      <c r="T7282" t="str">
        <f>IF(C7282="","",UPPER(LEFT(SUBSTITUTE(C7282," ",""),3))&amp;"-"&amp;TEXT(B7282,"AAMMDD")&amp;"-1")</f>
        <v/>
      </c>
    </row>
    <row r="7283" spans="20:20" hidden="1">
      <c r="T7283" t="str">
        <f>IF(C7283="","",UPPER(LEFT(SUBSTITUTE(C7283," ",""),3))&amp;"-"&amp;TEXT(B7283,"AAMMDD")&amp;"-1")</f>
        <v/>
      </c>
    </row>
    <row r="7284" spans="20:20" hidden="1">
      <c r="T7284" t="str">
        <f>IF(C7284="","",UPPER(LEFT(SUBSTITUTE(C7284," ",""),3))&amp;"-"&amp;TEXT(B7284,"AAMMDD")&amp;"-1")</f>
        <v/>
      </c>
    </row>
    <row r="7285" spans="20:20" hidden="1">
      <c r="T7285" t="str">
        <f>IF(C7285="","",UPPER(LEFT(SUBSTITUTE(C7285," ",""),3))&amp;"-"&amp;TEXT(B7285,"AAMMDD")&amp;"-1")</f>
        <v/>
      </c>
    </row>
    <row r="7286" spans="20:20" hidden="1">
      <c r="T7286" t="str">
        <f>IF(C7286="","",UPPER(LEFT(SUBSTITUTE(C7286," ",""),3))&amp;"-"&amp;TEXT(B7286,"AAMMDD")&amp;"-1")</f>
        <v/>
      </c>
    </row>
    <row r="7287" spans="20:20" hidden="1">
      <c r="T7287" t="str">
        <f>IF(C7287="","",UPPER(LEFT(SUBSTITUTE(C7287," ",""),3))&amp;"-"&amp;TEXT(B7287,"AAMMDD")&amp;"-1")</f>
        <v/>
      </c>
    </row>
    <row r="7288" spans="20:20" hidden="1">
      <c r="T7288" t="str">
        <f>IF(C7288="","",UPPER(LEFT(SUBSTITUTE(C7288," ",""),3))&amp;"-"&amp;TEXT(B7288,"AAMMDD")&amp;"-1")</f>
        <v/>
      </c>
    </row>
    <row r="7289" spans="20:20" hidden="1">
      <c r="T7289" t="str">
        <f>IF(C7289="","",UPPER(LEFT(SUBSTITUTE(C7289," ",""),3))&amp;"-"&amp;TEXT(B7289,"AAMMDD")&amp;"-1")</f>
        <v/>
      </c>
    </row>
    <row r="7290" spans="20:20" hidden="1">
      <c r="T7290" t="str">
        <f>IF(C7290="","",UPPER(LEFT(SUBSTITUTE(C7290," ",""),3))&amp;"-"&amp;TEXT(B7290,"AAMMDD")&amp;"-1")</f>
        <v/>
      </c>
    </row>
    <row r="7291" spans="20:20" hidden="1">
      <c r="T7291" t="str">
        <f>IF(C7291="","",UPPER(LEFT(SUBSTITUTE(C7291," ",""),3))&amp;"-"&amp;TEXT(B7291,"AAMMDD")&amp;"-1")</f>
        <v/>
      </c>
    </row>
    <row r="7292" spans="20:20" hidden="1">
      <c r="T7292" t="str">
        <f>IF(C7292="","",UPPER(LEFT(SUBSTITUTE(C7292," ",""),3))&amp;"-"&amp;TEXT(B7292,"AAMMDD")&amp;"-1")</f>
        <v/>
      </c>
    </row>
    <row r="7293" spans="20:20" hidden="1">
      <c r="T7293" t="str">
        <f>IF(C7293="","",UPPER(LEFT(SUBSTITUTE(C7293," ",""),3))&amp;"-"&amp;TEXT(B7293,"AAMMDD")&amp;"-1")</f>
        <v/>
      </c>
    </row>
    <row r="7294" spans="20:20" hidden="1">
      <c r="T7294" t="str">
        <f>IF(C7294="","",UPPER(LEFT(SUBSTITUTE(C7294," ",""),3))&amp;"-"&amp;TEXT(B7294,"AAMMDD")&amp;"-1")</f>
        <v/>
      </c>
    </row>
    <row r="7295" spans="20:20" hidden="1">
      <c r="T7295" t="str">
        <f>IF(C7295="","",UPPER(LEFT(SUBSTITUTE(C7295," ",""),3))&amp;"-"&amp;TEXT(B7295,"AAMMDD")&amp;"-1")</f>
        <v/>
      </c>
    </row>
    <row r="7296" spans="20:20" hidden="1">
      <c r="T7296" t="str">
        <f>IF(C7296="","",UPPER(LEFT(SUBSTITUTE(C7296," ",""),3))&amp;"-"&amp;TEXT(B7296,"AAMMDD")&amp;"-1")</f>
        <v/>
      </c>
    </row>
    <row r="7297" spans="20:20" hidden="1">
      <c r="T7297" t="str">
        <f>IF(C7297="","",UPPER(LEFT(SUBSTITUTE(C7297," ",""),3))&amp;"-"&amp;TEXT(B7297,"AAMMDD")&amp;"-1")</f>
        <v/>
      </c>
    </row>
    <row r="7298" spans="20:20" hidden="1">
      <c r="T7298" t="str">
        <f>IF(C7298="","",UPPER(LEFT(SUBSTITUTE(C7298," ",""),3))&amp;"-"&amp;TEXT(B7298,"AAMMDD")&amp;"-1")</f>
        <v/>
      </c>
    </row>
    <row r="7299" spans="20:20" hidden="1">
      <c r="T7299" t="str">
        <f>IF(C7299="","",UPPER(LEFT(SUBSTITUTE(C7299," ",""),3))&amp;"-"&amp;TEXT(B7299,"AAMMDD")&amp;"-1")</f>
        <v/>
      </c>
    </row>
    <row r="7300" spans="20:20" hidden="1">
      <c r="T7300" t="str">
        <f>IF(C7300="","",UPPER(LEFT(SUBSTITUTE(C7300," ",""),3))&amp;"-"&amp;TEXT(B7300,"AAMMDD")&amp;"-1")</f>
        <v/>
      </c>
    </row>
    <row r="7301" spans="20:20" hidden="1">
      <c r="T7301" t="str">
        <f>IF(C7301="","",UPPER(LEFT(SUBSTITUTE(C7301," ",""),3))&amp;"-"&amp;TEXT(B7301,"AAMMDD")&amp;"-1")</f>
        <v/>
      </c>
    </row>
    <row r="7302" spans="20:20" hidden="1">
      <c r="T7302" t="str">
        <f>IF(C7302="","",UPPER(LEFT(SUBSTITUTE(C7302," ",""),3))&amp;"-"&amp;TEXT(B7302,"AAMMDD")&amp;"-1")</f>
        <v/>
      </c>
    </row>
    <row r="7303" spans="20:20" hidden="1">
      <c r="T7303" t="str">
        <f>IF(C7303="","",UPPER(LEFT(SUBSTITUTE(C7303," ",""),3))&amp;"-"&amp;TEXT(B7303,"AAMMDD")&amp;"-1")</f>
        <v/>
      </c>
    </row>
    <row r="7304" spans="20:20" hidden="1">
      <c r="T7304" t="str">
        <f>IF(C7304="","",UPPER(LEFT(SUBSTITUTE(C7304," ",""),3))&amp;"-"&amp;TEXT(B7304,"AAMMDD")&amp;"-1")</f>
        <v/>
      </c>
    </row>
    <row r="7305" spans="20:20" hidden="1">
      <c r="T7305" t="str">
        <f>IF(C7305="","",UPPER(LEFT(SUBSTITUTE(C7305," ",""),3))&amp;"-"&amp;TEXT(B7305,"AAMMDD")&amp;"-1")</f>
        <v/>
      </c>
    </row>
    <row r="7306" spans="20:20" hidden="1">
      <c r="T7306" t="str">
        <f>IF(C7306="","",UPPER(LEFT(SUBSTITUTE(C7306," ",""),3))&amp;"-"&amp;TEXT(B7306,"AAMMDD")&amp;"-1")</f>
        <v/>
      </c>
    </row>
    <row r="7307" spans="20:20" hidden="1">
      <c r="T7307" t="str">
        <f>IF(C7307="","",UPPER(LEFT(SUBSTITUTE(C7307," ",""),3))&amp;"-"&amp;TEXT(B7307,"AAMMDD")&amp;"-1")</f>
        <v/>
      </c>
    </row>
    <row r="7308" spans="20:20" hidden="1">
      <c r="T7308" t="str">
        <f>IF(C7308="","",UPPER(LEFT(SUBSTITUTE(C7308," ",""),3))&amp;"-"&amp;TEXT(B7308,"AAMMDD")&amp;"-1")</f>
        <v/>
      </c>
    </row>
    <row r="7309" spans="20:20" hidden="1">
      <c r="T7309" t="str">
        <f>IF(C7309="","",UPPER(LEFT(SUBSTITUTE(C7309," ",""),3))&amp;"-"&amp;TEXT(B7309,"AAMMDD")&amp;"-1")</f>
        <v/>
      </c>
    </row>
    <row r="7310" spans="20:20" hidden="1">
      <c r="T7310" t="str">
        <f>IF(C7310="","",UPPER(LEFT(SUBSTITUTE(C7310," ",""),3))&amp;"-"&amp;TEXT(B7310,"AAMMDD")&amp;"-1")</f>
        <v/>
      </c>
    </row>
    <row r="7311" spans="20:20" hidden="1">
      <c r="T7311" t="str">
        <f>IF(C7311="","",UPPER(LEFT(SUBSTITUTE(C7311," ",""),3))&amp;"-"&amp;TEXT(B7311,"AAMMDD")&amp;"-1")</f>
        <v/>
      </c>
    </row>
    <row r="7312" spans="20:20" hidden="1">
      <c r="T7312" t="str">
        <f>IF(C7312="","",UPPER(LEFT(SUBSTITUTE(C7312," ",""),3))&amp;"-"&amp;TEXT(B7312,"AAMMDD")&amp;"-1")</f>
        <v/>
      </c>
    </row>
    <row r="7313" spans="20:20" hidden="1">
      <c r="T7313" t="str">
        <f>IF(C7313="","",UPPER(LEFT(SUBSTITUTE(C7313," ",""),3))&amp;"-"&amp;TEXT(B7313,"AAMMDD")&amp;"-1")</f>
        <v/>
      </c>
    </row>
    <row r="7314" spans="20:20" hidden="1">
      <c r="T7314" t="str">
        <f>IF(C7314="","",UPPER(LEFT(SUBSTITUTE(C7314," ",""),3))&amp;"-"&amp;TEXT(B7314,"AAMMDD")&amp;"-1")</f>
        <v/>
      </c>
    </row>
    <row r="7315" spans="20:20" hidden="1">
      <c r="T7315" t="str">
        <f>IF(C7315="","",UPPER(LEFT(SUBSTITUTE(C7315," ",""),3))&amp;"-"&amp;TEXT(B7315,"AAMMDD")&amp;"-1")</f>
        <v/>
      </c>
    </row>
    <row r="7316" spans="20:20" hidden="1">
      <c r="T7316" t="str">
        <f>IF(C7316="","",UPPER(LEFT(SUBSTITUTE(C7316," ",""),3))&amp;"-"&amp;TEXT(B7316,"AAMMDD")&amp;"-1")</f>
        <v/>
      </c>
    </row>
    <row r="7317" spans="20:20" hidden="1">
      <c r="T7317" t="str">
        <f>IF(C7317="","",UPPER(LEFT(SUBSTITUTE(C7317," ",""),3))&amp;"-"&amp;TEXT(B7317,"AAMMDD")&amp;"-1")</f>
        <v/>
      </c>
    </row>
    <row r="7318" spans="20:20" hidden="1">
      <c r="T7318" t="str">
        <f>IF(C7318="","",UPPER(LEFT(SUBSTITUTE(C7318," ",""),3))&amp;"-"&amp;TEXT(B7318,"AAMMDD")&amp;"-1")</f>
        <v/>
      </c>
    </row>
    <row r="7319" spans="20:20" hidden="1">
      <c r="T7319" t="str">
        <f>IF(C7319="","",UPPER(LEFT(SUBSTITUTE(C7319," ",""),3))&amp;"-"&amp;TEXT(B7319,"AAMMDD")&amp;"-1")</f>
        <v/>
      </c>
    </row>
    <row r="7320" spans="20:20" hidden="1">
      <c r="T7320" t="str">
        <f>IF(C7320="","",UPPER(LEFT(SUBSTITUTE(C7320," ",""),3))&amp;"-"&amp;TEXT(B7320,"AAMMDD")&amp;"-1")</f>
        <v/>
      </c>
    </row>
    <row r="7321" spans="20:20" hidden="1">
      <c r="T7321" t="str">
        <f>IF(C7321="","",UPPER(LEFT(SUBSTITUTE(C7321," ",""),3))&amp;"-"&amp;TEXT(B7321,"AAMMDD")&amp;"-1")</f>
        <v/>
      </c>
    </row>
    <row r="7322" spans="20:20" hidden="1">
      <c r="T7322" t="str">
        <f>IF(C7322="","",UPPER(LEFT(SUBSTITUTE(C7322," ",""),3))&amp;"-"&amp;TEXT(B7322,"AAMMDD")&amp;"-1")</f>
        <v/>
      </c>
    </row>
    <row r="7323" spans="20:20" hidden="1">
      <c r="T7323" t="str">
        <f>IF(C7323="","",UPPER(LEFT(SUBSTITUTE(C7323," ",""),3))&amp;"-"&amp;TEXT(B7323,"AAMMDD")&amp;"-1")</f>
        <v/>
      </c>
    </row>
    <row r="7324" spans="20:20" hidden="1">
      <c r="T7324" t="str">
        <f>IF(C7324="","",UPPER(LEFT(SUBSTITUTE(C7324," ",""),3))&amp;"-"&amp;TEXT(B7324,"AAMMDD")&amp;"-1")</f>
        <v/>
      </c>
    </row>
    <row r="7325" spans="20:20" hidden="1">
      <c r="T7325" t="str">
        <f>IF(C7325="","",UPPER(LEFT(SUBSTITUTE(C7325," ",""),3))&amp;"-"&amp;TEXT(B7325,"AAMMDD")&amp;"-1")</f>
        <v/>
      </c>
    </row>
    <row r="7326" spans="20:20" hidden="1">
      <c r="T7326" t="str">
        <f>IF(C7326="","",UPPER(LEFT(SUBSTITUTE(C7326," ",""),3))&amp;"-"&amp;TEXT(B7326,"AAMMDD")&amp;"-1")</f>
        <v/>
      </c>
    </row>
    <row r="7327" spans="20:20" hidden="1">
      <c r="T7327" t="str">
        <f>IF(C7327="","",UPPER(LEFT(SUBSTITUTE(C7327," ",""),3))&amp;"-"&amp;TEXT(B7327,"AAMMDD")&amp;"-1")</f>
        <v/>
      </c>
    </row>
    <row r="7328" spans="20:20" hidden="1">
      <c r="T7328" t="str">
        <f>IF(C7328="","",UPPER(LEFT(SUBSTITUTE(C7328," ",""),3))&amp;"-"&amp;TEXT(B7328,"AAMMDD")&amp;"-1")</f>
        <v/>
      </c>
    </row>
    <row r="7329" spans="20:20" hidden="1">
      <c r="T7329" t="str">
        <f>IF(C7329="","",UPPER(LEFT(SUBSTITUTE(C7329," ",""),3))&amp;"-"&amp;TEXT(B7329,"AAMMDD")&amp;"-1")</f>
        <v/>
      </c>
    </row>
    <row r="7330" spans="20:20" hidden="1">
      <c r="T7330" t="str">
        <f>IF(C7330="","",UPPER(LEFT(SUBSTITUTE(C7330," ",""),3))&amp;"-"&amp;TEXT(B7330,"AAMMDD")&amp;"-1")</f>
        <v/>
      </c>
    </row>
    <row r="7331" spans="20:20" hidden="1">
      <c r="T7331" t="str">
        <f>IF(C7331="","",UPPER(LEFT(SUBSTITUTE(C7331," ",""),3))&amp;"-"&amp;TEXT(B7331,"AAMMDD")&amp;"-1")</f>
        <v/>
      </c>
    </row>
    <row r="7332" spans="20:20" hidden="1">
      <c r="T7332" t="str">
        <f>IF(C7332="","",UPPER(LEFT(SUBSTITUTE(C7332," ",""),3))&amp;"-"&amp;TEXT(B7332,"AAMMDD")&amp;"-1")</f>
        <v/>
      </c>
    </row>
    <row r="7333" spans="20:20" hidden="1">
      <c r="T7333" t="str">
        <f>IF(C7333="","",UPPER(LEFT(SUBSTITUTE(C7333," ",""),3))&amp;"-"&amp;TEXT(B7333,"AAMMDD")&amp;"-1")</f>
        <v/>
      </c>
    </row>
    <row r="7334" spans="20:20" hidden="1">
      <c r="T7334" t="str">
        <f>IF(C7334="","",UPPER(LEFT(SUBSTITUTE(C7334," ",""),3))&amp;"-"&amp;TEXT(B7334,"AAMMDD")&amp;"-1")</f>
        <v/>
      </c>
    </row>
    <row r="7335" spans="20:20" hidden="1">
      <c r="T7335" t="str">
        <f>IF(C7335="","",UPPER(LEFT(SUBSTITUTE(C7335," ",""),3))&amp;"-"&amp;TEXT(B7335,"AAMMDD")&amp;"-1")</f>
        <v/>
      </c>
    </row>
    <row r="7336" spans="20:20" hidden="1">
      <c r="T7336" t="str">
        <f>IF(C7336="","",UPPER(LEFT(SUBSTITUTE(C7336," ",""),3))&amp;"-"&amp;TEXT(B7336,"AAMMDD")&amp;"-1")</f>
        <v/>
      </c>
    </row>
    <row r="7337" spans="20:20" hidden="1">
      <c r="T7337" t="str">
        <f>IF(C7337="","",UPPER(LEFT(SUBSTITUTE(C7337," ",""),3))&amp;"-"&amp;TEXT(B7337,"AAMMDD")&amp;"-1")</f>
        <v/>
      </c>
    </row>
    <row r="7338" spans="20:20" hidden="1">
      <c r="T7338" t="str">
        <f>IF(C7338="","",UPPER(LEFT(SUBSTITUTE(C7338," ",""),3))&amp;"-"&amp;TEXT(B7338,"AAMMDD")&amp;"-1")</f>
        <v/>
      </c>
    </row>
    <row r="7339" spans="20:20" hidden="1">
      <c r="T7339" t="str">
        <f>IF(C7339="","",UPPER(LEFT(SUBSTITUTE(C7339," ",""),3))&amp;"-"&amp;TEXT(B7339,"AAMMDD")&amp;"-1")</f>
        <v/>
      </c>
    </row>
    <row r="7340" spans="20:20" hidden="1">
      <c r="T7340" t="str">
        <f>IF(C7340="","",UPPER(LEFT(SUBSTITUTE(C7340," ",""),3))&amp;"-"&amp;TEXT(B7340,"AAMMDD")&amp;"-1")</f>
        <v/>
      </c>
    </row>
    <row r="7341" spans="20:20" hidden="1">
      <c r="T7341" t="str">
        <f>IF(C7341="","",UPPER(LEFT(SUBSTITUTE(C7341," ",""),3))&amp;"-"&amp;TEXT(B7341,"AAMMDD")&amp;"-1")</f>
        <v/>
      </c>
    </row>
    <row r="7342" spans="20:20" hidden="1">
      <c r="T7342" t="str">
        <f>IF(C7342="","",UPPER(LEFT(SUBSTITUTE(C7342," ",""),3))&amp;"-"&amp;TEXT(B7342,"AAMMDD")&amp;"-1")</f>
        <v/>
      </c>
    </row>
    <row r="7343" spans="20:20" hidden="1">
      <c r="T7343" t="str">
        <f>IF(C7343="","",UPPER(LEFT(SUBSTITUTE(C7343," ",""),3))&amp;"-"&amp;TEXT(B7343,"AAMMDD")&amp;"-1")</f>
        <v/>
      </c>
    </row>
    <row r="7344" spans="20:20" hidden="1">
      <c r="T7344" t="str">
        <f>IF(C7344="","",UPPER(LEFT(SUBSTITUTE(C7344," ",""),3))&amp;"-"&amp;TEXT(B7344,"AAMMDD")&amp;"-1")</f>
        <v/>
      </c>
    </row>
    <row r="7345" spans="20:20" hidden="1">
      <c r="T7345" t="str">
        <f>IF(C7345="","",UPPER(LEFT(SUBSTITUTE(C7345," ",""),3))&amp;"-"&amp;TEXT(B7345,"AAMMDD")&amp;"-1")</f>
        <v/>
      </c>
    </row>
    <row r="7346" spans="20:20" hidden="1">
      <c r="T7346" t="str">
        <f>IF(C7346="","",UPPER(LEFT(SUBSTITUTE(C7346," ",""),3))&amp;"-"&amp;TEXT(B7346,"AAMMDD")&amp;"-1")</f>
        <v/>
      </c>
    </row>
    <row r="7347" spans="20:20" hidden="1">
      <c r="T7347" t="str">
        <f>IF(C7347="","",UPPER(LEFT(SUBSTITUTE(C7347," ",""),3))&amp;"-"&amp;TEXT(B7347,"AAMMDD")&amp;"-1")</f>
        <v/>
      </c>
    </row>
    <row r="7348" spans="20:20" hidden="1">
      <c r="T7348" t="str">
        <f>IF(C7348="","",UPPER(LEFT(SUBSTITUTE(C7348," ",""),3))&amp;"-"&amp;TEXT(B7348,"AAMMDD")&amp;"-1")</f>
        <v/>
      </c>
    </row>
    <row r="7349" spans="20:20" hidden="1">
      <c r="T7349" t="str">
        <f>IF(C7349="","",UPPER(LEFT(SUBSTITUTE(C7349," ",""),3))&amp;"-"&amp;TEXT(B7349,"AAMMDD")&amp;"-1")</f>
        <v/>
      </c>
    </row>
    <row r="7350" spans="20:20" hidden="1">
      <c r="T7350" t="str">
        <f>IF(C7350="","",UPPER(LEFT(SUBSTITUTE(C7350," ",""),3))&amp;"-"&amp;TEXT(B7350,"AAMMDD")&amp;"-1")</f>
        <v/>
      </c>
    </row>
    <row r="7351" spans="20:20" hidden="1">
      <c r="T7351" t="str">
        <f>IF(C7351="","",UPPER(LEFT(SUBSTITUTE(C7351," ",""),3))&amp;"-"&amp;TEXT(B7351,"AAMMDD")&amp;"-1")</f>
        <v/>
      </c>
    </row>
    <row r="7352" spans="20:20" hidden="1">
      <c r="T7352" t="str">
        <f>IF(C7352="","",UPPER(LEFT(SUBSTITUTE(C7352," ",""),3))&amp;"-"&amp;TEXT(B7352,"AAMMDD")&amp;"-1")</f>
        <v/>
      </c>
    </row>
    <row r="7353" spans="20:20" hidden="1">
      <c r="T7353" t="str">
        <f>IF(C7353="","",UPPER(LEFT(SUBSTITUTE(C7353," ",""),3))&amp;"-"&amp;TEXT(B7353,"AAMMDD")&amp;"-1")</f>
        <v/>
      </c>
    </row>
    <row r="7354" spans="20:20" hidden="1">
      <c r="T7354" t="str">
        <f>IF(C7354="","",UPPER(LEFT(SUBSTITUTE(C7354," ",""),3))&amp;"-"&amp;TEXT(B7354,"AAMMDD")&amp;"-1")</f>
        <v/>
      </c>
    </row>
    <row r="7355" spans="20:20" hidden="1">
      <c r="T7355" t="str">
        <f>IF(C7355="","",UPPER(LEFT(SUBSTITUTE(C7355," ",""),3))&amp;"-"&amp;TEXT(B7355,"AAMMDD")&amp;"-1")</f>
        <v/>
      </c>
    </row>
    <row r="7356" spans="20:20" hidden="1">
      <c r="T7356" t="str">
        <f>IF(C7356="","",UPPER(LEFT(SUBSTITUTE(C7356," ",""),3))&amp;"-"&amp;TEXT(B7356,"AAMMDD")&amp;"-1")</f>
        <v/>
      </c>
    </row>
    <row r="7357" spans="20:20" hidden="1">
      <c r="T7357" t="str">
        <f>IF(C7357="","",UPPER(LEFT(SUBSTITUTE(C7357," ",""),3))&amp;"-"&amp;TEXT(B7357,"AAMMDD")&amp;"-1")</f>
        <v/>
      </c>
    </row>
    <row r="7358" spans="20:20" hidden="1">
      <c r="T7358" t="str">
        <f>IF(C7358="","",UPPER(LEFT(SUBSTITUTE(C7358," ",""),3))&amp;"-"&amp;TEXT(B7358,"AAMMDD")&amp;"-1")</f>
        <v/>
      </c>
    </row>
    <row r="7359" spans="20:20" hidden="1">
      <c r="T7359" t="str">
        <f>IF(C7359="","",UPPER(LEFT(SUBSTITUTE(C7359," ",""),3))&amp;"-"&amp;TEXT(B7359,"AAMMDD")&amp;"-1")</f>
        <v/>
      </c>
    </row>
    <row r="7360" spans="20:20" hidden="1">
      <c r="T7360" t="str">
        <f>IF(C7360="","",UPPER(LEFT(SUBSTITUTE(C7360," ",""),3))&amp;"-"&amp;TEXT(B7360,"AAMMDD")&amp;"-1")</f>
        <v/>
      </c>
    </row>
    <row r="7361" spans="20:20" hidden="1">
      <c r="T7361" t="str">
        <f>IF(C7361="","",UPPER(LEFT(SUBSTITUTE(C7361," ",""),3))&amp;"-"&amp;TEXT(B7361,"AAMMDD")&amp;"-1")</f>
        <v/>
      </c>
    </row>
    <row r="7362" spans="20:20" hidden="1">
      <c r="T7362" t="str">
        <f>IF(C7362="","",UPPER(LEFT(SUBSTITUTE(C7362," ",""),3))&amp;"-"&amp;TEXT(B7362,"AAMMDD")&amp;"-1")</f>
        <v/>
      </c>
    </row>
    <row r="7363" spans="20:20" hidden="1">
      <c r="T7363" t="str">
        <f>IF(C7363="","",UPPER(LEFT(SUBSTITUTE(C7363," ",""),3))&amp;"-"&amp;TEXT(B7363,"AAMMDD")&amp;"-1")</f>
        <v/>
      </c>
    </row>
    <row r="7364" spans="20:20" hidden="1">
      <c r="T7364" t="str">
        <f>IF(C7364="","",UPPER(LEFT(SUBSTITUTE(C7364," ",""),3))&amp;"-"&amp;TEXT(B7364,"AAMMDD")&amp;"-1")</f>
        <v/>
      </c>
    </row>
    <row r="7365" spans="20:20" hidden="1">
      <c r="T7365" t="str">
        <f>IF(C7365="","",UPPER(LEFT(SUBSTITUTE(C7365," ",""),3))&amp;"-"&amp;TEXT(B7365,"AAMMDD")&amp;"-1")</f>
        <v/>
      </c>
    </row>
    <row r="7366" spans="20:20" hidden="1">
      <c r="T7366" t="str">
        <f>IF(C7366="","",UPPER(LEFT(SUBSTITUTE(C7366," ",""),3))&amp;"-"&amp;TEXT(B7366,"AAMMDD")&amp;"-1")</f>
        <v/>
      </c>
    </row>
    <row r="7367" spans="20:20" hidden="1">
      <c r="T7367" t="str">
        <f>IF(C7367="","",UPPER(LEFT(SUBSTITUTE(C7367," ",""),3))&amp;"-"&amp;TEXT(B7367,"AAMMDD")&amp;"-1")</f>
        <v/>
      </c>
    </row>
    <row r="7368" spans="20:20" hidden="1">
      <c r="T7368" t="str">
        <f>IF(C7368="","",UPPER(LEFT(SUBSTITUTE(C7368," ",""),3))&amp;"-"&amp;TEXT(B7368,"AAMMDD")&amp;"-1")</f>
        <v/>
      </c>
    </row>
    <row r="7369" spans="20:20" hidden="1">
      <c r="T7369" t="str">
        <f>IF(C7369="","",UPPER(LEFT(SUBSTITUTE(C7369," ",""),3))&amp;"-"&amp;TEXT(B7369,"AAMMDD")&amp;"-1")</f>
        <v/>
      </c>
    </row>
    <row r="7370" spans="20:20" hidden="1">
      <c r="T7370" t="str">
        <f>IF(C7370="","",UPPER(LEFT(SUBSTITUTE(C7370," ",""),3))&amp;"-"&amp;TEXT(B7370,"AAMMDD")&amp;"-1")</f>
        <v/>
      </c>
    </row>
    <row r="7371" spans="20:20" hidden="1">
      <c r="T7371" t="str">
        <f>IF(C7371="","",UPPER(LEFT(SUBSTITUTE(C7371," ",""),3))&amp;"-"&amp;TEXT(B7371,"AAMMDD")&amp;"-1")</f>
        <v/>
      </c>
    </row>
    <row r="7372" spans="20:20" hidden="1">
      <c r="T7372" t="str">
        <f>IF(C7372="","",UPPER(LEFT(SUBSTITUTE(C7372," ",""),3))&amp;"-"&amp;TEXT(B7372,"AAMMDD")&amp;"-1")</f>
        <v/>
      </c>
    </row>
    <row r="7373" spans="20:20" hidden="1">
      <c r="T7373" t="str">
        <f>IF(C7373="","",UPPER(LEFT(SUBSTITUTE(C7373," ",""),3))&amp;"-"&amp;TEXT(B7373,"AAMMDD")&amp;"-1")</f>
        <v/>
      </c>
    </row>
    <row r="7374" spans="20:20" hidden="1">
      <c r="T7374" t="str">
        <f>IF(C7374="","",UPPER(LEFT(SUBSTITUTE(C7374," ",""),3))&amp;"-"&amp;TEXT(B7374,"AAMMDD")&amp;"-1")</f>
        <v/>
      </c>
    </row>
    <row r="7375" spans="20:20" hidden="1">
      <c r="T7375" t="str">
        <f>IF(C7375="","",UPPER(LEFT(SUBSTITUTE(C7375," ",""),3))&amp;"-"&amp;TEXT(B7375,"AAMMDD")&amp;"-1")</f>
        <v/>
      </c>
    </row>
    <row r="7376" spans="20:20" hidden="1">
      <c r="T7376" t="str">
        <f>IF(C7376="","",UPPER(LEFT(SUBSTITUTE(C7376," ",""),3))&amp;"-"&amp;TEXT(B7376,"AAMMDD")&amp;"-1")</f>
        <v/>
      </c>
    </row>
    <row r="7377" spans="20:20" hidden="1">
      <c r="T7377" t="str">
        <f>IF(C7377="","",UPPER(LEFT(SUBSTITUTE(C7377," ",""),3))&amp;"-"&amp;TEXT(B7377,"AAMMDD")&amp;"-1")</f>
        <v/>
      </c>
    </row>
    <row r="7378" spans="20:20" hidden="1">
      <c r="T7378" t="str">
        <f>IF(C7378="","",UPPER(LEFT(SUBSTITUTE(C7378," ",""),3))&amp;"-"&amp;TEXT(B7378,"AAMMDD")&amp;"-1")</f>
        <v/>
      </c>
    </row>
    <row r="7379" spans="20:20" hidden="1">
      <c r="T7379" t="str">
        <f>IF(C7379="","",UPPER(LEFT(SUBSTITUTE(C7379," ",""),3))&amp;"-"&amp;TEXT(B7379,"AAMMDD")&amp;"-1")</f>
        <v/>
      </c>
    </row>
    <row r="7380" spans="20:20" hidden="1">
      <c r="T7380" t="str">
        <f>IF(C7380="","",UPPER(LEFT(SUBSTITUTE(C7380," ",""),3))&amp;"-"&amp;TEXT(B7380,"AAMMDD")&amp;"-1")</f>
        <v/>
      </c>
    </row>
    <row r="7381" spans="20:20" hidden="1">
      <c r="T7381" t="str">
        <f>IF(C7381="","",UPPER(LEFT(SUBSTITUTE(C7381," ",""),3))&amp;"-"&amp;TEXT(B7381,"AAMMDD")&amp;"-1")</f>
        <v/>
      </c>
    </row>
    <row r="7382" spans="20:20" hidden="1">
      <c r="T7382" t="str">
        <f>IF(C7382="","",UPPER(LEFT(SUBSTITUTE(C7382," ",""),3))&amp;"-"&amp;TEXT(B7382,"AAMMDD")&amp;"-1")</f>
        <v/>
      </c>
    </row>
    <row r="7383" spans="20:20" hidden="1">
      <c r="T7383" t="str">
        <f>IF(C7383="","",UPPER(LEFT(SUBSTITUTE(C7383," ",""),3))&amp;"-"&amp;TEXT(B7383,"AAMMDD")&amp;"-1")</f>
        <v/>
      </c>
    </row>
    <row r="7384" spans="20:20" hidden="1">
      <c r="T7384" t="str">
        <f>IF(C7384="","",UPPER(LEFT(SUBSTITUTE(C7384," ",""),3))&amp;"-"&amp;TEXT(B7384,"AAMMDD")&amp;"-1")</f>
        <v/>
      </c>
    </row>
    <row r="7385" spans="20:20" hidden="1">
      <c r="T7385" t="str">
        <f>IF(C7385="","",UPPER(LEFT(SUBSTITUTE(C7385," ",""),3))&amp;"-"&amp;TEXT(B7385,"AAMMDD")&amp;"-1")</f>
        <v/>
      </c>
    </row>
    <row r="7386" spans="20:20" hidden="1">
      <c r="T7386" t="str">
        <f>IF(C7386="","",UPPER(LEFT(SUBSTITUTE(C7386," ",""),3))&amp;"-"&amp;TEXT(B7386,"AAMMDD")&amp;"-1")</f>
        <v/>
      </c>
    </row>
    <row r="7387" spans="20:20" hidden="1">
      <c r="T7387" t="str">
        <f>IF(C7387="","",UPPER(LEFT(SUBSTITUTE(C7387," ",""),3))&amp;"-"&amp;TEXT(B7387,"AAMMDD")&amp;"-1")</f>
        <v/>
      </c>
    </row>
    <row r="7388" spans="20:20" hidden="1">
      <c r="T7388" t="str">
        <f>IF(C7388="","",UPPER(LEFT(SUBSTITUTE(C7388," ",""),3))&amp;"-"&amp;TEXT(B7388,"AAMMDD")&amp;"-1")</f>
        <v/>
      </c>
    </row>
    <row r="7389" spans="20:20" hidden="1">
      <c r="T7389" t="str">
        <f>IF(C7389="","",UPPER(LEFT(SUBSTITUTE(C7389," ",""),3))&amp;"-"&amp;TEXT(B7389,"AAMMDD")&amp;"-1")</f>
        <v/>
      </c>
    </row>
    <row r="7390" spans="20:20" hidden="1">
      <c r="T7390" t="str">
        <f>IF(C7390="","",UPPER(LEFT(SUBSTITUTE(C7390," ",""),3))&amp;"-"&amp;TEXT(B7390,"AAMMDD")&amp;"-1")</f>
        <v/>
      </c>
    </row>
    <row r="7391" spans="20:20" hidden="1">
      <c r="T7391" t="str">
        <f>IF(C7391="","",UPPER(LEFT(SUBSTITUTE(C7391," ",""),3))&amp;"-"&amp;TEXT(B7391,"AAMMDD")&amp;"-1")</f>
        <v/>
      </c>
    </row>
    <row r="7392" spans="20:20" hidden="1">
      <c r="T7392" t="str">
        <f>IF(C7392="","",UPPER(LEFT(SUBSTITUTE(C7392," ",""),3))&amp;"-"&amp;TEXT(B7392,"AAMMDD")&amp;"-1")</f>
        <v/>
      </c>
    </row>
    <row r="7393" spans="20:20" hidden="1">
      <c r="T7393" t="str">
        <f>IF(C7393="","",UPPER(LEFT(SUBSTITUTE(C7393," ",""),3))&amp;"-"&amp;TEXT(B7393,"AAMMDD")&amp;"-1")</f>
        <v/>
      </c>
    </row>
    <row r="7394" spans="20:20" hidden="1">
      <c r="T7394" t="str">
        <f>IF(C7394="","",UPPER(LEFT(SUBSTITUTE(C7394," ",""),3))&amp;"-"&amp;TEXT(B7394,"AAMMDD")&amp;"-1")</f>
        <v/>
      </c>
    </row>
    <row r="7395" spans="20:20" hidden="1">
      <c r="T7395" t="str">
        <f>IF(C7395="","",UPPER(LEFT(SUBSTITUTE(C7395," ",""),3))&amp;"-"&amp;TEXT(B7395,"AAMMDD")&amp;"-1")</f>
        <v/>
      </c>
    </row>
    <row r="7396" spans="20:20" hidden="1">
      <c r="T7396" t="str">
        <f>IF(C7396="","",UPPER(LEFT(SUBSTITUTE(C7396," ",""),3))&amp;"-"&amp;TEXT(B7396,"AAMMDD")&amp;"-1")</f>
        <v/>
      </c>
    </row>
    <row r="7397" spans="20:20" hidden="1">
      <c r="T7397" t="str">
        <f>IF(C7397="","",UPPER(LEFT(SUBSTITUTE(C7397," ",""),3))&amp;"-"&amp;TEXT(B7397,"AAMMDD")&amp;"-1")</f>
        <v/>
      </c>
    </row>
    <row r="7398" spans="20:20" hidden="1">
      <c r="T7398" t="str">
        <f>IF(C7398="","",UPPER(LEFT(SUBSTITUTE(C7398," ",""),3))&amp;"-"&amp;TEXT(B7398,"AAMMDD")&amp;"-1")</f>
        <v/>
      </c>
    </row>
    <row r="7399" spans="20:20" hidden="1">
      <c r="T7399" t="str">
        <f>IF(C7399="","",UPPER(LEFT(SUBSTITUTE(C7399," ",""),3))&amp;"-"&amp;TEXT(B7399,"AAMMDD")&amp;"-1")</f>
        <v/>
      </c>
    </row>
    <row r="7400" spans="20:20" hidden="1">
      <c r="T7400" t="str">
        <f>IF(C7400="","",UPPER(LEFT(SUBSTITUTE(C7400," ",""),3))&amp;"-"&amp;TEXT(B7400,"AAMMDD")&amp;"-1")</f>
        <v/>
      </c>
    </row>
    <row r="7401" spans="20:20" hidden="1">
      <c r="T7401" t="str">
        <f>IF(C7401="","",UPPER(LEFT(SUBSTITUTE(C7401," ",""),3))&amp;"-"&amp;TEXT(B7401,"AAMMDD")&amp;"-1")</f>
        <v/>
      </c>
    </row>
    <row r="7402" spans="20:20" hidden="1">
      <c r="T7402" t="str">
        <f>IF(C7402="","",UPPER(LEFT(SUBSTITUTE(C7402," ",""),3))&amp;"-"&amp;TEXT(B7402,"AAMMDD")&amp;"-1")</f>
        <v/>
      </c>
    </row>
    <row r="7403" spans="20:20" hidden="1">
      <c r="T7403" t="str">
        <f>IF(C7403="","",UPPER(LEFT(SUBSTITUTE(C7403," ",""),3))&amp;"-"&amp;TEXT(B7403,"AAMMDD")&amp;"-1")</f>
        <v/>
      </c>
    </row>
    <row r="7404" spans="20:20" hidden="1">
      <c r="T7404" t="str">
        <f>IF(C7404="","",UPPER(LEFT(SUBSTITUTE(C7404," ",""),3))&amp;"-"&amp;TEXT(B7404,"AAMMDD")&amp;"-1")</f>
        <v/>
      </c>
    </row>
    <row r="7405" spans="20:20" hidden="1">
      <c r="T7405" t="str">
        <f>IF(C7405="","",UPPER(LEFT(SUBSTITUTE(C7405," ",""),3))&amp;"-"&amp;TEXT(B7405,"AAMMDD")&amp;"-1")</f>
        <v/>
      </c>
    </row>
    <row r="7406" spans="20:20" hidden="1">
      <c r="T7406" t="str">
        <f>IF(C7406="","",UPPER(LEFT(SUBSTITUTE(C7406," ",""),3))&amp;"-"&amp;TEXT(B7406,"AAMMDD")&amp;"-1")</f>
        <v/>
      </c>
    </row>
    <row r="7407" spans="20:20" hidden="1">
      <c r="T7407" t="str">
        <f>IF(C7407="","",UPPER(LEFT(SUBSTITUTE(C7407," ",""),3))&amp;"-"&amp;TEXT(B7407,"AAMMDD")&amp;"-1")</f>
        <v/>
      </c>
    </row>
    <row r="7408" spans="20:20" hidden="1">
      <c r="T7408" t="str">
        <f>IF(C7408="","",UPPER(LEFT(SUBSTITUTE(C7408," ",""),3))&amp;"-"&amp;TEXT(B7408,"AAMMDD")&amp;"-1")</f>
        <v/>
      </c>
    </row>
    <row r="7409" spans="20:20" hidden="1">
      <c r="T7409" t="str">
        <f>IF(C7409="","",UPPER(LEFT(SUBSTITUTE(C7409," ",""),3))&amp;"-"&amp;TEXT(B7409,"AAMMDD")&amp;"-1")</f>
        <v/>
      </c>
    </row>
    <row r="7410" spans="20:20" hidden="1">
      <c r="T7410" t="str">
        <f>IF(C7410="","",UPPER(LEFT(SUBSTITUTE(C7410," ",""),3))&amp;"-"&amp;TEXT(B7410,"AAMMDD")&amp;"-1")</f>
        <v/>
      </c>
    </row>
    <row r="7411" spans="20:20" hidden="1">
      <c r="T7411" t="str">
        <f>IF(C7411="","",UPPER(LEFT(SUBSTITUTE(C7411," ",""),3))&amp;"-"&amp;TEXT(B7411,"AAMMDD")&amp;"-1")</f>
        <v/>
      </c>
    </row>
    <row r="7412" spans="20:20" hidden="1">
      <c r="T7412" t="str">
        <f>IF(C7412="","",UPPER(LEFT(SUBSTITUTE(C7412," ",""),3))&amp;"-"&amp;TEXT(B7412,"AAMMDD")&amp;"-1")</f>
        <v/>
      </c>
    </row>
    <row r="7413" spans="20:20" hidden="1">
      <c r="T7413" t="str">
        <f>IF(C7413="","",UPPER(LEFT(SUBSTITUTE(C7413," ",""),3))&amp;"-"&amp;TEXT(B7413,"AAMMDD")&amp;"-1")</f>
        <v/>
      </c>
    </row>
    <row r="7414" spans="20:20" hidden="1">
      <c r="T7414" t="str">
        <f>IF(C7414="","",UPPER(LEFT(SUBSTITUTE(C7414," ",""),3))&amp;"-"&amp;TEXT(B7414,"AAMMDD")&amp;"-1")</f>
        <v/>
      </c>
    </row>
    <row r="7415" spans="20:20" hidden="1">
      <c r="T7415" t="str">
        <f>IF(C7415="","",UPPER(LEFT(SUBSTITUTE(C7415," ",""),3))&amp;"-"&amp;TEXT(B7415,"AAMMDD")&amp;"-1")</f>
        <v/>
      </c>
    </row>
    <row r="7416" spans="20:20" hidden="1">
      <c r="T7416" t="str">
        <f>IF(C7416="","",UPPER(LEFT(SUBSTITUTE(C7416," ",""),3))&amp;"-"&amp;TEXT(B7416,"AAMMDD")&amp;"-1")</f>
        <v/>
      </c>
    </row>
    <row r="7417" spans="20:20" hidden="1">
      <c r="T7417" t="str">
        <f>IF(C7417="","",UPPER(LEFT(SUBSTITUTE(C7417," ",""),3))&amp;"-"&amp;TEXT(B7417,"AAMMDD")&amp;"-1")</f>
        <v/>
      </c>
    </row>
    <row r="7418" spans="20:20" hidden="1">
      <c r="T7418" t="str">
        <f>IF(C7418="","",UPPER(LEFT(SUBSTITUTE(C7418," ",""),3))&amp;"-"&amp;TEXT(B7418,"AAMMDD")&amp;"-1")</f>
        <v/>
      </c>
    </row>
    <row r="7419" spans="20:20" hidden="1">
      <c r="T7419" t="str">
        <f>IF(C7419="","",UPPER(LEFT(SUBSTITUTE(C7419," ",""),3))&amp;"-"&amp;TEXT(B7419,"AAMMDD")&amp;"-1")</f>
        <v/>
      </c>
    </row>
    <row r="7420" spans="20:20" hidden="1">
      <c r="T7420" t="str">
        <f>IF(C7420="","",UPPER(LEFT(SUBSTITUTE(C7420," ",""),3))&amp;"-"&amp;TEXT(B7420,"AAMMDD")&amp;"-1")</f>
        <v/>
      </c>
    </row>
    <row r="7421" spans="20:20" hidden="1">
      <c r="T7421" t="str">
        <f>IF(C7421="","",UPPER(LEFT(SUBSTITUTE(C7421," ",""),3))&amp;"-"&amp;TEXT(B7421,"AAMMDD")&amp;"-1")</f>
        <v/>
      </c>
    </row>
    <row r="7422" spans="20:20" hidden="1">
      <c r="T7422" t="str">
        <f>IF(C7422="","",UPPER(LEFT(SUBSTITUTE(C7422," ",""),3))&amp;"-"&amp;TEXT(B7422,"AAMMDD")&amp;"-1")</f>
        <v/>
      </c>
    </row>
    <row r="7423" spans="20:20" hidden="1">
      <c r="T7423" t="str">
        <f>IF(C7423="","",UPPER(LEFT(SUBSTITUTE(C7423," ",""),3))&amp;"-"&amp;TEXT(B7423,"AAMMDD")&amp;"-1")</f>
        <v/>
      </c>
    </row>
    <row r="7424" spans="20:20" hidden="1">
      <c r="T7424" t="str">
        <f>IF(C7424="","",UPPER(LEFT(SUBSTITUTE(C7424," ",""),3))&amp;"-"&amp;TEXT(B7424,"AAMMDD")&amp;"-1")</f>
        <v/>
      </c>
    </row>
    <row r="7425" spans="20:20" hidden="1">
      <c r="T7425" t="str">
        <f>IF(C7425="","",UPPER(LEFT(SUBSTITUTE(C7425," ",""),3))&amp;"-"&amp;TEXT(B7425,"AAMMDD")&amp;"-1")</f>
        <v/>
      </c>
    </row>
    <row r="7426" spans="20:20" hidden="1">
      <c r="T7426" t="str">
        <f>IF(C7426="","",UPPER(LEFT(SUBSTITUTE(C7426," ",""),3))&amp;"-"&amp;TEXT(B7426,"AAMMDD")&amp;"-1")</f>
        <v/>
      </c>
    </row>
    <row r="7427" spans="20:20" hidden="1">
      <c r="T7427" t="str">
        <f>IF(C7427="","",UPPER(LEFT(SUBSTITUTE(C7427," ",""),3))&amp;"-"&amp;TEXT(B7427,"AAMMDD")&amp;"-1")</f>
        <v/>
      </c>
    </row>
    <row r="7428" spans="20:20" hidden="1">
      <c r="T7428" t="str">
        <f>IF(C7428="","",UPPER(LEFT(SUBSTITUTE(C7428," ",""),3))&amp;"-"&amp;TEXT(B7428,"AAMMDD")&amp;"-1")</f>
        <v/>
      </c>
    </row>
    <row r="7429" spans="20:20" hidden="1">
      <c r="T7429" t="str">
        <f>IF(C7429="","",UPPER(LEFT(SUBSTITUTE(C7429," ",""),3))&amp;"-"&amp;TEXT(B7429,"AAMMDD")&amp;"-1")</f>
        <v/>
      </c>
    </row>
    <row r="7430" spans="20:20" hidden="1">
      <c r="T7430" t="str">
        <f>IF(C7430="","",UPPER(LEFT(SUBSTITUTE(C7430," ",""),3))&amp;"-"&amp;TEXT(B7430,"AAMMDD")&amp;"-1")</f>
        <v/>
      </c>
    </row>
    <row r="7431" spans="20:20" hidden="1">
      <c r="T7431" t="str">
        <f>IF(C7431="","",UPPER(LEFT(SUBSTITUTE(C7431," ",""),3))&amp;"-"&amp;TEXT(B7431,"AAMMDD")&amp;"-1")</f>
        <v/>
      </c>
    </row>
    <row r="7432" spans="20:20" hidden="1">
      <c r="T7432" t="str">
        <f>IF(C7432="","",UPPER(LEFT(SUBSTITUTE(C7432," ",""),3))&amp;"-"&amp;TEXT(B7432,"AAMMDD")&amp;"-1")</f>
        <v/>
      </c>
    </row>
    <row r="7433" spans="20:20" hidden="1">
      <c r="T7433" t="str">
        <f>IF(C7433="","",UPPER(LEFT(SUBSTITUTE(C7433," ",""),3))&amp;"-"&amp;TEXT(B7433,"AAMMDD")&amp;"-1")</f>
        <v/>
      </c>
    </row>
    <row r="7434" spans="20:20" hidden="1">
      <c r="T7434" t="str">
        <f>IF(C7434="","",UPPER(LEFT(SUBSTITUTE(C7434," ",""),3))&amp;"-"&amp;TEXT(B7434,"AAMMDD")&amp;"-1")</f>
        <v/>
      </c>
    </row>
    <row r="7435" spans="20:20" hidden="1">
      <c r="T7435" t="str">
        <f>IF(C7435="","",UPPER(LEFT(SUBSTITUTE(C7435," ",""),3))&amp;"-"&amp;TEXT(B7435,"AAMMDD")&amp;"-1")</f>
        <v/>
      </c>
    </row>
    <row r="7436" spans="20:20" hidden="1">
      <c r="T7436" t="str">
        <f>IF(C7436="","",UPPER(LEFT(SUBSTITUTE(C7436," ",""),3))&amp;"-"&amp;TEXT(B7436,"AAMMDD")&amp;"-1")</f>
        <v/>
      </c>
    </row>
    <row r="7437" spans="20:20" hidden="1">
      <c r="T7437" t="str">
        <f>IF(C7437="","",UPPER(LEFT(SUBSTITUTE(C7437," ",""),3))&amp;"-"&amp;TEXT(B7437,"AAMMDD")&amp;"-1")</f>
        <v/>
      </c>
    </row>
    <row r="7438" spans="20:20" hidden="1">
      <c r="T7438" t="str">
        <f>IF(C7438="","",UPPER(LEFT(SUBSTITUTE(C7438," ",""),3))&amp;"-"&amp;TEXT(B7438,"AAMMDD")&amp;"-1")</f>
        <v/>
      </c>
    </row>
    <row r="7439" spans="20:20" hidden="1">
      <c r="T7439" t="str">
        <f>IF(C7439="","",UPPER(LEFT(SUBSTITUTE(C7439," ",""),3))&amp;"-"&amp;TEXT(B7439,"AAMMDD")&amp;"-1")</f>
        <v/>
      </c>
    </row>
    <row r="7440" spans="20:20" hidden="1">
      <c r="T7440" t="str">
        <f>IF(C7440="","",UPPER(LEFT(SUBSTITUTE(C7440," ",""),3))&amp;"-"&amp;TEXT(B7440,"AAMMDD")&amp;"-1")</f>
        <v/>
      </c>
    </row>
    <row r="7441" spans="20:20" hidden="1">
      <c r="T7441" t="str">
        <f>IF(C7441="","",UPPER(LEFT(SUBSTITUTE(C7441," ",""),3))&amp;"-"&amp;TEXT(B7441,"AAMMDD")&amp;"-1")</f>
        <v/>
      </c>
    </row>
    <row r="7442" spans="20:20" hidden="1">
      <c r="T7442" t="str">
        <f>IF(C7442="","",UPPER(LEFT(SUBSTITUTE(C7442," ",""),3))&amp;"-"&amp;TEXT(B7442,"AAMMDD")&amp;"-1")</f>
        <v/>
      </c>
    </row>
    <row r="7443" spans="20:20" hidden="1">
      <c r="T7443" t="str">
        <f>IF(C7443="","",UPPER(LEFT(SUBSTITUTE(C7443," ",""),3))&amp;"-"&amp;TEXT(B7443,"AAMMDD")&amp;"-1")</f>
        <v/>
      </c>
    </row>
    <row r="7444" spans="20:20" hidden="1">
      <c r="T7444" t="str">
        <f>IF(C7444="","",UPPER(LEFT(SUBSTITUTE(C7444," ",""),3))&amp;"-"&amp;TEXT(B7444,"AAMMDD")&amp;"-1")</f>
        <v/>
      </c>
    </row>
    <row r="7445" spans="20:20" hidden="1">
      <c r="T7445" t="str">
        <f>IF(C7445="","",UPPER(LEFT(SUBSTITUTE(C7445," ",""),3))&amp;"-"&amp;TEXT(B7445,"AAMMDD")&amp;"-1")</f>
        <v/>
      </c>
    </row>
    <row r="7446" spans="20:20" hidden="1">
      <c r="T7446" t="str">
        <f>IF(C7446="","",UPPER(LEFT(SUBSTITUTE(C7446," ",""),3))&amp;"-"&amp;TEXT(B7446,"AAMMDD")&amp;"-1")</f>
        <v/>
      </c>
    </row>
    <row r="7447" spans="20:20" hidden="1">
      <c r="T7447" t="str">
        <f>IF(C7447="","",UPPER(LEFT(SUBSTITUTE(C7447," ",""),3))&amp;"-"&amp;TEXT(B7447,"AAMMDD")&amp;"-1")</f>
        <v/>
      </c>
    </row>
    <row r="7448" spans="20:20" hidden="1">
      <c r="T7448" t="str">
        <f>IF(C7448="","",UPPER(LEFT(SUBSTITUTE(C7448," ",""),3))&amp;"-"&amp;TEXT(B7448,"AAMMDD")&amp;"-1")</f>
        <v/>
      </c>
    </row>
    <row r="7449" spans="20:20" hidden="1">
      <c r="T7449" t="str">
        <f>IF(C7449="","",UPPER(LEFT(SUBSTITUTE(C7449," ",""),3))&amp;"-"&amp;TEXT(B7449,"AAMMDD")&amp;"-1")</f>
        <v/>
      </c>
    </row>
    <row r="7450" spans="20:20" hidden="1">
      <c r="T7450" t="str">
        <f>IF(C7450="","",UPPER(LEFT(SUBSTITUTE(C7450," ",""),3))&amp;"-"&amp;TEXT(B7450,"AAMMDD")&amp;"-1")</f>
        <v/>
      </c>
    </row>
    <row r="7451" spans="20:20" hidden="1">
      <c r="T7451" t="str">
        <f>IF(C7451="","",UPPER(LEFT(SUBSTITUTE(C7451," ",""),3))&amp;"-"&amp;TEXT(B7451,"AAMMDD")&amp;"-1")</f>
        <v/>
      </c>
    </row>
    <row r="7452" spans="20:20" hidden="1">
      <c r="T7452" t="str">
        <f>IF(C7452="","",UPPER(LEFT(SUBSTITUTE(C7452," ",""),3))&amp;"-"&amp;TEXT(B7452,"AAMMDD")&amp;"-1")</f>
        <v/>
      </c>
    </row>
    <row r="7453" spans="20:20" hidden="1">
      <c r="T7453" t="str">
        <f>IF(C7453="","",UPPER(LEFT(SUBSTITUTE(C7453," ",""),3))&amp;"-"&amp;TEXT(B7453,"AAMMDD")&amp;"-1")</f>
        <v/>
      </c>
    </row>
    <row r="7454" spans="20:20" hidden="1">
      <c r="T7454" t="str">
        <f>IF(C7454="","",UPPER(LEFT(SUBSTITUTE(C7454," ",""),3))&amp;"-"&amp;TEXT(B7454,"AAMMDD")&amp;"-1")</f>
        <v/>
      </c>
    </row>
    <row r="7455" spans="20:20" hidden="1">
      <c r="T7455" t="str">
        <f>IF(C7455="","",UPPER(LEFT(SUBSTITUTE(C7455," ",""),3))&amp;"-"&amp;TEXT(B7455,"AAMMDD")&amp;"-1")</f>
        <v/>
      </c>
    </row>
    <row r="7456" spans="20:20" hidden="1">
      <c r="T7456" t="str">
        <f>IF(C7456="","",UPPER(LEFT(SUBSTITUTE(C7456," ",""),3))&amp;"-"&amp;TEXT(B7456,"AAMMDD")&amp;"-1")</f>
        <v/>
      </c>
    </row>
    <row r="7457" spans="20:20" hidden="1">
      <c r="T7457" t="str">
        <f>IF(C7457="","",UPPER(LEFT(SUBSTITUTE(C7457," ",""),3))&amp;"-"&amp;TEXT(B7457,"AAMMDD")&amp;"-1")</f>
        <v/>
      </c>
    </row>
    <row r="7458" spans="20:20" hidden="1">
      <c r="T7458" t="str">
        <f>IF(C7458="","",UPPER(LEFT(SUBSTITUTE(C7458," ",""),3))&amp;"-"&amp;TEXT(B7458,"AAMMDD")&amp;"-1")</f>
        <v/>
      </c>
    </row>
    <row r="7459" spans="20:20" hidden="1">
      <c r="T7459" t="str">
        <f>IF(C7459="","",UPPER(LEFT(SUBSTITUTE(C7459," ",""),3))&amp;"-"&amp;TEXT(B7459,"AAMMDD")&amp;"-1")</f>
        <v/>
      </c>
    </row>
    <row r="7460" spans="20:20" hidden="1">
      <c r="T7460" t="str">
        <f>IF(C7460="","",UPPER(LEFT(SUBSTITUTE(C7460," ",""),3))&amp;"-"&amp;TEXT(B7460,"AAMMDD")&amp;"-1")</f>
        <v/>
      </c>
    </row>
    <row r="7461" spans="20:20" hidden="1">
      <c r="T7461" t="str">
        <f>IF(C7461="","",UPPER(LEFT(SUBSTITUTE(C7461," ",""),3))&amp;"-"&amp;TEXT(B7461,"AAMMDD")&amp;"-1")</f>
        <v/>
      </c>
    </row>
    <row r="7462" spans="20:20" hidden="1">
      <c r="T7462" t="str">
        <f>IF(C7462="","",UPPER(LEFT(SUBSTITUTE(C7462," ",""),3))&amp;"-"&amp;TEXT(B7462,"AAMMDD")&amp;"-1")</f>
        <v/>
      </c>
    </row>
    <row r="7463" spans="20:20" hidden="1">
      <c r="T7463" t="str">
        <f>IF(C7463="","",UPPER(LEFT(SUBSTITUTE(C7463," ",""),3))&amp;"-"&amp;TEXT(B7463,"AAMMDD")&amp;"-1")</f>
        <v/>
      </c>
    </row>
    <row r="7464" spans="20:20" hidden="1">
      <c r="T7464" t="str">
        <f>IF(C7464="","",UPPER(LEFT(SUBSTITUTE(C7464," ",""),3))&amp;"-"&amp;TEXT(B7464,"AAMMDD")&amp;"-1")</f>
        <v/>
      </c>
    </row>
    <row r="7465" spans="20:20" hidden="1">
      <c r="T7465" t="str">
        <f>IF(C7465="","",UPPER(LEFT(SUBSTITUTE(C7465," ",""),3))&amp;"-"&amp;TEXT(B7465,"AAMMDD")&amp;"-1")</f>
        <v/>
      </c>
    </row>
    <row r="7466" spans="20:20" hidden="1">
      <c r="T7466" t="str">
        <f>IF(C7466="","",UPPER(LEFT(SUBSTITUTE(C7466," ",""),3))&amp;"-"&amp;TEXT(B7466,"AAMMDD")&amp;"-1")</f>
        <v/>
      </c>
    </row>
    <row r="7467" spans="20:20" hidden="1">
      <c r="T7467" t="str">
        <f>IF(C7467="","",UPPER(LEFT(SUBSTITUTE(C7467," ",""),3))&amp;"-"&amp;TEXT(B7467,"AAMMDD")&amp;"-1")</f>
        <v/>
      </c>
    </row>
    <row r="7468" spans="20:20" hidden="1">
      <c r="T7468" t="str">
        <f>IF(C7468="","",UPPER(LEFT(SUBSTITUTE(C7468," ",""),3))&amp;"-"&amp;TEXT(B7468,"AAMMDD")&amp;"-1")</f>
        <v/>
      </c>
    </row>
    <row r="7469" spans="20:20" hidden="1">
      <c r="T7469" t="str">
        <f>IF(C7469="","",UPPER(LEFT(SUBSTITUTE(C7469," ",""),3))&amp;"-"&amp;TEXT(B7469,"AAMMDD")&amp;"-1")</f>
        <v/>
      </c>
    </row>
    <row r="7470" spans="20:20" hidden="1">
      <c r="T7470" t="str">
        <f>IF(C7470="","",UPPER(LEFT(SUBSTITUTE(C7470," ",""),3))&amp;"-"&amp;TEXT(B7470,"AAMMDD")&amp;"-1")</f>
        <v/>
      </c>
    </row>
    <row r="7471" spans="20:20" hidden="1">
      <c r="T7471" t="str">
        <f>IF(C7471="","",UPPER(LEFT(SUBSTITUTE(C7471," ",""),3))&amp;"-"&amp;TEXT(B7471,"AAMMDD")&amp;"-1")</f>
        <v/>
      </c>
    </row>
    <row r="7472" spans="20:20" hidden="1">
      <c r="T7472" t="str">
        <f>IF(C7472="","",UPPER(LEFT(SUBSTITUTE(C7472," ",""),3))&amp;"-"&amp;TEXT(B7472,"AAMMDD")&amp;"-1")</f>
        <v/>
      </c>
    </row>
    <row r="7473" spans="20:20" hidden="1">
      <c r="T7473" t="str">
        <f>IF(C7473="","",UPPER(LEFT(SUBSTITUTE(C7473," ",""),3))&amp;"-"&amp;TEXT(B7473,"AAMMDD")&amp;"-1")</f>
        <v/>
      </c>
    </row>
    <row r="7474" spans="20:20" hidden="1">
      <c r="T7474" t="str">
        <f>IF(C7474="","",UPPER(LEFT(SUBSTITUTE(C7474," ",""),3))&amp;"-"&amp;TEXT(B7474,"AAMMDD")&amp;"-1")</f>
        <v/>
      </c>
    </row>
    <row r="7475" spans="20:20" hidden="1">
      <c r="T7475" t="str">
        <f>IF(C7475="","",UPPER(LEFT(SUBSTITUTE(C7475," ",""),3))&amp;"-"&amp;TEXT(B7475,"AAMMDD")&amp;"-1")</f>
        <v/>
      </c>
    </row>
    <row r="7476" spans="20:20" hidden="1">
      <c r="T7476" t="str">
        <f>IF(C7476="","",UPPER(LEFT(SUBSTITUTE(C7476," ",""),3))&amp;"-"&amp;TEXT(B7476,"AAMMDD")&amp;"-1")</f>
        <v/>
      </c>
    </row>
    <row r="7477" spans="20:20" hidden="1">
      <c r="T7477" t="str">
        <f>IF(C7477="","",UPPER(LEFT(SUBSTITUTE(C7477," ",""),3))&amp;"-"&amp;TEXT(B7477,"AAMMDD")&amp;"-1")</f>
        <v/>
      </c>
    </row>
    <row r="7478" spans="20:20" hidden="1">
      <c r="T7478" t="str">
        <f>IF(C7478="","",UPPER(LEFT(SUBSTITUTE(C7478," ",""),3))&amp;"-"&amp;TEXT(B7478,"AAMMDD")&amp;"-1")</f>
        <v/>
      </c>
    </row>
    <row r="7479" spans="20:20" hidden="1">
      <c r="T7479" t="str">
        <f>IF(C7479="","",UPPER(LEFT(SUBSTITUTE(C7479," ",""),3))&amp;"-"&amp;TEXT(B7479,"AAMMDD")&amp;"-1")</f>
        <v/>
      </c>
    </row>
    <row r="7480" spans="20:20" hidden="1">
      <c r="T7480" t="str">
        <f>IF(C7480="","",UPPER(LEFT(SUBSTITUTE(C7480," ",""),3))&amp;"-"&amp;TEXT(B7480,"AAMMDD")&amp;"-1")</f>
        <v/>
      </c>
    </row>
    <row r="7481" spans="20:20" hidden="1">
      <c r="T7481" t="str">
        <f>IF(C7481="","",UPPER(LEFT(SUBSTITUTE(C7481," ",""),3))&amp;"-"&amp;TEXT(B7481,"AAMMDD")&amp;"-1")</f>
        <v/>
      </c>
    </row>
    <row r="7482" spans="20:20" hidden="1">
      <c r="T7482" t="str">
        <f>IF(C7482="","",UPPER(LEFT(SUBSTITUTE(C7482," ",""),3))&amp;"-"&amp;TEXT(B7482,"AAMMDD")&amp;"-1")</f>
        <v/>
      </c>
    </row>
    <row r="7483" spans="20:20" hidden="1">
      <c r="T7483" t="str">
        <f>IF(C7483="","",UPPER(LEFT(SUBSTITUTE(C7483," ",""),3))&amp;"-"&amp;TEXT(B7483,"AAMMDD")&amp;"-1")</f>
        <v/>
      </c>
    </row>
    <row r="7484" spans="20:20" hidden="1">
      <c r="T7484" t="str">
        <f>IF(C7484="","",UPPER(LEFT(SUBSTITUTE(C7484," ",""),3))&amp;"-"&amp;TEXT(B7484,"AAMMDD")&amp;"-1")</f>
        <v/>
      </c>
    </row>
    <row r="7485" spans="20:20" hidden="1">
      <c r="T7485" t="str">
        <f>IF(C7485="","",UPPER(LEFT(SUBSTITUTE(C7485," ",""),3))&amp;"-"&amp;TEXT(B7485,"AAMMDD")&amp;"-1")</f>
        <v/>
      </c>
    </row>
    <row r="7486" spans="20:20" hidden="1">
      <c r="T7486" t="str">
        <f>IF(C7486="","",UPPER(LEFT(SUBSTITUTE(C7486," ",""),3))&amp;"-"&amp;TEXT(B7486,"AAMMDD")&amp;"-1")</f>
        <v/>
      </c>
    </row>
    <row r="7487" spans="20:20" hidden="1">
      <c r="T7487" t="str">
        <f>IF(C7487="","",UPPER(LEFT(SUBSTITUTE(C7487," ",""),3))&amp;"-"&amp;TEXT(B7487,"AAMMDD")&amp;"-1")</f>
        <v/>
      </c>
    </row>
    <row r="7488" spans="20:20" hidden="1">
      <c r="T7488" t="str">
        <f>IF(C7488="","",UPPER(LEFT(SUBSTITUTE(C7488," ",""),3))&amp;"-"&amp;TEXT(B7488,"AAMMDD")&amp;"-1")</f>
        <v/>
      </c>
    </row>
    <row r="7489" spans="20:20" hidden="1">
      <c r="T7489" t="str">
        <f>IF(C7489="","",UPPER(LEFT(SUBSTITUTE(C7489," ",""),3))&amp;"-"&amp;TEXT(B7489,"AAMMDD")&amp;"-1")</f>
        <v/>
      </c>
    </row>
    <row r="7490" spans="20:20" hidden="1">
      <c r="T7490" t="str">
        <f>IF(C7490="","",UPPER(LEFT(SUBSTITUTE(C7490," ",""),3))&amp;"-"&amp;TEXT(B7490,"AAMMDD")&amp;"-1")</f>
        <v/>
      </c>
    </row>
    <row r="7491" spans="20:20" hidden="1">
      <c r="T7491" t="str">
        <f>IF(C7491="","",UPPER(LEFT(SUBSTITUTE(C7491," ",""),3))&amp;"-"&amp;TEXT(B7491,"AAMMDD")&amp;"-1")</f>
        <v/>
      </c>
    </row>
    <row r="7492" spans="20:20" hidden="1">
      <c r="T7492" t="str">
        <f>IF(C7492="","",UPPER(LEFT(SUBSTITUTE(C7492," ",""),3))&amp;"-"&amp;TEXT(B7492,"AAMMDD")&amp;"-1")</f>
        <v/>
      </c>
    </row>
    <row r="7493" spans="20:20" hidden="1">
      <c r="T7493" t="str">
        <f>IF(C7493="","",UPPER(LEFT(SUBSTITUTE(C7493," ",""),3))&amp;"-"&amp;TEXT(B7493,"AAMMDD")&amp;"-1")</f>
        <v/>
      </c>
    </row>
    <row r="7494" spans="20:20" hidden="1">
      <c r="T7494" t="str">
        <f>IF(C7494="","",UPPER(LEFT(SUBSTITUTE(C7494," ",""),3))&amp;"-"&amp;TEXT(B7494,"AAMMDD")&amp;"-1")</f>
        <v/>
      </c>
    </row>
    <row r="7495" spans="20:20" hidden="1">
      <c r="T7495" t="str">
        <f>IF(C7495="","",UPPER(LEFT(SUBSTITUTE(C7495," ",""),3))&amp;"-"&amp;TEXT(B7495,"AAMMDD")&amp;"-1")</f>
        <v/>
      </c>
    </row>
    <row r="7496" spans="20:20" hidden="1">
      <c r="T7496" t="str">
        <f>IF(C7496="","",UPPER(LEFT(SUBSTITUTE(C7496," ",""),3))&amp;"-"&amp;TEXT(B7496,"AAMMDD")&amp;"-1")</f>
        <v/>
      </c>
    </row>
    <row r="7497" spans="20:20" hidden="1">
      <c r="T7497" t="str">
        <f>IF(C7497="","",UPPER(LEFT(SUBSTITUTE(C7497," ",""),3))&amp;"-"&amp;TEXT(B7497,"AAMMDD")&amp;"-1")</f>
        <v/>
      </c>
    </row>
    <row r="7498" spans="20:20" hidden="1">
      <c r="T7498" t="str">
        <f>IF(C7498="","",UPPER(LEFT(SUBSTITUTE(C7498," ",""),3))&amp;"-"&amp;TEXT(B7498,"AAMMDD")&amp;"-1")</f>
        <v/>
      </c>
    </row>
    <row r="7499" spans="20:20" hidden="1">
      <c r="T7499" t="str">
        <f>IF(C7499="","",UPPER(LEFT(SUBSTITUTE(C7499," ",""),3))&amp;"-"&amp;TEXT(B7499,"AAMMDD")&amp;"-1")</f>
        <v/>
      </c>
    </row>
    <row r="7500" spans="20:20" hidden="1">
      <c r="T7500" t="str">
        <f>IF(C7500="","",UPPER(LEFT(SUBSTITUTE(C7500," ",""),3))&amp;"-"&amp;TEXT(B7500,"AAMMDD")&amp;"-1")</f>
        <v/>
      </c>
    </row>
    <row r="7501" spans="20:20" hidden="1">
      <c r="T7501" t="str">
        <f>IF(C7501="","",UPPER(LEFT(SUBSTITUTE(C7501," ",""),3))&amp;"-"&amp;TEXT(B7501,"AAMMDD")&amp;"-1")</f>
        <v/>
      </c>
    </row>
    <row r="7502" spans="20:20" hidden="1">
      <c r="T7502" t="str">
        <f>IF(C7502="","",UPPER(LEFT(SUBSTITUTE(C7502," ",""),3))&amp;"-"&amp;TEXT(B7502,"AAMMDD")&amp;"-1")</f>
        <v/>
      </c>
    </row>
    <row r="7503" spans="20:20" hidden="1">
      <c r="T7503" t="str">
        <f>IF(C7503="","",UPPER(LEFT(SUBSTITUTE(C7503," ",""),3))&amp;"-"&amp;TEXT(B7503,"AAMMDD")&amp;"-1")</f>
        <v/>
      </c>
    </row>
    <row r="7504" spans="20:20" hidden="1">
      <c r="T7504" t="str">
        <f>IF(C7504="","",UPPER(LEFT(SUBSTITUTE(C7504," ",""),3))&amp;"-"&amp;TEXT(B7504,"AAMMDD")&amp;"-1")</f>
        <v/>
      </c>
    </row>
    <row r="7505" spans="20:20" hidden="1">
      <c r="T7505" t="str">
        <f>IF(C7505="","",UPPER(LEFT(SUBSTITUTE(C7505," ",""),3))&amp;"-"&amp;TEXT(B7505,"AAMMDD")&amp;"-1")</f>
        <v/>
      </c>
    </row>
    <row r="7506" spans="20:20" hidden="1">
      <c r="T7506" t="str">
        <f>IF(C7506="","",UPPER(LEFT(SUBSTITUTE(C7506," ",""),3))&amp;"-"&amp;TEXT(B7506,"AAMMDD")&amp;"-1")</f>
        <v/>
      </c>
    </row>
    <row r="7507" spans="20:20" hidden="1">
      <c r="T7507" t="str">
        <f>IF(C7507="","",UPPER(LEFT(SUBSTITUTE(C7507," ",""),3))&amp;"-"&amp;TEXT(B7507,"AAMMDD")&amp;"-1")</f>
        <v/>
      </c>
    </row>
    <row r="7508" spans="20:20" hidden="1">
      <c r="T7508" t="str">
        <f>IF(C7508="","",UPPER(LEFT(SUBSTITUTE(C7508," ",""),3))&amp;"-"&amp;TEXT(B7508,"AAMMDD")&amp;"-1")</f>
        <v/>
      </c>
    </row>
    <row r="7509" spans="20:20" hidden="1">
      <c r="T7509" t="str">
        <f>IF(C7509="","",UPPER(LEFT(SUBSTITUTE(C7509," ",""),3))&amp;"-"&amp;TEXT(B7509,"AAMMDD")&amp;"-1")</f>
        <v/>
      </c>
    </row>
    <row r="7510" spans="20:20" hidden="1">
      <c r="T7510" t="str">
        <f>IF(C7510="","",UPPER(LEFT(SUBSTITUTE(C7510," ",""),3))&amp;"-"&amp;TEXT(B7510,"AAMMDD")&amp;"-1")</f>
        <v/>
      </c>
    </row>
    <row r="7511" spans="20:20" hidden="1">
      <c r="T7511" t="str">
        <f>IF(C7511="","",UPPER(LEFT(SUBSTITUTE(C7511," ",""),3))&amp;"-"&amp;TEXT(B7511,"AAMMDD")&amp;"-1")</f>
        <v/>
      </c>
    </row>
    <row r="7512" spans="20:20" hidden="1">
      <c r="T7512" t="str">
        <f>IF(C7512="","",UPPER(LEFT(SUBSTITUTE(C7512," ",""),3))&amp;"-"&amp;TEXT(B7512,"AAMMDD")&amp;"-1")</f>
        <v/>
      </c>
    </row>
    <row r="7513" spans="20:20" hidden="1">
      <c r="T7513" t="str">
        <f>IF(C7513="","",UPPER(LEFT(SUBSTITUTE(C7513," ",""),3))&amp;"-"&amp;TEXT(B7513,"AAMMDD")&amp;"-1")</f>
        <v/>
      </c>
    </row>
    <row r="7514" spans="20:20" hidden="1">
      <c r="T7514" t="str">
        <f>IF(C7514="","",UPPER(LEFT(SUBSTITUTE(C7514," ",""),3))&amp;"-"&amp;TEXT(B7514,"AAMMDD")&amp;"-1")</f>
        <v/>
      </c>
    </row>
    <row r="7515" spans="20:20" hidden="1">
      <c r="T7515" t="str">
        <f>IF(C7515="","",UPPER(LEFT(SUBSTITUTE(C7515," ",""),3))&amp;"-"&amp;TEXT(B7515,"AAMMDD")&amp;"-1")</f>
        <v/>
      </c>
    </row>
    <row r="7516" spans="20:20" hidden="1">
      <c r="T7516" t="str">
        <f>IF(C7516="","",UPPER(LEFT(SUBSTITUTE(C7516," ",""),3))&amp;"-"&amp;TEXT(B7516,"AAMMDD")&amp;"-1")</f>
        <v/>
      </c>
    </row>
    <row r="7517" spans="20:20" hidden="1">
      <c r="T7517" t="str">
        <f>IF(C7517="","",UPPER(LEFT(SUBSTITUTE(C7517," ",""),3))&amp;"-"&amp;TEXT(B7517,"AAMMDD")&amp;"-1")</f>
        <v/>
      </c>
    </row>
    <row r="7518" spans="20:20" hidden="1">
      <c r="T7518" t="str">
        <f>IF(C7518="","",UPPER(LEFT(SUBSTITUTE(C7518," ",""),3))&amp;"-"&amp;TEXT(B7518,"AAMMDD")&amp;"-1")</f>
        <v/>
      </c>
    </row>
    <row r="7519" spans="20:20" hidden="1">
      <c r="T7519" t="str">
        <f>IF(C7519="","",UPPER(LEFT(SUBSTITUTE(C7519," ",""),3))&amp;"-"&amp;TEXT(B7519,"AAMMDD")&amp;"-1")</f>
        <v/>
      </c>
    </row>
    <row r="7520" spans="20:20" hidden="1">
      <c r="T7520" t="str">
        <f>IF(C7520="","",UPPER(LEFT(SUBSTITUTE(C7520," ",""),3))&amp;"-"&amp;TEXT(B7520,"AAMMDD")&amp;"-1")</f>
        <v/>
      </c>
    </row>
    <row r="7521" spans="20:20" hidden="1">
      <c r="T7521" t="str">
        <f>IF(C7521="","",UPPER(LEFT(SUBSTITUTE(C7521," ",""),3))&amp;"-"&amp;TEXT(B7521,"AAMMDD")&amp;"-1")</f>
        <v/>
      </c>
    </row>
    <row r="7522" spans="20:20" hidden="1">
      <c r="T7522" t="str">
        <f>IF(C7522="","",UPPER(LEFT(SUBSTITUTE(C7522," ",""),3))&amp;"-"&amp;TEXT(B7522,"AAMMDD")&amp;"-1")</f>
        <v/>
      </c>
    </row>
    <row r="7523" spans="20:20" hidden="1">
      <c r="T7523" t="str">
        <f>IF(C7523="","",UPPER(LEFT(SUBSTITUTE(C7523," ",""),3))&amp;"-"&amp;TEXT(B7523,"AAMMDD")&amp;"-1")</f>
        <v/>
      </c>
    </row>
    <row r="7524" spans="20:20" hidden="1">
      <c r="T7524" t="str">
        <f>IF(C7524="","",UPPER(LEFT(SUBSTITUTE(C7524," ",""),3))&amp;"-"&amp;TEXT(B7524,"AAMMDD")&amp;"-1")</f>
        <v/>
      </c>
    </row>
    <row r="7525" spans="20:20" hidden="1">
      <c r="T7525" t="str">
        <f>IF(C7525="","",UPPER(LEFT(SUBSTITUTE(C7525," ",""),3))&amp;"-"&amp;TEXT(B7525,"AAMMDD")&amp;"-1")</f>
        <v/>
      </c>
    </row>
    <row r="7526" spans="20:20" hidden="1">
      <c r="T7526" t="str">
        <f>IF(C7526="","",UPPER(LEFT(SUBSTITUTE(C7526," ",""),3))&amp;"-"&amp;TEXT(B7526,"AAMMDD")&amp;"-1")</f>
        <v/>
      </c>
    </row>
    <row r="7527" spans="20:20" hidden="1">
      <c r="T7527" t="str">
        <f>IF(C7527="","",UPPER(LEFT(SUBSTITUTE(C7527," ",""),3))&amp;"-"&amp;TEXT(B7527,"AAMMDD")&amp;"-1")</f>
        <v/>
      </c>
    </row>
    <row r="7528" spans="20:20" hidden="1">
      <c r="T7528" t="str">
        <f>IF(C7528="","",UPPER(LEFT(SUBSTITUTE(C7528," ",""),3))&amp;"-"&amp;TEXT(B7528,"AAMMDD")&amp;"-1")</f>
        <v/>
      </c>
    </row>
    <row r="7529" spans="20:20" hidden="1">
      <c r="T7529" t="str">
        <f>IF(C7529="","",UPPER(LEFT(SUBSTITUTE(C7529," ",""),3))&amp;"-"&amp;TEXT(B7529,"AAMMDD")&amp;"-1")</f>
        <v/>
      </c>
    </row>
    <row r="7530" spans="20:20" hidden="1">
      <c r="T7530" t="str">
        <f>IF(C7530="","",UPPER(LEFT(SUBSTITUTE(C7530," ",""),3))&amp;"-"&amp;TEXT(B7530,"AAMMDD")&amp;"-1")</f>
        <v/>
      </c>
    </row>
    <row r="7531" spans="20:20" hidden="1">
      <c r="T7531" t="str">
        <f>IF(C7531="","",UPPER(LEFT(SUBSTITUTE(C7531," ",""),3))&amp;"-"&amp;TEXT(B7531,"AAMMDD")&amp;"-1")</f>
        <v/>
      </c>
    </row>
    <row r="7532" spans="20:20" hidden="1">
      <c r="T7532" t="str">
        <f>IF(C7532="","",UPPER(LEFT(SUBSTITUTE(C7532," ",""),3))&amp;"-"&amp;TEXT(B7532,"AAMMDD")&amp;"-1")</f>
        <v/>
      </c>
    </row>
    <row r="7533" spans="20:20" hidden="1">
      <c r="T7533" t="str">
        <f>IF(C7533="","",UPPER(LEFT(SUBSTITUTE(C7533," ",""),3))&amp;"-"&amp;TEXT(B7533,"AAMMDD")&amp;"-1")</f>
        <v/>
      </c>
    </row>
    <row r="7534" spans="20:20" hidden="1">
      <c r="T7534" t="str">
        <f>IF(C7534="","",UPPER(LEFT(SUBSTITUTE(C7534," ",""),3))&amp;"-"&amp;TEXT(B7534,"AAMMDD")&amp;"-1")</f>
        <v/>
      </c>
    </row>
    <row r="7535" spans="20:20" hidden="1">
      <c r="T7535" t="str">
        <f>IF(C7535="","",UPPER(LEFT(SUBSTITUTE(C7535," ",""),3))&amp;"-"&amp;TEXT(B7535,"AAMMDD")&amp;"-1")</f>
        <v/>
      </c>
    </row>
    <row r="7536" spans="20:20" hidden="1">
      <c r="T7536" t="str">
        <f>IF(C7536="","",UPPER(LEFT(SUBSTITUTE(C7536," ",""),3))&amp;"-"&amp;TEXT(B7536,"AAMMDD")&amp;"-1")</f>
        <v/>
      </c>
    </row>
    <row r="7537" spans="20:20" hidden="1">
      <c r="T7537" t="str">
        <f>IF(C7537="","",UPPER(LEFT(SUBSTITUTE(C7537," ",""),3))&amp;"-"&amp;TEXT(B7537,"AAMMDD")&amp;"-1")</f>
        <v/>
      </c>
    </row>
    <row r="7538" spans="20:20" hidden="1">
      <c r="T7538" t="str">
        <f>IF(C7538="","",UPPER(LEFT(SUBSTITUTE(C7538," ",""),3))&amp;"-"&amp;TEXT(B7538,"AAMMDD")&amp;"-1")</f>
        <v/>
      </c>
    </row>
    <row r="7539" spans="20:20" hidden="1">
      <c r="T7539" t="str">
        <f>IF(C7539="","",UPPER(LEFT(SUBSTITUTE(C7539," ",""),3))&amp;"-"&amp;TEXT(B7539,"AAMMDD")&amp;"-1")</f>
        <v/>
      </c>
    </row>
    <row r="7540" spans="20:20" hidden="1">
      <c r="T7540" t="str">
        <f>IF(C7540="","",UPPER(LEFT(SUBSTITUTE(C7540," ",""),3))&amp;"-"&amp;TEXT(B7540,"AAMMDD")&amp;"-1")</f>
        <v/>
      </c>
    </row>
    <row r="7541" spans="20:20" hidden="1">
      <c r="T7541" t="str">
        <f>IF(C7541="","",UPPER(LEFT(SUBSTITUTE(C7541," ",""),3))&amp;"-"&amp;TEXT(B7541,"AAMMDD")&amp;"-1")</f>
        <v/>
      </c>
    </row>
    <row r="7542" spans="20:20" hidden="1">
      <c r="T7542" t="str">
        <f>IF(C7542="","",UPPER(LEFT(SUBSTITUTE(C7542," ",""),3))&amp;"-"&amp;TEXT(B7542,"AAMMDD")&amp;"-1")</f>
        <v/>
      </c>
    </row>
    <row r="7543" spans="20:20" hidden="1">
      <c r="T7543" t="str">
        <f>IF(C7543="","",UPPER(LEFT(SUBSTITUTE(C7543," ",""),3))&amp;"-"&amp;TEXT(B7543,"AAMMDD")&amp;"-1")</f>
        <v/>
      </c>
    </row>
    <row r="7544" spans="20:20" hidden="1">
      <c r="T7544" t="str">
        <f>IF(C7544="","",UPPER(LEFT(SUBSTITUTE(C7544," ",""),3))&amp;"-"&amp;TEXT(B7544,"AAMMDD")&amp;"-1")</f>
        <v/>
      </c>
    </row>
    <row r="7545" spans="20:20" hidden="1">
      <c r="T7545" t="str">
        <f>IF(C7545="","",UPPER(LEFT(SUBSTITUTE(C7545," ",""),3))&amp;"-"&amp;TEXT(B7545,"AAMMDD")&amp;"-1")</f>
        <v/>
      </c>
    </row>
    <row r="7546" spans="20:20" hidden="1">
      <c r="T7546" t="str">
        <f>IF(C7546="","",UPPER(LEFT(SUBSTITUTE(C7546," ",""),3))&amp;"-"&amp;TEXT(B7546,"AAMMDD")&amp;"-1")</f>
        <v/>
      </c>
    </row>
    <row r="7547" spans="20:20" hidden="1">
      <c r="T7547" t="str">
        <f>IF(C7547="","",UPPER(LEFT(SUBSTITUTE(C7547," ",""),3))&amp;"-"&amp;TEXT(B7547,"AAMMDD")&amp;"-1")</f>
        <v/>
      </c>
    </row>
    <row r="7548" spans="20:20" hidden="1">
      <c r="T7548" t="str">
        <f>IF(C7548="","",UPPER(LEFT(SUBSTITUTE(C7548," ",""),3))&amp;"-"&amp;TEXT(B7548,"AAMMDD")&amp;"-1")</f>
        <v/>
      </c>
    </row>
    <row r="7549" spans="20:20" hidden="1">
      <c r="T7549" t="str">
        <f>IF(C7549="","",UPPER(LEFT(SUBSTITUTE(C7549," ",""),3))&amp;"-"&amp;TEXT(B7549,"AAMMDD")&amp;"-1")</f>
        <v/>
      </c>
    </row>
    <row r="7550" spans="20:20" hidden="1">
      <c r="T7550" t="str">
        <f>IF(C7550="","",UPPER(LEFT(SUBSTITUTE(C7550," ",""),3))&amp;"-"&amp;TEXT(B7550,"AAMMDD")&amp;"-1")</f>
        <v/>
      </c>
    </row>
    <row r="7551" spans="20:20" hidden="1">
      <c r="T7551" t="str">
        <f>IF(C7551="","",UPPER(LEFT(SUBSTITUTE(C7551," ",""),3))&amp;"-"&amp;TEXT(B7551,"AAMMDD")&amp;"-1")</f>
        <v/>
      </c>
    </row>
    <row r="7552" spans="20:20" hidden="1">
      <c r="T7552" t="str">
        <f>IF(C7552="","",UPPER(LEFT(SUBSTITUTE(C7552," ",""),3))&amp;"-"&amp;TEXT(B7552,"AAMMDD")&amp;"-1")</f>
        <v/>
      </c>
    </row>
    <row r="7553" spans="20:20" hidden="1">
      <c r="T7553" t="str">
        <f>IF(C7553="","",UPPER(LEFT(SUBSTITUTE(C7553," ",""),3))&amp;"-"&amp;TEXT(B7553,"AAMMDD")&amp;"-1")</f>
        <v/>
      </c>
    </row>
    <row r="7554" spans="20:20" hidden="1">
      <c r="T7554" t="str">
        <f>IF(C7554="","",UPPER(LEFT(SUBSTITUTE(C7554," ",""),3))&amp;"-"&amp;TEXT(B7554,"AAMMDD")&amp;"-1")</f>
        <v/>
      </c>
    </row>
    <row r="7555" spans="20:20" hidden="1">
      <c r="T7555" t="str">
        <f>IF(C7555="","",UPPER(LEFT(SUBSTITUTE(C7555," ",""),3))&amp;"-"&amp;TEXT(B7555,"AAMMDD")&amp;"-1")</f>
        <v/>
      </c>
    </row>
    <row r="7556" spans="20:20" hidden="1">
      <c r="T7556" t="str">
        <f>IF(C7556="","",UPPER(LEFT(SUBSTITUTE(C7556," ",""),3))&amp;"-"&amp;TEXT(B7556,"AAMMDD")&amp;"-1")</f>
        <v/>
      </c>
    </row>
    <row r="7557" spans="20:20" hidden="1">
      <c r="T7557" t="str">
        <f>IF(C7557="","",UPPER(LEFT(SUBSTITUTE(C7557," ",""),3))&amp;"-"&amp;TEXT(B7557,"AAMMDD")&amp;"-1")</f>
        <v/>
      </c>
    </row>
    <row r="7558" spans="20:20" hidden="1">
      <c r="T7558" t="str">
        <f>IF(C7558="","",UPPER(LEFT(SUBSTITUTE(C7558," ",""),3))&amp;"-"&amp;TEXT(B7558,"AAMMDD")&amp;"-1")</f>
        <v/>
      </c>
    </row>
    <row r="7559" spans="20:20" hidden="1">
      <c r="T7559" t="str">
        <f>IF(C7559="","",UPPER(LEFT(SUBSTITUTE(C7559," ",""),3))&amp;"-"&amp;TEXT(B7559,"AAMMDD")&amp;"-1")</f>
        <v/>
      </c>
    </row>
    <row r="7560" spans="20:20" hidden="1">
      <c r="T7560" t="str">
        <f>IF(C7560="","",UPPER(LEFT(SUBSTITUTE(C7560," ",""),3))&amp;"-"&amp;TEXT(B7560,"AAMMDD")&amp;"-1")</f>
        <v/>
      </c>
    </row>
    <row r="7561" spans="20:20" hidden="1">
      <c r="T7561" t="str">
        <f>IF(C7561="","",UPPER(LEFT(SUBSTITUTE(C7561," ",""),3))&amp;"-"&amp;TEXT(B7561,"AAMMDD")&amp;"-1")</f>
        <v/>
      </c>
    </row>
    <row r="7562" spans="20:20" hidden="1">
      <c r="T7562" t="str">
        <f>IF(C7562="","",UPPER(LEFT(SUBSTITUTE(C7562," ",""),3))&amp;"-"&amp;TEXT(B7562,"AAMMDD")&amp;"-1")</f>
        <v/>
      </c>
    </row>
    <row r="7563" spans="20:20" hidden="1">
      <c r="T7563" t="str">
        <f>IF(C7563="","",UPPER(LEFT(SUBSTITUTE(C7563," ",""),3))&amp;"-"&amp;TEXT(B7563,"AAMMDD")&amp;"-1")</f>
        <v/>
      </c>
    </row>
    <row r="7564" spans="20:20" hidden="1">
      <c r="T7564" t="str">
        <f>IF(C7564="","",UPPER(LEFT(SUBSTITUTE(C7564," ",""),3))&amp;"-"&amp;TEXT(B7564,"AAMMDD")&amp;"-1")</f>
        <v/>
      </c>
    </row>
    <row r="7565" spans="20:20" hidden="1">
      <c r="T7565" t="str">
        <f>IF(C7565="","",UPPER(LEFT(SUBSTITUTE(C7565," ",""),3))&amp;"-"&amp;TEXT(B7565,"AAMMDD")&amp;"-1")</f>
        <v/>
      </c>
    </row>
    <row r="7566" spans="20:20" hidden="1">
      <c r="T7566" t="str">
        <f>IF(C7566="","",UPPER(LEFT(SUBSTITUTE(C7566," ",""),3))&amp;"-"&amp;TEXT(B7566,"AAMMDD")&amp;"-1")</f>
        <v/>
      </c>
    </row>
    <row r="7567" spans="20:20" hidden="1">
      <c r="T7567" t="str">
        <f>IF(C7567="","",UPPER(LEFT(SUBSTITUTE(C7567," ",""),3))&amp;"-"&amp;TEXT(B7567,"AAMMDD")&amp;"-1")</f>
        <v/>
      </c>
    </row>
    <row r="7568" spans="20:20" hidden="1">
      <c r="T7568" t="str">
        <f>IF(C7568="","",UPPER(LEFT(SUBSTITUTE(C7568," ",""),3))&amp;"-"&amp;TEXT(B7568,"AAMMDD")&amp;"-1")</f>
        <v/>
      </c>
    </row>
    <row r="7569" spans="20:20" hidden="1">
      <c r="T7569" t="str">
        <f>IF(C7569="","",UPPER(LEFT(SUBSTITUTE(C7569," ",""),3))&amp;"-"&amp;TEXT(B7569,"AAMMDD")&amp;"-1")</f>
        <v/>
      </c>
    </row>
    <row r="7570" spans="20:20" hidden="1">
      <c r="T7570" t="str">
        <f>IF(C7570="","",UPPER(LEFT(SUBSTITUTE(C7570," ",""),3))&amp;"-"&amp;TEXT(B7570,"AAMMDD")&amp;"-1")</f>
        <v/>
      </c>
    </row>
    <row r="7571" spans="20:20" hidden="1">
      <c r="T7571" t="str">
        <f>IF(C7571="","",UPPER(LEFT(SUBSTITUTE(C7571," ",""),3))&amp;"-"&amp;TEXT(B7571,"AAMMDD")&amp;"-1")</f>
        <v/>
      </c>
    </row>
    <row r="7572" spans="20:20" hidden="1">
      <c r="T7572" t="str">
        <f>IF(C7572="","",UPPER(LEFT(SUBSTITUTE(C7572," ",""),3))&amp;"-"&amp;TEXT(B7572,"AAMMDD")&amp;"-1")</f>
        <v/>
      </c>
    </row>
    <row r="7573" spans="20:20" hidden="1">
      <c r="T7573" t="str">
        <f>IF(C7573="","",UPPER(LEFT(SUBSTITUTE(C7573," ",""),3))&amp;"-"&amp;TEXT(B7573,"AAMMDD")&amp;"-1")</f>
        <v/>
      </c>
    </row>
    <row r="7574" spans="20:20" hidden="1">
      <c r="T7574" t="str">
        <f>IF(C7574="","",UPPER(LEFT(SUBSTITUTE(C7574," ",""),3))&amp;"-"&amp;TEXT(B7574,"AAMMDD")&amp;"-1")</f>
        <v/>
      </c>
    </row>
    <row r="7575" spans="20:20" hidden="1">
      <c r="T7575" t="str">
        <f>IF(C7575="","",UPPER(LEFT(SUBSTITUTE(C7575," ",""),3))&amp;"-"&amp;TEXT(B7575,"AAMMDD")&amp;"-1")</f>
        <v/>
      </c>
    </row>
    <row r="7576" spans="20:20" hidden="1">
      <c r="T7576" t="str">
        <f>IF(C7576="","",UPPER(LEFT(SUBSTITUTE(C7576," ",""),3))&amp;"-"&amp;TEXT(B7576,"AAMMDD")&amp;"-1")</f>
        <v/>
      </c>
    </row>
    <row r="7577" spans="20:20" hidden="1">
      <c r="T7577" t="str">
        <f>IF(C7577="","",UPPER(LEFT(SUBSTITUTE(C7577," ",""),3))&amp;"-"&amp;TEXT(B7577,"AAMMDD")&amp;"-1")</f>
        <v/>
      </c>
    </row>
    <row r="7578" spans="20:20" hidden="1">
      <c r="T7578" t="str">
        <f>IF(C7578="","",UPPER(LEFT(SUBSTITUTE(C7578," ",""),3))&amp;"-"&amp;TEXT(B7578,"AAMMDD")&amp;"-1")</f>
        <v/>
      </c>
    </row>
    <row r="7579" spans="20:20" hidden="1">
      <c r="T7579" t="str">
        <f>IF(C7579="","",UPPER(LEFT(SUBSTITUTE(C7579," ",""),3))&amp;"-"&amp;TEXT(B7579,"AAMMDD")&amp;"-1")</f>
        <v/>
      </c>
    </row>
    <row r="7580" spans="20:20" hidden="1">
      <c r="T7580" t="str">
        <f>IF(C7580="","",UPPER(LEFT(SUBSTITUTE(C7580," ",""),3))&amp;"-"&amp;TEXT(B7580,"AAMMDD")&amp;"-1")</f>
        <v/>
      </c>
    </row>
    <row r="7581" spans="20:20" hidden="1">
      <c r="T7581" t="str">
        <f>IF(C7581="","",UPPER(LEFT(SUBSTITUTE(C7581," ",""),3))&amp;"-"&amp;TEXT(B7581,"AAMMDD")&amp;"-1")</f>
        <v/>
      </c>
    </row>
    <row r="7582" spans="20:20" hidden="1">
      <c r="T7582" t="str">
        <f>IF(C7582="","",UPPER(LEFT(SUBSTITUTE(C7582," ",""),3))&amp;"-"&amp;TEXT(B7582,"AAMMDD")&amp;"-1")</f>
        <v/>
      </c>
    </row>
    <row r="7583" spans="20:20" hidden="1">
      <c r="T7583" t="str">
        <f>IF(C7583="","",UPPER(LEFT(SUBSTITUTE(C7583," ",""),3))&amp;"-"&amp;TEXT(B7583,"AAMMDD")&amp;"-1")</f>
        <v/>
      </c>
    </row>
    <row r="7584" spans="20:20" hidden="1">
      <c r="T7584" t="str">
        <f>IF(C7584="","",UPPER(LEFT(SUBSTITUTE(C7584," ",""),3))&amp;"-"&amp;TEXT(B7584,"AAMMDD")&amp;"-1")</f>
        <v/>
      </c>
    </row>
    <row r="7585" spans="20:20" hidden="1">
      <c r="T7585" t="str">
        <f>IF(C7585="","",UPPER(LEFT(SUBSTITUTE(C7585," ",""),3))&amp;"-"&amp;TEXT(B7585,"AAMMDD")&amp;"-1")</f>
        <v/>
      </c>
    </row>
    <row r="7586" spans="20:20" hidden="1">
      <c r="T7586" t="str">
        <f>IF(C7586="","",UPPER(LEFT(SUBSTITUTE(C7586," ",""),3))&amp;"-"&amp;TEXT(B7586,"AAMMDD")&amp;"-1")</f>
        <v/>
      </c>
    </row>
    <row r="7587" spans="20:20" hidden="1">
      <c r="T7587" t="str">
        <f>IF(C7587="","",UPPER(LEFT(SUBSTITUTE(C7587," ",""),3))&amp;"-"&amp;TEXT(B7587,"AAMMDD")&amp;"-1")</f>
        <v/>
      </c>
    </row>
    <row r="7588" spans="20:20" hidden="1">
      <c r="T7588" t="str">
        <f>IF(C7588="","",UPPER(LEFT(SUBSTITUTE(C7588," ",""),3))&amp;"-"&amp;TEXT(B7588,"AAMMDD")&amp;"-1")</f>
        <v/>
      </c>
    </row>
    <row r="7589" spans="20:20" hidden="1">
      <c r="T7589" t="str">
        <f>IF(C7589="","",UPPER(LEFT(SUBSTITUTE(C7589," ",""),3))&amp;"-"&amp;TEXT(B7589,"AAMMDD")&amp;"-1")</f>
        <v/>
      </c>
    </row>
    <row r="7590" spans="20:20" hidden="1">
      <c r="T7590" t="str">
        <f>IF(C7590="","",UPPER(LEFT(SUBSTITUTE(C7590," ",""),3))&amp;"-"&amp;TEXT(B7590,"AAMMDD")&amp;"-1")</f>
        <v/>
      </c>
    </row>
    <row r="7591" spans="20:20" hidden="1">
      <c r="T7591" t="str">
        <f>IF(C7591="","",UPPER(LEFT(SUBSTITUTE(C7591," ",""),3))&amp;"-"&amp;TEXT(B7591,"AAMMDD")&amp;"-1")</f>
        <v/>
      </c>
    </row>
    <row r="7592" spans="20:20" hidden="1">
      <c r="T7592" t="str">
        <f>IF(C7592="","",UPPER(LEFT(SUBSTITUTE(C7592," ",""),3))&amp;"-"&amp;TEXT(B7592,"AAMMDD")&amp;"-1")</f>
        <v/>
      </c>
    </row>
    <row r="7593" spans="20:20" hidden="1">
      <c r="T7593" t="str">
        <f>IF(C7593="","",UPPER(LEFT(SUBSTITUTE(C7593," ",""),3))&amp;"-"&amp;TEXT(B7593,"AAMMDD")&amp;"-1")</f>
        <v/>
      </c>
    </row>
    <row r="7594" spans="20:20" hidden="1">
      <c r="T7594" t="str">
        <f>IF(C7594="","",UPPER(LEFT(SUBSTITUTE(C7594," ",""),3))&amp;"-"&amp;TEXT(B7594,"AAMMDD")&amp;"-1")</f>
        <v/>
      </c>
    </row>
    <row r="7595" spans="20:20" hidden="1">
      <c r="T7595" t="str">
        <f>IF(C7595="","",UPPER(LEFT(SUBSTITUTE(C7595," ",""),3))&amp;"-"&amp;TEXT(B7595,"AAMMDD")&amp;"-1")</f>
        <v/>
      </c>
    </row>
    <row r="7596" spans="20:20" hidden="1">
      <c r="T7596" t="str">
        <f>IF(C7596="","",UPPER(LEFT(SUBSTITUTE(C7596," ",""),3))&amp;"-"&amp;TEXT(B7596,"AAMMDD")&amp;"-1")</f>
        <v/>
      </c>
    </row>
    <row r="7597" spans="20:20" hidden="1">
      <c r="T7597" t="str">
        <f>IF(C7597="","",UPPER(LEFT(SUBSTITUTE(C7597," ",""),3))&amp;"-"&amp;TEXT(B7597,"AAMMDD")&amp;"-1")</f>
        <v/>
      </c>
    </row>
    <row r="7598" spans="20:20" hidden="1">
      <c r="T7598" t="str">
        <f>IF(C7598="","",UPPER(LEFT(SUBSTITUTE(C7598," ",""),3))&amp;"-"&amp;TEXT(B7598,"AAMMDD")&amp;"-1")</f>
        <v/>
      </c>
    </row>
    <row r="7599" spans="20:20" hidden="1">
      <c r="T7599" t="str">
        <f>IF(C7599="","",UPPER(LEFT(SUBSTITUTE(C7599," ",""),3))&amp;"-"&amp;TEXT(B7599,"AAMMDD")&amp;"-1")</f>
        <v/>
      </c>
    </row>
    <row r="7600" spans="20:20" hidden="1">
      <c r="T7600" t="str">
        <f>IF(C7600="","",UPPER(LEFT(SUBSTITUTE(C7600," ",""),3))&amp;"-"&amp;TEXT(B7600,"AAMMDD")&amp;"-1")</f>
        <v/>
      </c>
    </row>
    <row r="7601" spans="20:20" hidden="1">
      <c r="T7601" t="str">
        <f>IF(C7601="","",UPPER(LEFT(SUBSTITUTE(C7601," ",""),3))&amp;"-"&amp;TEXT(B7601,"AAMMDD")&amp;"-1")</f>
        <v/>
      </c>
    </row>
    <row r="7602" spans="20:20" hidden="1">
      <c r="T7602" t="str">
        <f>IF(C7602="","",UPPER(LEFT(SUBSTITUTE(C7602," ",""),3))&amp;"-"&amp;TEXT(B7602,"AAMMDD")&amp;"-1")</f>
        <v/>
      </c>
    </row>
    <row r="7603" spans="20:20" hidden="1">
      <c r="T7603" t="str">
        <f>IF(C7603="","",UPPER(LEFT(SUBSTITUTE(C7603," ",""),3))&amp;"-"&amp;TEXT(B7603,"AAMMDD")&amp;"-1")</f>
        <v/>
      </c>
    </row>
    <row r="7604" spans="20:20" hidden="1">
      <c r="T7604" t="str">
        <f>IF(C7604="","",UPPER(LEFT(SUBSTITUTE(C7604," ",""),3))&amp;"-"&amp;TEXT(B7604,"AAMMDD")&amp;"-1")</f>
        <v/>
      </c>
    </row>
    <row r="7605" spans="20:20" hidden="1">
      <c r="T7605" t="str">
        <f>IF(C7605="","",UPPER(LEFT(SUBSTITUTE(C7605," ",""),3))&amp;"-"&amp;TEXT(B7605,"AAMMDD")&amp;"-1")</f>
        <v/>
      </c>
    </row>
    <row r="7606" spans="20:20" hidden="1">
      <c r="T7606" t="str">
        <f>IF(C7606="","",UPPER(LEFT(SUBSTITUTE(C7606," ",""),3))&amp;"-"&amp;TEXT(B7606,"AAMMDD")&amp;"-1")</f>
        <v/>
      </c>
    </row>
    <row r="7607" spans="20:20" hidden="1">
      <c r="T7607" t="str">
        <f>IF(C7607="","",UPPER(LEFT(SUBSTITUTE(C7607," ",""),3))&amp;"-"&amp;TEXT(B7607,"AAMMDD")&amp;"-1")</f>
        <v/>
      </c>
    </row>
    <row r="7608" spans="20:20" hidden="1">
      <c r="T7608" t="str">
        <f>IF(C7608="","",UPPER(LEFT(SUBSTITUTE(C7608," ",""),3))&amp;"-"&amp;TEXT(B7608,"AAMMDD")&amp;"-1")</f>
        <v/>
      </c>
    </row>
    <row r="7609" spans="20:20" hidden="1">
      <c r="T7609" t="str">
        <f>IF(C7609="","",UPPER(LEFT(SUBSTITUTE(C7609," ",""),3))&amp;"-"&amp;TEXT(B7609,"AAMMDD")&amp;"-1")</f>
        <v/>
      </c>
    </row>
    <row r="7610" spans="20:20" hidden="1">
      <c r="T7610" t="str">
        <f>IF(C7610="","",UPPER(LEFT(SUBSTITUTE(C7610," ",""),3))&amp;"-"&amp;TEXT(B7610,"AAMMDD")&amp;"-1")</f>
        <v/>
      </c>
    </row>
    <row r="7611" spans="20:20" hidden="1">
      <c r="T7611" t="str">
        <f>IF(C7611="","",UPPER(LEFT(SUBSTITUTE(C7611," ",""),3))&amp;"-"&amp;TEXT(B7611,"AAMMDD")&amp;"-1")</f>
        <v/>
      </c>
    </row>
    <row r="7612" spans="20:20" hidden="1">
      <c r="T7612" t="str">
        <f>IF(C7612="","",UPPER(LEFT(SUBSTITUTE(C7612," ",""),3))&amp;"-"&amp;TEXT(B7612,"AAMMDD")&amp;"-1")</f>
        <v/>
      </c>
    </row>
    <row r="7613" spans="20:20" hidden="1">
      <c r="T7613" t="str">
        <f>IF(C7613="","",UPPER(LEFT(SUBSTITUTE(C7613," ",""),3))&amp;"-"&amp;TEXT(B7613,"AAMMDD")&amp;"-1")</f>
        <v/>
      </c>
    </row>
    <row r="7614" spans="20:20" hidden="1">
      <c r="T7614" t="str">
        <f>IF(C7614="","",UPPER(LEFT(SUBSTITUTE(C7614," ",""),3))&amp;"-"&amp;TEXT(B7614,"AAMMDD")&amp;"-1")</f>
        <v/>
      </c>
    </row>
    <row r="7615" spans="20:20" hidden="1">
      <c r="T7615" t="str">
        <f>IF(C7615="","",UPPER(LEFT(SUBSTITUTE(C7615," ",""),3))&amp;"-"&amp;TEXT(B7615,"AAMMDD")&amp;"-1")</f>
        <v/>
      </c>
    </row>
    <row r="7616" spans="20:20" hidden="1">
      <c r="T7616" t="str">
        <f>IF(C7616="","",UPPER(LEFT(SUBSTITUTE(C7616," ",""),3))&amp;"-"&amp;TEXT(B7616,"AAMMDD")&amp;"-1")</f>
        <v/>
      </c>
    </row>
    <row r="7617" spans="20:20" hidden="1">
      <c r="T7617" t="str">
        <f>IF(C7617="","",UPPER(LEFT(SUBSTITUTE(C7617," ",""),3))&amp;"-"&amp;TEXT(B7617,"AAMMDD")&amp;"-1")</f>
        <v/>
      </c>
    </row>
    <row r="7618" spans="20:20" hidden="1">
      <c r="T7618" t="str">
        <f>IF(C7618="","",UPPER(LEFT(SUBSTITUTE(C7618," ",""),3))&amp;"-"&amp;TEXT(B7618,"AAMMDD")&amp;"-1")</f>
        <v/>
      </c>
    </row>
    <row r="7619" spans="20:20" hidden="1">
      <c r="T7619" t="str">
        <f>IF(C7619="","",UPPER(LEFT(SUBSTITUTE(C7619," ",""),3))&amp;"-"&amp;TEXT(B7619,"AAMMDD")&amp;"-1")</f>
        <v/>
      </c>
    </row>
    <row r="7620" spans="20:20" hidden="1">
      <c r="T7620" t="str">
        <f>IF(C7620="","",UPPER(LEFT(SUBSTITUTE(C7620," ",""),3))&amp;"-"&amp;TEXT(B7620,"AAMMDD")&amp;"-1")</f>
        <v/>
      </c>
    </row>
    <row r="7621" spans="20:20" hidden="1">
      <c r="T7621" t="str">
        <f>IF(C7621="","",UPPER(LEFT(SUBSTITUTE(C7621," ",""),3))&amp;"-"&amp;TEXT(B7621,"AAMMDD")&amp;"-1")</f>
        <v/>
      </c>
    </row>
    <row r="7622" spans="20:20" hidden="1">
      <c r="T7622" t="str">
        <f>IF(C7622="","",UPPER(LEFT(SUBSTITUTE(C7622," ",""),3))&amp;"-"&amp;TEXT(B7622,"AAMMDD")&amp;"-1")</f>
        <v/>
      </c>
    </row>
    <row r="7623" spans="20:20" hidden="1">
      <c r="T7623" t="str">
        <f>IF(C7623="","",UPPER(LEFT(SUBSTITUTE(C7623," ",""),3))&amp;"-"&amp;TEXT(B7623,"AAMMDD")&amp;"-1")</f>
        <v/>
      </c>
    </row>
    <row r="7624" spans="20:20" hidden="1">
      <c r="T7624" t="str">
        <f>IF(C7624="","",UPPER(LEFT(SUBSTITUTE(C7624," ",""),3))&amp;"-"&amp;TEXT(B7624,"AAMMDD")&amp;"-1")</f>
        <v/>
      </c>
    </row>
    <row r="7625" spans="20:20" hidden="1">
      <c r="T7625" t="str">
        <f>IF(C7625="","",UPPER(LEFT(SUBSTITUTE(C7625," ",""),3))&amp;"-"&amp;TEXT(B7625,"AAMMDD")&amp;"-1")</f>
        <v/>
      </c>
    </row>
    <row r="7626" spans="20:20" hidden="1">
      <c r="T7626" t="str">
        <f>IF(C7626="","",UPPER(LEFT(SUBSTITUTE(C7626," ",""),3))&amp;"-"&amp;TEXT(B7626,"AAMMDD")&amp;"-1")</f>
        <v/>
      </c>
    </row>
    <row r="7627" spans="20:20" hidden="1">
      <c r="T7627" t="str">
        <f>IF(C7627="","",UPPER(LEFT(SUBSTITUTE(C7627," ",""),3))&amp;"-"&amp;TEXT(B7627,"AAMMDD")&amp;"-1")</f>
        <v/>
      </c>
    </row>
    <row r="7628" spans="20:20" hidden="1">
      <c r="T7628" t="str">
        <f>IF(C7628="","",UPPER(LEFT(SUBSTITUTE(C7628," ",""),3))&amp;"-"&amp;TEXT(B7628,"AAMMDD")&amp;"-1")</f>
        <v/>
      </c>
    </row>
    <row r="7629" spans="20:20" hidden="1">
      <c r="T7629" t="str">
        <f>IF(C7629="","",UPPER(LEFT(SUBSTITUTE(C7629," ",""),3))&amp;"-"&amp;TEXT(B7629,"AAMMDD")&amp;"-1")</f>
        <v/>
      </c>
    </row>
    <row r="7630" spans="20:20" hidden="1">
      <c r="T7630" t="str">
        <f>IF(C7630="","",UPPER(LEFT(SUBSTITUTE(C7630," ",""),3))&amp;"-"&amp;TEXT(B7630,"AAMMDD")&amp;"-1")</f>
        <v/>
      </c>
    </row>
    <row r="7631" spans="20:20" hidden="1">
      <c r="T7631" t="str">
        <f>IF(C7631="","",UPPER(LEFT(SUBSTITUTE(C7631," ",""),3))&amp;"-"&amp;TEXT(B7631,"AAMMDD")&amp;"-1")</f>
        <v/>
      </c>
    </row>
    <row r="7632" spans="20:20" hidden="1">
      <c r="T7632" t="str">
        <f>IF(C7632="","",UPPER(LEFT(SUBSTITUTE(C7632," ",""),3))&amp;"-"&amp;TEXT(B7632,"AAMMDD")&amp;"-1")</f>
        <v/>
      </c>
    </row>
    <row r="7633" spans="20:20" hidden="1">
      <c r="T7633" t="str">
        <f>IF(C7633="","",UPPER(LEFT(SUBSTITUTE(C7633," ",""),3))&amp;"-"&amp;TEXT(B7633,"AAMMDD")&amp;"-1")</f>
        <v/>
      </c>
    </row>
    <row r="7634" spans="20:20" hidden="1">
      <c r="T7634" t="str">
        <f>IF(C7634="","",UPPER(LEFT(SUBSTITUTE(C7634," ",""),3))&amp;"-"&amp;TEXT(B7634,"AAMMDD")&amp;"-1")</f>
        <v/>
      </c>
    </row>
    <row r="7635" spans="20:20" hidden="1">
      <c r="T7635" t="str">
        <f>IF(C7635="","",UPPER(LEFT(SUBSTITUTE(C7635," ",""),3))&amp;"-"&amp;TEXT(B7635,"AAMMDD")&amp;"-1")</f>
        <v/>
      </c>
    </row>
    <row r="7636" spans="20:20" hidden="1">
      <c r="T7636" t="str">
        <f>IF(C7636="","",UPPER(LEFT(SUBSTITUTE(C7636," ",""),3))&amp;"-"&amp;TEXT(B7636,"AAMMDD")&amp;"-1")</f>
        <v/>
      </c>
    </row>
    <row r="7637" spans="20:20" hidden="1">
      <c r="T7637" t="str">
        <f>IF(C7637="","",UPPER(LEFT(SUBSTITUTE(C7637," ",""),3))&amp;"-"&amp;TEXT(B7637,"AAMMDD")&amp;"-1")</f>
        <v/>
      </c>
    </row>
    <row r="7638" spans="20:20" hidden="1">
      <c r="T7638" t="str">
        <f>IF(C7638="","",UPPER(LEFT(SUBSTITUTE(C7638," ",""),3))&amp;"-"&amp;TEXT(B7638,"AAMMDD")&amp;"-1")</f>
        <v/>
      </c>
    </row>
    <row r="7639" spans="20:20" hidden="1">
      <c r="T7639" t="str">
        <f>IF(C7639="","",UPPER(LEFT(SUBSTITUTE(C7639," ",""),3))&amp;"-"&amp;TEXT(B7639,"AAMMDD")&amp;"-1")</f>
        <v/>
      </c>
    </row>
    <row r="7640" spans="20:20" hidden="1">
      <c r="T7640" t="str">
        <f>IF(C7640="","",UPPER(LEFT(SUBSTITUTE(C7640," ",""),3))&amp;"-"&amp;TEXT(B7640,"AAMMDD")&amp;"-1")</f>
        <v/>
      </c>
    </row>
    <row r="7641" spans="20:20" hidden="1">
      <c r="T7641" t="str">
        <f>IF(C7641="","",UPPER(LEFT(SUBSTITUTE(C7641," ",""),3))&amp;"-"&amp;TEXT(B7641,"AAMMDD")&amp;"-1")</f>
        <v/>
      </c>
    </row>
    <row r="7642" spans="20:20" hidden="1">
      <c r="T7642" t="str">
        <f>IF(C7642="","",UPPER(LEFT(SUBSTITUTE(C7642," ",""),3))&amp;"-"&amp;TEXT(B7642,"AAMMDD")&amp;"-1")</f>
        <v/>
      </c>
    </row>
    <row r="7643" spans="20:20" hidden="1">
      <c r="T7643" t="str">
        <f>IF(C7643="","",UPPER(LEFT(SUBSTITUTE(C7643," ",""),3))&amp;"-"&amp;TEXT(B7643,"AAMMDD")&amp;"-1")</f>
        <v/>
      </c>
    </row>
    <row r="7644" spans="20:20" hidden="1">
      <c r="T7644" t="str">
        <f>IF(C7644="","",UPPER(LEFT(SUBSTITUTE(C7644," ",""),3))&amp;"-"&amp;TEXT(B7644,"AAMMDD")&amp;"-1")</f>
        <v/>
      </c>
    </row>
    <row r="7645" spans="20:20" hidden="1">
      <c r="T7645" t="str">
        <f>IF(C7645="","",UPPER(LEFT(SUBSTITUTE(C7645," ",""),3))&amp;"-"&amp;TEXT(B7645,"AAMMDD")&amp;"-1")</f>
        <v/>
      </c>
    </row>
    <row r="7646" spans="20:20" hidden="1">
      <c r="T7646" t="str">
        <f>IF(C7646="","",UPPER(LEFT(SUBSTITUTE(C7646," ",""),3))&amp;"-"&amp;TEXT(B7646,"AAMMDD")&amp;"-1")</f>
        <v/>
      </c>
    </row>
    <row r="7647" spans="20:20" hidden="1">
      <c r="T7647" t="str">
        <f>IF(C7647="","",UPPER(LEFT(SUBSTITUTE(C7647," ",""),3))&amp;"-"&amp;TEXT(B7647,"AAMMDD")&amp;"-1")</f>
        <v/>
      </c>
    </row>
    <row r="7648" spans="20:20" hidden="1">
      <c r="T7648" t="str">
        <f>IF(C7648="","",UPPER(LEFT(SUBSTITUTE(C7648," ",""),3))&amp;"-"&amp;TEXT(B7648,"AAMMDD")&amp;"-1")</f>
        <v/>
      </c>
    </row>
    <row r="7649" spans="20:20" hidden="1">
      <c r="T7649" t="str">
        <f>IF(C7649="","",UPPER(LEFT(SUBSTITUTE(C7649," ",""),3))&amp;"-"&amp;TEXT(B7649,"AAMMDD")&amp;"-1")</f>
        <v/>
      </c>
    </row>
    <row r="7650" spans="20:20" hidden="1">
      <c r="T7650" t="str">
        <f>IF(C7650="","",UPPER(LEFT(SUBSTITUTE(C7650," ",""),3))&amp;"-"&amp;TEXT(B7650,"AAMMDD")&amp;"-1")</f>
        <v/>
      </c>
    </row>
    <row r="7651" spans="20:20" hidden="1">
      <c r="T7651" t="str">
        <f>IF(C7651="","",UPPER(LEFT(SUBSTITUTE(C7651," ",""),3))&amp;"-"&amp;TEXT(B7651,"AAMMDD")&amp;"-1")</f>
        <v/>
      </c>
    </row>
    <row r="7652" spans="20:20" hidden="1">
      <c r="T7652" t="str">
        <f>IF(C7652="","",UPPER(LEFT(SUBSTITUTE(C7652," ",""),3))&amp;"-"&amp;TEXT(B7652,"AAMMDD")&amp;"-1")</f>
        <v/>
      </c>
    </row>
    <row r="7653" spans="20:20" hidden="1">
      <c r="T7653" t="str">
        <f>IF(C7653="","",UPPER(LEFT(SUBSTITUTE(C7653," ",""),3))&amp;"-"&amp;TEXT(B7653,"AAMMDD")&amp;"-1")</f>
        <v/>
      </c>
    </row>
    <row r="7654" spans="20:20" hidden="1">
      <c r="T7654" t="str">
        <f>IF(C7654="","",UPPER(LEFT(SUBSTITUTE(C7654," ",""),3))&amp;"-"&amp;TEXT(B7654,"AAMMDD")&amp;"-1")</f>
        <v/>
      </c>
    </row>
    <row r="7655" spans="20:20" hidden="1">
      <c r="T7655" t="str">
        <f>IF(C7655="","",UPPER(LEFT(SUBSTITUTE(C7655," ",""),3))&amp;"-"&amp;TEXT(B7655,"AAMMDD")&amp;"-1")</f>
        <v/>
      </c>
    </row>
    <row r="7656" spans="20:20" hidden="1">
      <c r="T7656" t="str">
        <f>IF(C7656="","",UPPER(LEFT(SUBSTITUTE(C7656," ",""),3))&amp;"-"&amp;TEXT(B7656,"AAMMDD")&amp;"-1")</f>
        <v/>
      </c>
    </row>
    <row r="7657" spans="20:20" hidden="1">
      <c r="T7657" t="str">
        <f>IF(C7657="","",UPPER(LEFT(SUBSTITUTE(C7657," ",""),3))&amp;"-"&amp;TEXT(B7657,"AAMMDD")&amp;"-1")</f>
        <v/>
      </c>
    </row>
    <row r="7658" spans="20:20" hidden="1">
      <c r="T7658" t="str">
        <f>IF(C7658="","",UPPER(LEFT(SUBSTITUTE(C7658," ",""),3))&amp;"-"&amp;TEXT(B7658,"AAMMDD")&amp;"-1")</f>
        <v/>
      </c>
    </row>
    <row r="7659" spans="20:20" hidden="1">
      <c r="T7659" t="str">
        <f>IF(C7659="","",UPPER(LEFT(SUBSTITUTE(C7659," ",""),3))&amp;"-"&amp;TEXT(B7659,"AAMMDD")&amp;"-1")</f>
        <v/>
      </c>
    </row>
    <row r="7660" spans="20:20" hidden="1">
      <c r="T7660" t="str">
        <f>IF(C7660="","",UPPER(LEFT(SUBSTITUTE(C7660," ",""),3))&amp;"-"&amp;TEXT(B7660,"AAMMDD")&amp;"-1")</f>
        <v/>
      </c>
    </row>
    <row r="7661" spans="20:20" hidden="1">
      <c r="T7661" t="str">
        <f>IF(C7661="","",UPPER(LEFT(SUBSTITUTE(C7661," ",""),3))&amp;"-"&amp;TEXT(B7661,"AAMMDD")&amp;"-1")</f>
        <v/>
      </c>
    </row>
    <row r="7662" spans="20:20" hidden="1">
      <c r="T7662" t="str">
        <f>IF(C7662="","",UPPER(LEFT(SUBSTITUTE(C7662," ",""),3))&amp;"-"&amp;TEXT(B7662,"AAMMDD")&amp;"-1")</f>
        <v/>
      </c>
    </row>
    <row r="7663" spans="20:20" hidden="1">
      <c r="T7663" t="str">
        <f>IF(C7663="","",UPPER(LEFT(SUBSTITUTE(C7663," ",""),3))&amp;"-"&amp;TEXT(B7663,"AAMMDD")&amp;"-1")</f>
        <v/>
      </c>
    </row>
    <row r="7664" spans="20:20" hidden="1">
      <c r="T7664" t="str">
        <f>IF(C7664="","",UPPER(LEFT(SUBSTITUTE(C7664," ",""),3))&amp;"-"&amp;TEXT(B7664,"AAMMDD")&amp;"-1")</f>
        <v/>
      </c>
    </row>
    <row r="7665" spans="20:20" hidden="1">
      <c r="T7665" t="str">
        <f>IF(C7665="","",UPPER(LEFT(SUBSTITUTE(C7665," ",""),3))&amp;"-"&amp;TEXT(B7665,"AAMMDD")&amp;"-1")</f>
        <v/>
      </c>
    </row>
    <row r="7666" spans="20:20" hidden="1">
      <c r="T7666" t="str">
        <f>IF(C7666="","",UPPER(LEFT(SUBSTITUTE(C7666," ",""),3))&amp;"-"&amp;TEXT(B7666,"AAMMDD")&amp;"-1")</f>
        <v/>
      </c>
    </row>
    <row r="7667" spans="20:20" hidden="1">
      <c r="T7667" t="str">
        <f>IF(C7667="","",UPPER(LEFT(SUBSTITUTE(C7667," ",""),3))&amp;"-"&amp;TEXT(B7667,"AAMMDD")&amp;"-1")</f>
        <v/>
      </c>
    </row>
    <row r="7668" spans="20:20" hidden="1">
      <c r="T7668" t="str">
        <f>IF(C7668="","",UPPER(LEFT(SUBSTITUTE(C7668," ",""),3))&amp;"-"&amp;TEXT(B7668,"AAMMDD")&amp;"-1")</f>
        <v/>
      </c>
    </row>
    <row r="7669" spans="20:20" hidden="1">
      <c r="T7669" t="str">
        <f>IF(C7669="","",UPPER(LEFT(SUBSTITUTE(C7669," ",""),3))&amp;"-"&amp;TEXT(B7669,"AAMMDD")&amp;"-1")</f>
        <v/>
      </c>
    </row>
    <row r="7670" spans="20:20" hidden="1">
      <c r="T7670" t="str">
        <f>IF(C7670="","",UPPER(LEFT(SUBSTITUTE(C7670," ",""),3))&amp;"-"&amp;TEXT(B7670,"AAMMDD")&amp;"-1")</f>
        <v/>
      </c>
    </row>
    <row r="7671" spans="20:20" hidden="1">
      <c r="T7671" t="str">
        <f>IF(C7671="","",UPPER(LEFT(SUBSTITUTE(C7671," ",""),3))&amp;"-"&amp;TEXT(B7671,"AAMMDD")&amp;"-1")</f>
        <v/>
      </c>
    </row>
    <row r="7672" spans="20:20" hidden="1">
      <c r="T7672" t="str">
        <f>IF(C7672="","",UPPER(LEFT(SUBSTITUTE(C7672," ",""),3))&amp;"-"&amp;TEXT(B7672,"AAMMDD")&amp;"-1")</f>
        <v/>
      </c>
    </row>
    <row r="7673" spans="20:20" hidden="1">
      <c r="T7673" t="str">
        <f>IF(C7673="","",UPPER(LEFT(SUBSTITUTE(C7673," ",""),3))&amp;"-"&amp;TEXT(B7673,"AAMMDD")&amp;"-1")</f>
        <v/>
      </c>
    </row>
    <row r="7674" spans="20:20" hidden="1">
      <c r="T7674" t="str">
        <f>IF(C7674="","",UPPER(LEFT(SUBSTITUTE(C7674," ",""),3))&amp;"-"&amp;TEXT(B7674,"AAMMDD")&amp;"-1")</f>
        <v/>
      </c>
    </row>
    <row r="7675" spans="20:20" hidden="1">
      <c r="T7675" t="str">
        <f>IF(C7675="","",UPPER(LEFT(SUBSTITUTE(C7675," ",""),3))&amp;"-"&amp;TEXT(B7675,"AAMMDD")&amp;"-1")</f>
        <v/>
      </c>
    </row>
    <row r="7676" spans="20:20" hidden="1">
      <c r="T7676" t="str">
        <f>IF(C7676="","",UPPER(LEFT(SUBSTITUTE(C7676," ",""),3))&amp;"-"&amp;TEXT(B7676,"AAMMDD")&amp;"-1")</f>
        <v/>
      </c>
    </row>
    <row r="7677" spans="20:20" hidden="1">
      <c r="T7677" t="str">
        <f>IF(C7677="","",UPPER(LEFT(SUBSTITUTE(C7677," ",""),3))&amp;"-"&amp;TEXT(B7677,"AAMMDD")&amp;"-1")</f>
        <v/>
      </c>
    </row>
    <row r="7678" spans="20:20" hidden="1">
      <c r="T7678" t="str">
        <f>IF(C7678="","",UPPER(LEFT(SUBSTITUTE(C7678," ",""),3))&amp;"-"&amp;TEXT(B7678,"AAMMDD")&amp;"-1")</f>
        <v/>
      </c>
    </row>
    <row r="7679" spans="20:20" hidden="1">
      <c r="T7679" t="str">
        <f>IF(C7679="","",UPPER(LEFT(SUBSTITUTE(C7679," ",""),3))&amp;"-"&amp;TEXT(B7679,"AAMMDD")&amp;"-1")</f>
        <v/>
      </c>
    </row>
    <row r="7680" spans="20:20" hidden="1">
      <c r="T7680" t="str">
        <f>IF(C7680="","",UPPER(LEFT(SUBSTITUTE(C7680," ",""),3))&amp;"-"&amp;TEXT(B7680,"AAMMDD")&amp;"-1")</f>
        <v/>
      </c>
    </row>
    <row r="7681" spans="20:20" hidden="1">
      <c r="T7681" t="str">
        <f>IF(C7681="","",UPPER(LEFT(SUBSTITUTE(C7681," ",""),3))&amp;"-"&amp;TEXT(B7681,"AAMMDD")&amp;"-1")</f>
        <v/>
      </c>
    </row>
    <row r="7682" spans="20:20" hidden="1">
      <c r="T7682" t="str">
        <f>IF(C7682="","",UPPER(LEFT(SUBSTITUTE(C7682," ",""),3))&amp;"-"&amp;TEXT(B7682,"AAMMDD")&amp;"-1")</f>
        <v/>
      </c>
    </row>
    <row r="7683" spans="20:20" hidden="1">
      <c r="T7683" t="str">
        <f>IF(C7683="","",UPPER(LEFT(SUBSTITUTE(C7683," ",""),3))&amp;"-"&amp;TEXT(B7683,"AAMMDD")&amp;"-1")</f>
        <v/>
      </c>
    </row>
    <row r="7684" spans="20:20" hidden="1">
      <c r="T7684" t="str">
        <f>IF(C7684="","",UPPER(LEFT(SUBSTITUTE(C7684," ",""),3))&amp;"-"&amp;TEXT(B7684,"AAMMDD")&amp;"-1")</f>
        <v/>
      </c>
    </row>
    <row r="7685" spans="20:20" hidden="1">
      <c r="T7685" t="str">
        <f>IF(C7685="","",UPPER(LEFT(SUBSTITUTE(C7685," ",""),3))&amp;"-"&amp;TEXT(B7685,"AAMMDD")&amp;"-1")</f>
        <v/>
      </c>
    </row>
    <row r="7686" spans="20:20" hidden="1">
      <c r="T7686" t="str">
        <f>IF(C7686="","",UPPER(LEFT(SUBSTITUTE(C7686," ",""),3))&amp;"-"&amp;TEXT(B7686,"AAMMDD")&amp;"-1")</f>
        <v/>
      </c>
    </row>
    <row r="7687" spans="20:20" hidden="1">
      <c r="T7687" t="str">
        <f>IF(C7687="","",UPPER(LEFT(SUBSTITUTE(C7687," ",""),3))&amp;"-"&amp;TEXT(B7687,"AAMMDD")&amp;"-1")</f>
        <v/>
      </c>
    </row>
    <row r="7688" spans="20:20" hidden="1">
      <c r="T7688" t="str">
        <f>IF(C7688="","",UPPER(LEFT(SUBSTITUTE(C7688," ",""),3))&amp;"-"&amp;TEXT(B7688,"AAMMDD")&amp;"-1")</f>
        <v/>
      </c>
    </row>
    <row r="7689" spans="20:20" hidden="1">
      <c r="T7689" t="str">
        <f>IF(C7689="","",UPPER(LEFT(SUBSTITUTE(C7689," ",""),3))&amp;"-"&amp;TEXT(B7689,"AAMMDD")&amp;"-1")</f>
        <v/>
      </c>
    </row>
    <row r="7690" spans="20:20" hidden="1">
      <c r="T7690" t="str">
        <f>IF(C7690="","",UPPER(LEFT(SUBSTITUTE(C7690," ",""),3))&amp;"-"&amp;TEXT(B7690,"AAMMDD")&amp;"-1")</f>
        <v/>
      </c>
    </row>
    <row r="7691" spans="20:20" hidden="1">
      <c r="T7691" t="str">
        <f>IF(C7691="","",UPPER(LEFT(SUBSTITUTE(C7691," ",""),3))&amp;"-"&amp;TEXT(B7691,"AAMMDD")&amp;"-1")</f>
        <v/>
      </c>
    </row>
    <row r="7692" spans="20:20" hidden="1">
      <c r="T7692" t="str">
        <f>IF(C7692="","",UPPER(LEFT(SUBSTITUTE(C7692," ",""),3))&amp;"-"&amp;TEXT(B7692,"AAMMDD")&amp;"-1")</f>
        <v/>
      </c>
    </row>
    <row r="7693" spans="20:20" hidden="1">
      <c r="T7693" t="str">
        <f>IF(C7693="","",UPPER(LEFT(SUBSTITUTE(C7693," ",""),3))&amp;"-"&amp;TEXT(B7693,"AAMMDD")&amp;"-1")</f>
        <v/>
      </c>
    </row>
    <row r="7694" spans="20:20" hidden="1">
      <c r="T7694" t="str">
        <f>IF(C7694="","",UPPER(LEFT(SUBSTITUTE(C7694," ",""),3))&amp;"-"&amp;TEXT(B7694,"AAMMDD")&amp;"-1")</f>
        <v/>
      </c>
    </row>
    <row r="7695" spans="20:20" hidden="1">
      <c r="T7695" t="str">
        <f>IF(C7695="","",UPPER(LEFT(SUBSTITUTE(C7695," ",""),3))&amp;"-"&amp;TEXT(B7695,"AAMMDD")&amp;"-1")</f>
        <v/>
      </c>
    </row>
    <row r="7696" spans="20:20" hidden="1">
      <c r="T7696" t="str">
        <f>IF(C7696="","",UPPER(LEFT(SUBSTITUTE(C7696," ",""),3))&amp;"-"&amp;TEXT(B7696,"AAMMDD")&amp;"-1")</f>
        <v/>
      </c>
    </row>
    <row r="7697" spans="20:20" hidden="1">
      <c r="T7697" t="str">
        <f>IF(C7697="","",UPPER(LEFT(SUBSTITUTE(C7697," ",""),3))&amp;"-"&amp;TEXT(B7697,"AAMMDD")&amp;"-1")</f>
        <v/>
      </c>
    </row>
    <row r="7698" spans="20:20" hidden="1">
      <c r="T7698" t="str">
        <f>IF(C7698="","",UPPER(LEFT(SUBSTITUTE(C7698," ",""),3))&amp;"-"&amp;TEXT(B7698,"AAMMDD")&amp;"-1")</f>
        <v/>
      </c>
    </row>
    <row r="7699" spans="20:20" hidden="1">
      <c r="T7699" t="str">
        <f>IF(C7699="","",UPPER(LEFT(SUBSTITUTE(C7699," ",""),3))&amp;"-"&amp;TEXT(B7699,"AAMMDD")&amp;"-1")</f>
        <v/>
      </c>
    </row>
    <row r="7700" spans="20:20" hidden="1">
      <c r="T7700" t="str">
        <f>IF(C7700="","",UPPER(LEFT(SUBSTITUTE(C7700," ",""),3))&amp;"-"&amp;TEXT(B7700,"AAMMDD")&amp;"-1")</f>
        <v/>
      </c>
    </row>
    <row r="7701" spans="20:20" hidden="1">
      <c r="T7701" t="str">
        <f>IF(C7701="","",UPPER(LEFT(SUBSTITUTE(C7701," ",""),3))&amp;"-"&amp;TEXT(B7701,"AAMMDD")&amp;"-1")</f>
        <v/>
      </c>
    </row>
    <row r="7702" spans="20:20" hidden="1">
      <c r="T7702" t="str">
        <f>IF(C7702="","",UPPER(LEFT(SUBSTITUTE(C7702," ",""),3))&amp;"-"&amp;TEXT(B7702,"AAMMDD")&amp;"-1")</f>
        <v/>
      </c>
    </row>
    <row r="7703" spans="20:20" hidden="1">
      <c r="T7703" t="str">
        <f>IF(C7703="","",UPPER(LEFT(SUBSTITUTE(C7703," ",""),3))&amp;"-"&amp;TEXT(B7703,"AAMMDD")&amp;"-1")</f>
        <v/>
      </c>
    </row>
    <row r="7704" spans="20:20" hidden="1">
      <c r="T7704" t="str">
        <f>IF(C7704="","",UPPER(LEFT(SUBSTITUTE(C7704," ",""),3))&amp;"-"&amp;TEXT(B7704,"AAMMDD")&amp;"-1")</f>
        <v/>
      </c>
    </row>
    <row r="7705" spans="20:20" hidden="1">
      <c r="T7705" t="str">
        <f>IF(C7705="","",UPPER(LEFT(SUBSTITUTE(C7705," ",""),3))&amp;"-"&amp;TEXT(B7705,"AAMMDD")&amp;"-1")</f>
        <v/>
      </c>
    </row>
    <row r="7706" spans="20:20" hidden="1">
      <c r="T7706" t="str">
        <f>IF(C7706="","",UPPER(LEFT(SUBSTITUTE(C7706," ",""),3))&amp;"-"&amp;TEXT(B7706,"AAMMDD")&amp;"-1")</f>
        <v/>
      </c>
    </row>
    <row r="7707" spans="20:20" hidden="1">
      <c r="T7707" t="str">
        <f>IF(C7707="","",UPPER(LEFT(SUBSTITUTE(C7707," ",""),3))&amp;"-"&amp;TEXT(B7707,"AAMMDD")&amp;"-1")</f>
        <v/>
      </c>
    </row>
    <row r="7708" spans="20:20" hidden="1">
      <c r="T7708" t="str">
        <f>IF(C7708="","",UPPER(LEFT(SUBSTITUTE(C7708," ",""),3))&amp;"-"&amp;TEXT(B7708,"AAMMDD")&amp;"-1")</f>
        <v/>
      </c>
    </row>
    <row r="7709" spans="20:20" hidden="1">
      <c r="T7709" t="str">
        <f>IF(C7709="","",UPPER(LEFT(SUBSTITUTE(C7709," ",""),3))&amp;"-"&amp;TEXT(B7709,"AAMMDD")&amp;"-1")</f>
        <v/>
      </c>
    </row>
    <row r="7710" spans="20:20" hidden="1">
      <c r="T7710" t="str">
        <f>IF(C7710="","",UPPER(LEFT(SUBSTITUTE(C7710," ",""),3))&amp;"-"&amp;TEXT(B7710,"AAMMDD")&amp;"-1")</f>
        <v/>
      </c>
    </row>
    <row r="7711" spans="20:20" hidden="1">
      <c r="T7711" t="str">
        <f>IF(C7711="","",UPPER(LEFT(SUBSTITUTE(C7711," ",""),3))&amp;"-"&amp;TEXT(B7711,"AAMMDD")&amp;"-1")</f>
        <v/>
      </c>
    </row>
    <row r="7712" spans="20:20" hidden="1">
      <c r="T7712" t="str">
        <f>IF(C7712="","",UPPER(LEFT(SUBSTITUTE(C7712," ",""),3))&amp;"-"&amp;TEXT(B7712,"AAMMDD")&amp;"-1")</f>
        <v/>
      </c>
    </row>
    <row r="7713" spans="20:20" hidden="1">
      <c r="T7713" t="str">
        <f>IF(C7713="","",UPPER(LEFT(SUBSTITUTE(C7713," ",""),3))&amp;"-"&amp;TEXT(B7713,"AAMMDD")&amp;"-1")</f>
        <v/>
      </c>
    </row>
    <row r="7714" spans="20:20" hidden="1">
      <c r="T7714" t="str">
        <f>IF(C7714="","",UPPER(LEFT(SUBSTITUTE(C7714," ",""),3))&amp;"-"&amp;TEXT(B7714,"AAMMDD")&amp;"-1")</f>
        <v/>
      </c>
    </row>
    <row r="7715" spans="20:20" hidden="1">
      <c r="T7715" t="str">
        <f>IF(C7715="","",UPPER(LEFT(SUBSTITUTE(C7715," ",""),3))&amp;"-"&amp;TEXT(B7715,"AAMMDD")&amp;"-1")</f>
        <v/>
      </c>
    </row>
    <row r="7716" spans="20:20" hidden="1">
      <c r="T7716" t="str">
        <f>IF(C7716="","",UPPER(LEFT(SUBSTITUTE(C7716," ",""),3))&amp;"-"&amp;TEXT(B7716,"AAMMDD")&amp;"-1")</f>
        <v/>
      </c>
    </row>
    <row r="7717" spans="20:20" hidden="1">
      <c r="T7717" t="str">
        <f>IF(C7717="","",UPPER(LEFT(SUBSTITUTE(C7717," ",""),3))&amp;"-"&amp;TEXT(B7717,"AAMMDD")&amp;"-1")</f>
        <v/>
      </c>
    </row>
    <row r="7718" spans="20:20" hidden="1">
      <c r="T7718" t="str">
        <f>IF(C7718="","",UPPER(LEFT(SUBSTITUTE(C7718," ",""),3))&amp;"-"&amp;TEXT(B7718,"AAMMDD")&amp;"-1")</f>
        <v/>
      </c>
    </row>
    <row r="7719" spans="20:20" hidden="1">
      <c r="T7719" t="str">
        <f>IF(C7719="","",UPPER(LEFT(SUBSTITUTE(C7719," ",""),3))&amp;"-"&amp;TEXT(B7719,"AAMMDD")&amp;"-1")</f>
        <v/>
      </c>
    </row>
    <row r="7720" spans="20:20" hidden="1">
      <c r="T7720" t="str">
        <f>IF(C7720="","",UPPER(LEFT(SUBSTITUTE(C7720," ",""),3))&amp;"-"&amp;TEXT(B7720,"AAMMDD")&amp;"-1")</f>
        <v/>
      </c>
    </row>
    <row r="7721" spans="20:20" hidden="1">
      <c r="T7721" t="str">
        <f>IF(C7721="","",UPPER(LEFT(SUBSTITUTE(C7721," ",""),3))&amp;"-"&amp;TEXT(B7721,"AAMMDD")&amp;"-1")</f>
        <v/>
      </c>
    </row>
    <row r="7722" spans="20:20" hidden="1">
      <c r="T7722" t="str">
        <f>IF(C7722="","",UPPER(LEFT(SUBSTITUTE(C7722," ",""),3))&amp;"-"&amp;TEXT(B7722,"AAMMDD")&amp;"-1")</f>
        <v/>
      </c>
    </row>
    <row r="7723" spans="20:20" hidden="1">
      <c r="T7723" t="str">
        <f>IF(C7723="","",UPPER(LEFT(SUBSTITUTE(C7723," ",""),3))&amp;"-"&amp;TEXT(B7723,"AAMMDD")&amp;"-1")</f>
        <v/>
      </c>
    </row>
    <row r="7724" spans="20:20" hidden="1">
      <c r="T7724" t="str">
        <f>IF(C7724="","",UPPER(LEFT(SUBSTITUTE(C7724," ",""),3))&amp;"-"&amp;TEXT(B7724,"AAMMDD")&amp;"-1")</f>
        <v/>
      </c>
    </row>
    <row r="7725" spans="20:20" hidden="1">
      <c r="T7725" t="str">
        <f>IF(C7725="","",UPPER(LEFT(SUBSTITUTE(C7725," ",""),3))&amp;"-"&amp;TEXT(B7725,"AAMMDD")&amp;"-1")</f>
        <v/>
      </c>
    </row>
    <row r="7726" spans="20:20" hidden="1">
      <c r="T7726" t="str">
        <f>IF(C7726="","",UPPER(LEFT(SUBSTITUTE(C7726," ",""),3))&amp;"-"&amp;TEXT(B7726,"AAMMDD")&amp;"-1")</f>
        <v/>
      </c>
    </row>
    <row r="7727" spans="20:20" hidden="1">
      <c r="T7727" t="str">
        <f>IF(C7727="","",UPPER(LEFT(SUBSTITUTE(C7727," ",""),3))&amp;"-"&amp;TEXT(B7727,"AAMMDD")&amp;"-1")</f>
        <v/>
      </c>
    </row>
    <row r="7728" spans="20:20" hidden="1">
      <c r="T7728" t="str">
        <f>IF(C7728="","",UPPER(LEFT(SUBSTITUTE(C7728," ",""),3))&amp;"-"&amp;TEXT(B7728,"AAMMDD")&amp;"-1")</f>
        <v/>
      </c>
    </row>
    <row r="7729" spans="20:20" hidden="1">
      <c r="T7729" t="str">
        <f>IF(C7729="","",UPPER(LEFT(SUBSTITUTE(C7729," ",""),3))&amp;"-"&amp;TEXT(B7729,"AAMMDD")&amp;"-1")</f>
        <v/>
      </c>
    </row>
    <row r="7730" spans="20:20" hidden="1">
      <c r="T7730" t="str">
        <f>IF(C7730="","",UPPER(LEFT(SUBSTITUTE(C7730," ",""),3))&amp;"-"&amp;TEXT(B7730,"AAMMDD")&amp;"-1")</f>
        <v/>
      </c>
    </row>
    <row r="7731" spans="20:20" hidden="1">
      <c r="T7731" t="str">
        <f>IF(C7731="","",UPPER(LEFT(SUBSTITUTE(C7731," ",""),3))&amp;"-"&amp;TEXT(B7731,"AAMMDD")&amp;"-1")</f>
        <v/>
      </c>
    </row>
    <row r="7732" spans="20:20" hidden="1">
      <c r="T7732" t="str">
        <f>IF(C7732="","",UPPER(LEFT(SUBSTITUTE(C7732," ",""),3))&amp;"-"&amp;TEXT(B7732,"AAMMDD")&amp;"-1")</f>
        <v/>
      </c>
    </row>
    <row r="7733" spans="20:20" hidden="1">
      <c r="T7733" t="str">
        <f>IF(C7733="","",UPPER(LEFT(SUBSTITUTE(C7733," ",""),3))&amp;"-"&amp;TEXT(B7733,"AAMMDD")&amp;"-1")</f>
        <v/>
      </c>
    </row>
    <row r="7734" spans="20:20" hidden="1">
      <c r="T7734" t="str">
        <f>IF(C7734="","",UPPER(LEFT(SUBSTITUTE(C7734," ",""),3))&amp;"-"&amp;TEXT(B7734,"AAMMDD")&amp;"-1")</f>
        <v/>
      </c>
    </row>
    <row r="7735" spans="20:20" hidden="1">
      <c r="T7735" t="str">
        <f>IF(C7735="","",UPPER(LEFT(SUBSTITUTE(C7735," ",""),3))&amp;"-"&amp;TEXT(B7735,"AAMMDD")&amp;"-1")</f>
        <v/>
      </c>
    </row>
    <row r="7736" spans="20:20" hidden="1">
      <c r="T7736" t="str">
        <f>IF(C7736="","",UPPER(LEFT(SUBSTITUTE(C7736," ",""),3))&amp;"-"&amp;TEXT(B7736,"AAMMDD")&amp;"-1")</f>
        <v/>
      </c>
    </row>
    <row r="7737" spans="20:20" hidden="1">
      <c r="T7737" t="str">
        <f>IF(C7737="","",UPPER(LEFT(SUBSTITUTE(C7737," ",""),3))&amp;"-"&amp;TEXT(B7737,"AAMMDD")&amp;"-1")</f>
        <v/>
      </c>
    </row>
    <row r="7738" spans="20:20" hidden="1">
      <c r="T7738" t="str">
        <f>IF(C7738="","",UPPER(LEFT(SUBSTITUTE(C7738," ",""),3))&amp;"-"&amp;TEXT(B7738,"AAMMDD")&amp;"-1")</f>
        <v/>
      </c>
    </row>
    <row r="7739" spans="20:20" hidden="1">
      <c r="T7739" t="str">
        <f>IF(C7739="","",UPPER(LEFT(SUBSTITUTE(C7739," ",""),3))&amp;"-"&amp;TEXT(B7739,"AAMMDD")&amp;"-1")</f>
        <v/>
      </c>
    </row>
    <row r="7740" spans="20:20" hidden="1">
      <c r="T7740" t="str">
        <f>IF(C7740="","",UPPER(LEFT(SUBSTITUTE(C7740," ",""),3))&amp;"-"&amp;TEXT(B7740,"AAMMDD")&amp;"-1")</f>
        <v/>
      </c>
    </row>
    <row r="7741" spans="20:20" hidden="1">
      <c r="T7741" t="str">
        <f>IF(C7741="","",UPPER(LEFT(SUBSTITUTE(C7741," ",""),3))&amp;"-"&amp;TEXT(B7741,"AAMMDD")&amp;"-1")</f>
        <v/>
      </c>
    </row>
    <row r="7742" spans="20:20" hidden="1">
      <c r="T7742" t="str">
        <f>IF(C7742="","",UPPER(LEFT(SUBSTITUTE(C7742," ",""),3))&amp;"-"&amp;TEXT(B7742,"AAMMDD")&amp;"-1")</f>
        <v/>
      </c>
    </row>
    <row r="7743" spans="20:20" hidden="1">
      <c r="T7743" t="str">
        <f>IF(C7743="","",UPPER(LEFT(SUBSTITUTE(C7743," ",""),3))&amp;"-"&amp;TEXT(B7743,"AAMMDD")&amp;"-1")</f>
        <v/>
      </c>
    </row>
    <row r="7744" spans="20:20" hidden="1">
      <c r="T7744" t="str">
        <f>IF(C7744="","",UPPER(LEFT(SUBSTITUTE(C7744," ",""),3))&amp;"-"&amp;TEXT(B7744,"AAMMDD")&amp;"-1")</f>
        <v/>
      </c>
    </row>
    <row r="7745" spans="20:20" hidden="1">
      <c r="T7745" t="str">
        <f>IF(C7745="","",UPPER(LEFT(SUBSTITUTE(C7745," ",""),3))&amp;"-"&amp;TEXT(B7745,"AAMMDD")&amp;"-1")</f>
        <v/>
      </c>
    </row>
    <row r="7746" spans="20:20" hidden="1">
      <c r="T7746" t="str">
        <f>IF(C7746="","",UPPER(LEFT(SUBSTITUTE(C7746," ",""),3))&amp;"-"&amp;TEXT(B7746,"AAMMDD")&amp;"-1")</f>
        <v/>
      </c>
    </row>
    <row r="7747" spans="20:20" hidden="1">
      <c r="T7747" t="str">
        <f>IF(C7747="","",UPPER(LEFT(SUBSTITUTE(C7747," ",""),3))&amp;"-"&amp;TEXT(B7747,"AAMMDD")&amp;"-1")</f>
        <v/>
      </c>
    </row>
    <row r="7748" spans="20:20" hidden="1">
      <c r="T7748" t="str">
        <f>IF(C7748="","",UPPER(LEFT(SUBSTITUTE(C7748," ",""),3))&amp;"-"&amp;TEXT(B7748,"AAMMDD")&amp;"-1")</f>
        <v/>
      </c>
    </row>
    <row r="7749" spans="20:20" hidden="1">
      <c r="T7749" t="str">
        <f>IF(C7749="","",UPPER(LEFT(SUBSTITUTE(C7749," ",""),3))&amp;"-"&amp;TEXT(B7749,"AAMMDD")&amp;"-1")</f>
        <v/>
      </c>
    </row>
    <row r="7750" spans="20:20" hidden="1">
      <c r="T7750" t="str">
        <f>IF(C7750="","",UPPER(LEFT(SUBSTITUTE(C7750," ",""),3))&amp;"-"&amp;TEXT(B7750,"AAMMDD")&amp;"-1")</f>
        <v/>
      </c>
    </row>
    <row r="7751" spans="20:20" hidden="1">
      <c r="T7751" t="str">
        <f>IF(C7751="","",UPPER(LEFT(SUBSTITUTE(C7751," ",""),3))&amp;"-"&amp;TEXT(B7751,"AAMMDD")&amp;"-1")</f>
        <v/>
      </c>
    </row>
    <row r="7752" spans="20:20" hidden="1">
      <c r="T7752" t="str">
        <f>IF(C7752="","",UPPER(LEFT(SUBSTITUTE(C7752," ",""),3))&amp;"-"&amp;TEXT(B7752,"AAMMDD")&amp;"-1")</f>
        <v/>
      </c>
    </row>
    <row r="7753" spans="20:20" hidden="1">
      <c r="T7753" t="str">
        <f>IF(C7753="","",UPPER(LEFT(SUBSTITUTE(C7753," ",""),3))&amp;"-"&amp;TEXT(B7753,"AAMMDD")&amp;"-1")</f>
        <v/>
      </c>
    </row>
    <row r="7754" spans="20:20" hidden="1">
      <c r="T7754" t="str">
        <f>IF(C7754="","",UPPER(LEFT(SUBSTITUTE(C7754," ",""),3))&amp;"-"&amp;TEXT(B7754,"AAMMDD")&amp;"-1")</f>
        <v/>
      </c>
    </row>
    <row r="7755" spans="20:20" hidden="1">
      <c r="T7755" t="str">
        <f>IF(C7755="","",UPPER(LEFT(SUBSTITUTE(C7755," ",""),3))&amp;"-"&amp;TEXT(B7755,"AAMMDD")&amp;"-1")</f>
        <v/>
      </c>
    </row>
    <row r="7756" spans="20:20" hidden="1">
      <c r="T7756" t="str">
        <f>IF(C7756="","",UPPER(LEFT(SUBSTITUTE(C7756," ",""),3))&amp;"-"&amp;TEXT(B7756,"AAMMDD")&amp;"-1")</f>
        <v/>
      </c>
    </row>
    <row r="7757" spans="20:20" hidden="1">
      <c r="T7757" t="str">
        <f>IF(C7757="","",UPPER(LEFT(SUBSTITUTE(C7757," ",""),3))&amp;"-"&amp;TEXT(B7757,"AAMMDD")&amp;"-1")</f>
        <v/>
      </c>
    </row>
    <row r="7758" spans="20:20" hidden="1">
      <c r="T7758" t="str">
        <f>IF(C7758="","",UPPER(LEFT(SUBSTITUTE(C7758," ",""),3))&amp;"-"&amp;TEXT(B7758,"AAMMDD")&amp;"-1")</f>
        <v/>
      </c>
    </row>
    <row r="7759" spans="20:20" hidden="1">
      <c r="T7759" t="str">
        <f>IF(C7759="","",UPPER(LEFT(SUBSTITUTE(C7759," ",""),3))&amp;"-"&amp;TEXT(B7759,"AAMMDD")&amp;"-1")</f>
        <v/>
      </c>
    </row>
    <row r="7760" spans="20:20" hidden="1">
      <c r="T7760" t="str">
        <f>IF(C7760="","",UPPER(LEFT(SUBSTITUTE(C7760," ",""),3))&amp;"-"&amp;TEXT(B7760,"AAMMDD")&amp;"-1")</f>
        <v/>
      </c>
    </row>
    <row r="7761" spans="20:20" hidden="1">
      <c r="T7761" t="str">
        <f>IF(C7761="","",UPPER(LEFT(SUBSTITUTE(C7761," ",""),3))&amp;"-"&amp;TEXT(B7761,"AAMMDD")&amp;"-1")</f>
        <v/>
      </c>
    </row>
    <row r="7762" spans="20:20" hidden="1">
      <c r="T7762" t="str">
        <f>IF(C7762="","",UPPER(LEFT(SUBSTITUTE(C7762," ",""),3))&amp;"-"&amp;TEXT(B7762,"AAMMDD")&amp;"-1")</f>
        <v/>
      </c>
    </row>
    <row r="7763" spans="20:20" hidden="1">
      <c r="T7763" t="str">
        <f>IF(C7763="","",UPPER(LEFT(SUBSTITUTE(C7763," ",""),3))&amp;"-"&amp;TEXT(B7763,"AAMMDD")&amp;"-1")</f>
        <v/>
      </c>
    </row>
    <row r="7764" spans="20:20" hidden="1">
      <c r="T7764" t="str">
        <f>IF(C7764="","",UPPER(LEFT(SUBSTITUTE(C7764," ",""),3))&amp;"-"&amp;TEXT(B7764,"AAMMDD")&amp;"-1")</f>
        <v/>
      </c>
    </row>
    <row r="7765" spans="20:20" hidden="1">
      <c r="T7765" t="str">
        <f>IF(C7765="","",UPPER(LEFT(SUBSTITUTE(C7765," ",""),3))&amp;"-"&amp;TEXT(B7765,"AAMMDD")&amp;"-1")</f>
        <v/>
      </c>
    </row>
    <row r="7766" spans="20:20" hidden="1">
      <c r="T7766" t="str">
        <f>IF(C7766="","",UPPER(LEFT(SUBSTITUTE(C7766," ",""),3))&amp;"-"&amp;TEXT(B7766,"AAMMDD")&amp;"-1")</f>
        <v/>
      </c>
    </row>
    <row r="7767" spans="20:20" hidden="1">
      <c r="T7767" t="str">
        <f>IF(C7767="","",UPPER(LEFT(SUBSTITUTE(C7767," ",""),3))&amp;"-"&amp;TEXT(B7767,"AAMMDD")&amp;"-1")</f>
        <v/>
      </c>
    </row>
    <row r="7768" spans="20:20" hidden="1">
      <c r="T7768" t="str">
        <f>IF(C7768="","",UPPER(LEFT(SUBSTITUTE(C7768," ",""),3))&amp;"-"&amp;TEXT(B7768,"AAMMDD")&amp;"-1")</f>
        <v/>
      </c>
    </row>
    <row r="7769" spans="20:20" hidden="1">
      <c r="T7769" t="str">
        <f>IF(C7769="","",UPPER(LEFT(SUBSTITUTE(C7769," ",""),3))&amp;"-"&amp;TEXT(B7769,"AAMMDD")&amp;"-1")</f>
        <v/>
      </c>
    </row>
    <row r="7770" spans="20:20" hidden="1">
      <c r="T7770" t="str">
        <f>IF(C7770="","",UPPER(LEFT(SUBSTITUTE(C7770," ",""),3))&amp;"-"&amp;TEXT(B7770,"AAMMDD")&amp;"-1")</f>
        <v/>
      </c>
    </row>
    <row r="7771" spans="20:20" hidden="1">
      <c r="T7771" t="str">
        <f>IF(C7771="","",UPPER(LEFT(SUBSTITUTE(C7771," ",""),3))&amp;"-"&amp;TEXT(B7771,"AAMMDD")&amp;"-1")</f>
        <v/>
      </c>
    </row>
    <row r="7772" spans="20:20" hidden="1">
      <c r="T7772" t="str">
        <f>IF(C7772="","",UPPER(LEFT(SUBSTITUTE(C7772," ",""),3))&amp;"-"&amp;TEXT(B7772,"AAMMDD")&amp;"-1")</f>
        <v/>
      </c>
    </row>
    <row r="7773" spans="20:20" hidden="1">
      <c r="T7773" t="str">
        <f>IF(C7773="","",UPPER(LEFT(SUBSTITUTE(C7773," ",""),3))&amp;"-"&amp;TEXT(B7773,"AAMMDD")&amp;"-1")</f>
        <v/>
      </c>
    </row>
    <row r="7774" spans="20:20" hidden="1">
      <c r="T7774" t="str">
        <f>IF(C7774="","",UPPER(LEFT(SUBSTITUTE(C7774," ",""),3))&amp;"-"&amp;TEXT(B7774,"AAMMDD")&amp;"-1")</f>
        <v/>
      </c>
    </row>
    <row r="7775" spans="20:20" hidden="1">
      <c r="T7775" t="str">
        <f>IF(C7775="","",UPPER(LEFT(SUBSTITUTE(C7775," ",""),3))&amp;"-"&amp;TEXT(B7775,"AAMMDD")&amp;"-1")</f>
        <v/>
      </c>
    </row>
    <row r="7776" spans="20:20" hidden="1">
      <c r="T7776" t="str">
        <f>IF(C7776="","",UPPER(LEFT(SUBSTITUTE(C7776," ",""),3))&amp;"-"&amp;TEXT(B7776,"AAMMDD")&amp;"-1")</f>
        <v/>
      </c>
    </row>
    <row r="7777" spans="20:20" hidden="1">
      <c r="T7777" t="str">
        <f>IF(C7777="","",UPPER(LEFT(SUBSTITUTE(C7777," ",""),3))&amp;"-"&amp;TEXT(B7777,"AAMMDD")&amp;"-1")</f>
        <v/>
      </c>
    </row>
    <row r="7778" spans="20:20" hidden="1">
      <c r="T7778" t="str">
        <f>IF(C7778="","",UPPER(LEFT(SUBSTITUTE(C7778," ",""),3))&amp;"-"&amp;TEXT(B7778,"AAMMDD")&amp;"-1")</f>
        <v/>
      </c>
    </row>
    <row r="7779" spans="20:20" hidden="1">
      <c r="T7779" t="str">
        <f>IF(C7779="","",UPPER(LEFT(SUBSTITUTE(C7779," ",""),3))&amp;"-"&amp;TEXT(B7779,"AAMMDD")&amp;"-1")</f>
        <v/>
      </c>
    </row>
    <row r="7780" spans="20:20" hidden="1">
      <c r="T7780" t="str">
        <f>IF(C7780="","",UPPER(LEFT(SUBSTITUTE(C7780," ",""),3))&amp;"-"&amp;TEXT(B7780,"AAMMDD")&amp;"-1")</f>
        <v/>
      </c>
    </row>
    <row r="7781" spans="20:20" hidden="1">
      <c r="T7781" t="str">
        <f>IF(C7781="","",UPPER(LEFT(SUBSTITUTE(C7781," ",""),3))&amp;"-"&amp;TEXT(B7781,"AAMMDD")&amp;"-1")</f>
        <v/>
      </c>
    </row>
    <row r="7782" spans="20:20" hidden="1">
      <c r="T7782" t="str">
        <f>IF(C7782="","",UPPER(LEFT(SUBSTITUTE(C7782," ",""),3))&amp;"-"&amp;TEXT(B7782,"AAMMDD")&amp;"-1")</f>
        <v/>
      </c>
    </row>
    <row r="7783" spans="20:20" hidden="1">
      <c r="T7783" t="str">
        <f>IF(C7783="","",UPPER(LEFT(SUBSTITUTE(C7783," ",""),3))&amp;"-"&amp;TEXT(B7783,"AAMMDD")&amp;"-1")</f>
        <v/>
      </c>
    </row>
    <row r="7784" spans="20:20" hidden="1">
      <c r="T7784" t="str">
        <f>IF(C7784="","",UPPER(LEFT(SUBSTITUTE(C7784," ",""),3))&amp;"-"&amp;TEXT(B7784,"AAMMDD")&amp;"-1")</f>
        <v/>
      </c>
    </row>
    <row r="7785" spans="20:20" hidden="1">
      <c r="T7785" t="str">
        <f>IF(C7785="","",UPPER(LEFT(SUBSTITUTE(C7785," ",""),3))&amp;"-"&amp;TEXT(B7785,"AAMMDD")&amp;"-1")</f>
        <v/>
      </c>
    </row>
    <row r="7786" spans="20:20" hidden="1">
      <c r="T7786" t="str">
        <f>IF(C7786="","",UPPER(LEFT(SUBSTITUTE(C7786," ",""),3))&amp;"-"&amp;TEXT(B7786,"AAMMDD")&amp;"-1")</f>
        <v/>
      </c>
    </row>
    <row r="7787" spans="20:20" hidden="1">
      <c r="T7787" t="str">
        <f>IF(C7787="","",UPPER(LEFT(SUBSTITUTE(C7787," ",""),3))&amp;"-"&amp;TEXT(B7787,"AAMMDD")&amp;"-1")</f>
        <v/>
      </c>
    </row>
    <row r="7788" spans="20:20" hidden="1">
      <c r="T7788" t="str">
        <f>IF(C7788="","",UPPER(LEFT(SUBSTITUTE(C7788," ",""),3))&amp;"-"&amp;TEXT(B7788,"AAMMDD")&amp;"-1")</f>
        <v/>
      </c>
    </row>
    <row r="7789" spans="20:20" hidden="1">
      <c r="T7789" t="str">
        <f>IF(C7789="","",UPPER(LEFT(SUBSTITUTE(C7789," ",""),3))&amp;"-"&amp;TEXT(B7789,"AAMMDD")&amp;"-1")</f>
        <v/>
      </c>
    </row>
    <row r="7790" spans="20:20" hidden="1">
      <c r="T7790" t="str">
        <f>IF(C7790="","",UPPER(LEFT(SUBSTITUTE(C7790," ",""),3))&amp;"-"&amp;TEXT(B7790,"AAMMDD")&amp;"-1")</f>
        <v/>
      </c>
    </row>
    <row r="7791" spans="20:20" hidden="1">
      <c r="T7791" t="str">
        <f>IF(C7791="","",UPPER(LEFT(SUBSTITUTE(C7791," ",""),3))&amp;"-"&amp;TEXT(B7791,"AAMMDD")&amp;"-1")</f>
        <v/>
      </c>
    </row>
    <row r="7792" spans="20:20" hidden="1">
      <c r="T7792" t="str">
        <f>IF(C7792="","",UPPER(LEFT(SUBSTITUTE(C7792," ",""),3))&amp;"-"&amp;TEXT(B7792,"AAMMDD")&amp;"-1")</f>
        <v/>
      </c>
    </row>
    <row r="7793" spans="20:20" hidden="1">
      <c r="T7793" t="str">
        <f>IF(C7793="","",UPPER(LEFT(SUBSTITUTE(C7793," ",""),3))&amp;"-"&amp;TEXT(B7793,"AAMMDD")&amp;"-1")</f>
        <v/>
      </c>
    </row>
    <row r="7794" spans="20:20" hidden="1">
      <c r="T7794" t="str">
        <f>IF(C7794="","",UPPER(LEFT(SUBSTITUTE(C7794," ",""),3))&amp;"-"&amp;TEXT(B7794,"AAMMDD")&amp;"-1")</f>
        <v/>
      </c>
    </row>
    <row r="7795" spans="20:20" hidden="1">
      <c r="T7795" t="str">
        <f>IF(C7795="","",UPPER(LEFT(SUBSTITUTE(C7795," ",""),3))&amp;"-"&amp;TEXT(B7795,"AAMMDD")&amp;"-1")</f>
        <v/>
      </c>
    </row>
    <row r="7796" spans="20:20" hidden="1">
      <c r="T7796" t="str">
        <f>IF(C7796="","",UPPER(LEFT(SUBSTITUTE(C7796," ",""),3))&amp;"-"&amp;TEXT(B7796,"AAMMDD")&amp;"-1")</f>
        <v/>
      </c>
    </row>
    <row r="7797" spans="20:20" hidden="1">
      <c r="T7797" t="str">
        <f>IF(C7797="","",UPPER(LEFT(SUBSTITUTE(C7797," ",""),3))&amp;"-"&amp;TEXT(B7797,"AAMMDD")&amp;"-1")</f>
        <v/>
      </c>
    </row>
    <row r="7798" spans="20:20" hidden="1">
      <c r="T7798" t="str">
        <f>IF(C7798="","",UPPER(LEFT(SUBSTITUTE(C7798," ",""),3))&amp;"-"&amp;TEXT(B7798,"AAMMDD")&amp;"-1")</f>
        <v/>
      </c>
    </row>
    <row r="7799" spans="20:20" hidden="1">
      <c r="T7799" t="str">
        <f>IF(C7799="","",UPPER(LEFT(SUBSTITUTE(C7799," ",""),3))&amp;"-"&amp;TEXT(B7799,"AAMMDD")&amp;"-1")</f>
        <v/>
      </c>
    </row>
    <row r="7800" spans="20:20" hidden="1">
      <c r="T7800" t="str">
        <f>IF(C7800="","",UPPER(LEFT(SUBSTITUTE(C7800," ",""),3))&amp;"-"&amp;TEXT(B7800,"AAMMDD")&amp;"-1")</f>
        <v/>
      </c>
    </row>
    <row r="7801" spans="20:20" hidden="1">
      <c r="T7801" t="str">
        <f>IF(C7801="","",UPPER(LEFT(SUBSTITUTE(C7801," ",""),3))&amp;"-"&amp;TEXT(B7801,"AAMMDD")&amp;"-1")</f>
        <v/>
      </c>
    </row>
    <row r="7802" spans="20:20" hidden="1">
      <c r="T7802" t="str">
        <f>IF(C7802="","",UPPER(LEFT(SUBSTITUTE(C7802," ",""),3))&amp;"-"&amp;TEXT(B7802,"AAMMDD")&amp;"-1")</f>
        <v/>
      </c>
    </row>
    <row r="7803" spans="20:20" hidden="1">
      <c r="T7803" t="str">
        <f>IF(C7803="","",UPPER(LEFT(SUBSTITUTE(C7803," ",""),3))&amp;"-"&amp;TEXT(B7803,"AAMMDD")&amp;"-1")</f>
        <v/>
      </c>
    </row>
    <row r="7804" spans="20:20" hidden="1">
      <c r="T7804" t="str">
        <f>IF(C7804="","",UPPER(LEFT(SUBSTITUTE(C7804," ",""),3))&amp;"-"&amp;TEXT(B7804,"AAMMDD")&amp;"-1")</f>
        <v/>
      </c>
    </row>
    <row r="7805" spans="20:20" hidden="1">
      <c r="T7805" t="str">
        <f>IF(C7805="","",UPPER(LEFT(SUBSTITUTE(C7805," ",""),3))&amp;"-"&amp;TEXT(B7805,"AAMMDD")&amp;"-1")</f>
        <v/>
      </c>
    </row>
    <row r="7806" spans="20:20" hidden="1">
      <c r="T7806" t="str">
        <f>IF(C7806="","",UPPER(LEFT(SUBSTITUTE(C7806," ",""),3))&amp;"-"&amp;TEXT(B7806,"AAMMDD")&amp;"-1")</f>
        <v/>
      </c>
    </row>
    <row r="7807" spans="20:20" hidden="1">
      <c r="T7807" t="str">
        <f>IF(C7807="","",UPPER(LEFT(SUBSTITUTE(C7807," ",""),3))&amp;"-"&amp;TEXT(B7807,"AAMMDD")&amp;"-1")</f>
        <v/>
      </c>
    </row>
    <row r="7808" spans="20:20" hidden="1">
      <c r="T7808" t="str">
        <f>IF(C7808="","",UPPER(LEFT(SUBSTITUTE(C7808," ",""),3))&amp;"-"&amp;TEXT(B7808,"AAMMDD")&amp;"-1")</f>
        <v/>
      </c>
    </row>
    <row r="7809" spans="20:20" hidden="1">
      <c r="T7809" t="str">
        <f>IF(C7809="","",UPPER(LEFT(SUBSTITUTE(C7809," ",""),3))&amp;"-"&amp;TEXT(B7809,"AAMMDD")&amp;"-1")</f>
        <v/>
      </c>
    </row>
    <row r="7810" spans="20:20" hidden="1">
      <c r="T7810" t="str">
        <f>IF(C7810="","",UPPER(LEFT(SUBSTITUTE(C7810," ",""),3))&amp;"-"&amp;TEXT(B7810,"AAMMDD")&amp;"-1")</f>
        <v/>
      </c>
    </row>
    <row r="7811" spans="20:20" hidden="1">
      <c r="T7811" t="str">
        <f>IF(C7811="","",UPPER(LEFT(SUBSTITUTE(C7811," ",""),3))&amp;"-"&amp;TEXT(B7811,"AAMMDD")&amp;"-1")</f>
        <v/>
      </c>
    </row>
    <row r="7812" spans="20:20" hidden="1">
      <c r="T7812" t="str">
        <f>IF(C7812="","",UPPER(LEFT(SUBSTITUTE(C7812," ",""),3))&amp;"-"&amp;TEXT(B7812,"AAMMDD")&amp;"-1")</f>
        <v/>
      </c>
    </row>
    <row r="7813" spans="20:20" hidden="1">
      <c r="T7813" t="str">
        <f>IF(C7813="","",UPPER(LEFT(SUBSTITUTE(C7813," ",""),3))&amp;"-"&amp;TEXT(B7813,"AAMMDD")&amp;"-1")</f>
        <v/>
      </c>
    </row>
    <row r="7814" spans="20:20" hidden="1">
      <c r="T7814" t="str">
        <f>IF(C7814="","",UPPER(LEFT(SUBSTITUTE(C7814," ",""),3))&amp;"-"&amp;TEXT(B7814,"AAMMDD")&amp;"-1")</f>
        <v/>
      </c>
    </row>
    <row r="7815" spans="20:20" hidden="1">
      <c r="T7815" t="str">
        <f>IF(C7815="","",UPPER(LEFT(SUBSTITUTE(C7815," ",""),3))&amp;"-"&amp;TEXT(B7815,"AAMMDD")&amp;"-1")</f>
        <v/>
      </c>
    </row>
    <row r="7816" spans="20:20" hidden="1">
      <c r="T7816" t="str">
        <f>IF(C7816="","",UPPER(LEFT(SUBSTITUTE(C7816," ",""),3))&amp;"-"&amp;TEXT(B7816,"AAMMDD")&amp;"-1")</f>
        <v/>
      </c>
    </row>
    <row r="7817" spans="20:20" hidden="1">
      <c r="T7817" t="str">
        <f>IF(C7817="","",UPPER(LEFT(SUBSTITUTE(C7817," ",""),3))&amp;"-"&amp;TEXT(B7817,"AAMMDD")&amp;"-1")</f>
        <v/>
      </c>
    </row>
    <row r="7818" spans="20:20" hidden="1">
      <c r="T7818" t="str">
        <f>IF(C7818="","",UPPER(LEFT(SUBSTITUTE(C7818," ",""),3))&amp;"-"&amp;TEXT(B7818,"AAMMDD")&amp;"-1")</f>
        <v/>
      </c>
    </row>
    <row r="7819" spans="20:20" hidden="1">
      <c r="T7819" t="str">
        <f>IF(C7819="","",UPPER(LEFT(SUBSTITUTE(C7819," ",""),3))&amp;"-"&amp;TEXT(B7819,"AAMMDD")&amp;"-1")</f>
        <v/>
      </c>
    </row>
    <row r="7820" spans="20:20" hidden="1">
      <c r="T7820" t="str">
        <f>IF(C7820="","",UPPER(LEFT(SUBSTITUTE(C7820," ",""),3))&amp;"-"&amp;TEXT(B7820,"AAMMDD")&amp;"-1")</f>
        <v/>
      </c>
    </row>
    <row r="7821" spans="20:20" hidden="1">
      <c r="T7821" t="str">
        <f>IF(C7821="","",UPPER(LEFT(SUBSTITUTE(C7821," ",""),3))&amp;"-"&amp;TEXT(B7821,"AAMMDD")&amp;"-1")</f>
        <v/>
      </c>
    </row>
    <row r="7822" spans="20:20" hidden="1">
      <c r="T7822" t="str">
        <f>IF(C7822="","",UPPER(LEFT(SUBSTITUTE(C7822," ",""),3))&amp;"-"&amp;TEXT(B7822,"AAMMDD")&amp;"-1")</f>
        <v/>
      </c>
    </row>
    <row r="7823" spans="20:20" hidden="1">
      <c r="T7823" t="str">
        <f>IF(C7823="","",UPPER(LEFT(SUBSTITUTE(C7823," ",""),3))&amp;"-"&amp;TEXT(B7823,"AAMMDD")&amp;"-1")</f>
        <v/>
      </c>
    </row>
    <row r="7824" spans="20:20" hidden="1">
      <c r="T7824" t="str">
        <f>IF(C7824="","",UPPER(LEFT(SUBSTITUTE(C7824," ",""),3))&amp;"-"&amp;TEXT(B7824,"AAMMDD")&amp;"-1")</f>
        <v/>
      </c>
    </row>
    <row r="7825" spans="20:20" hidden="1">
      <c r="T7825" t="str">
        <f>IF(C7825="","",UPPER(LEFT(SUBSTITUTE(C7825," ",""),3))&amp;"-"&amp;TEXT(B7825,"AAMMDD")&amp;"-1")</f>
        <v/>
      </c>
    </row>
    <row r="7826" spans="20:20" hidden="1">
      <c r="T7826" t="str">
        <f>IF(C7826="","",UPPER(LEFT(SUBSTITUTE(C7826," ",""),3))&amp;"-"&amp;TEXT(B7826,"AAMMDD")&amp;"-1")</f>
        <v/>
      </c>
    </row>
    <row r="7827" spans="20:20" hidden="1">
      <c r="T7827" t="str">
        <f>IF(C7827="","",UPPER(LEFT(SUBSTITUTE(C7827," ",""),3))&amp;"-"&amp;TEXT(B7827,"AAMMDD")&amp;"-1")</f>
        <v/>
      </c>
    </row>
    <row r="7828" spans="20:20" hidden="1">
      <c r="T7828" t="str">
        <f>IF(C7828="","",UPPER(LEFT(SUBSTITUTE(C7828," ",""),3))&amp;"-"&amp;TEXT(B7828,"AAMMDD")&amp;"-1")</f>
        <v/>
      </c>
    </row>
    <row r="7829" spans="20:20" hidden="1">
      <c r="T7829" t="str">
        <f>IF(C7829="","",UPPER(LEFT(SUBSTITUTE(C7829," ",""),3))&amp;"-"&amp;TEXT(B7829,"AAMMDD")&amp;"-1")</f>
        <v/>
      </c>
    </row>
    <row r="7830" spans="20:20" hidden="1">
      <c r="T7830" t="str">
        <f>IF(C7830="","",UPPER(LEFT(SUBSTITUTE(C7830," ",""),3))&amp;"-"&amp;TEXT(B7830,"AAMMDD")&amp;"-1")</f>
        <v/>
      </c>
    </row>
    <row r="7831" spans="20:20" hidden="1">
      <c r="T7831" t="str">
        <f>IF(C7831="","",UPPER(LEFT(SUBSTITUTE(C7831," ",""),3))&amp;"-"&amp;TEXT(B7831,"AAMMDD")&amp;"-1")</f>
        <v/>
      </c>
    </row>
    <row r="7832" spans="20:20" hidden="1">
      <c r="T7832" t="str">
        <f>IF(C7832="","",UPPER(LEFT(SUBSTITUTE(C7832," ",""),3))&amp;"-"&amp;TEXT(B7832,"AAMMDD")&amp;"-1")</f>
        <v/>
      </c>
    </row>
    <row r="7833" spans="20:20" hidden="1">
      <c r="T7833" t="str">
        <f>IF(C7833="","",UPPER(LEFT(SUBSTITUTE(C7833," ",""),3))&amp;"-"&amp;TEXT(B7833,"AAMMDD")&amp;"-1")</f>
        <v/>
      </c>
    </row>
    <row r="7834" spans="20:20" hidden="1">
      <c r="T7834" t="str">
        <f>IF(C7834="","",UPPER(LEFT(SUBSTITUTE(C7834," ",""),3))&amp;"-"&amp;TEXT(B7834,"AAMMDD")&amp;"-1")</f>
        <v/>
      </c>
    </row>
    <row r="7835" spans="20:20" hidden="1">
      <c r="T7835" t="str">
        <f>IF(C7835="","",UPPER(LEFT(SUBSTITUTE(C7835," ",""),3))&amp;"-"&amp;TEXT(B7835,"AAMMDD")&amp;"-1")</f>
        <v/>
      </c>
    </row>
    <row r="7836" spans="20:20" hidden="1">
      <c r="T7836" t="str">
        <f>IF(C7836="","",UPPER(LEFT(SUBSTITUTE(C7836," ",""),3))&amp;"-"&amp;TEXT(B7836,"AAMMDD")&amp;"-1")</f>
        <v/>
      </c>
    </row>
    <row r="7837" spans="20:20" hidden="1">
      <c r="T7837" t="str">
        <f>IF(C7837="","",UPPER(LEFT(SUBSTITUTE(C7837," ",""),3))&amp;"-"&amp;TEXT(B7837,"AAMMDD")&amp;"-1")</f>
        <v/>
      </c>
    </row>
    <row r="7838" spans="20:20" hidden="1">
      <c r="T7838" t="str">
        <f>IF(C7838="","",UPPER(LEFT(SUBSTITUTE(C7838," ",""),3))&amp;"-"&amp;TEXT(B7838,"AAMMDD")&amp;"-1")</f>
        <v/>
      </c>
    </row>
    <row r="7839" spans="20:20" hidden="1">
      <c r="T7839" t="str">
        <f>IF(C7839="","",UPPER(LEFT(SUBSTITUTE(C7839," ",""),3))&amp;"-"&amp;TEXT(B7839,"AAMMDD")&amp;"-1")</f>
        <v/>
      </c>
    </row>
    <row r="7840" spans="20:20" hidden="1">
      <c r="T7840" t="str">
        <f>IF(C7840="","",UPPER(LEFT(SUBSTITUTE(C7840," ",""),3))&amp;"-"&amp;TEXT(B7840,"AAMMDD")&amp;"-1")</f>
        <v/>
      </c>
    </row>
    <row r="7841" spans="20:20" hidden="1">
      <c r="T7841" t="str">
        <f>IF(C7841="","",UPPER(LEFT(SUBSTITUTE(C7841," ",""),3))&amp;"-"&amp;TEXT(B7841,"AAMMDD")&amp;"-1")</f>
        <v/>
      </c>
    </row>
    <row r="7842" spans="20:20" hidden="1">
      <c r="T7842" t="str">
        <f>IF(C7842="","",UPPER(LEFT(SUBSTITUTE(C7842," ",""),3))&amp;"-"&amp;TEXT(B7842,"AAMMDD")&amp;"-1")</f>
        <v/>
      </c>
    </row>
    <row r="7843" spans="20:20" hidden="1">
      <c r="T7843" t="str">
        <f>IF(C7843="","",UPPER(LEFT(SUBSTITUTE(C7843," ",""),3))&amp;"-"&amp;TEXT(B7843,"AAMMDD")&amp;"-1")</f>
        <v/>
      </c>
    </row>
    <row r="7844" spans="20:20" hidden="1">
      <c r="T7844" t="str">
        <f>IF(C7844="","",UPPER(LEFT(SUBSTITUTE(C7844," ",""),3))&amp;"-"&amp;TEXT(B7844,"AAMMDD")&amp;"-1")</f>
        <v/>
      </c>
    </row>
    <row r="7845" spans="20:20" hidden="1">
      <c r="T7845" t="str">
        <f>IF(C7845="","",UPPER(LEFT(SUBSTITUTE(C7845," ",""),3))&amp;"-"&amp;TEXT(B7845,"AAMMDD")&amp;"-1")</f>
        <v/>
      </c>
    </row>
    <row r="7846" spans="20:20" hidden="1">
      <c r="T7846" t="str">
        <f>IF(C7846="","",UPPER(LEFT(SUBSTITUTE(C7846," ",""),3))&amp;"-"&amp;TEXT(B7846,"AAMMDD")&amp;"-1")</f>
        <v/>
      </c>
    </row>
    <row r="7847" spans="20:20" hidden="1">
      <c r="T7847" t="str">
        <f>IF(C7847="","",UPPER(LEFT(SUBSTITUTE(C7847," ",""),3))&amp;"-"&amp;TEXT(B7847,"AAMMDD")&amp;"-1")</f>
        <v/>
      </c>
    </row>
    <row r="7848" spans="20:20" hidden="1">
      <c r="T7848" t="str">
        <f>IF(C7848="","",UPPER(LEFT(SUBSTITUTE(C7848," ",""),3))&amp;"-"&amp;TEXT(B7848,"AAMMDD")&amp;"-1")</f>
        <v/>
      </c>
    </row>
    <row r="7849" spans="20:20" hidden="1">
      <c r="T7849" t="str">
        <f>IF(C7849="","",UPPER(LEFT(SUBSTITUTE(C7849," ",""),3))&amp;"-"&amp;TEXT(B7849,"AAMMDD")&amp;"-1")</f>
        <v/>
      </c>
    </row>
    <row r="7850" spans="20:20" hidden="1">
      <c r="T7850" t="str">
        <f>IF(C7850="","",UPPER(LEFT(SUBSTITUTE(C7850," ",""),3))&amp;"-"&amp;TEXT(B7850,"AAMMDD")&amp;"-1")</f>
        <v/>
      </c>
    </row>
    <row r="7851" spans="20:20" hidden="1">
      <c r="T7851" t="str">
        <f>IF(C7851="","",UPPER(LEFT(SUBSTITUTE(C7851," ",""),3))&amp;"-"&amp;TEXT(B7851,"AAMMDD")&amp;"-1")</f>
        <v/>
      </c>
    </row>
    <row r="7852" spans="20:20" hidden="1">
      <c r="T7852" t="str">
        <f>IF(C7852="","",UPPER(LEFT(SUBSTITUTE(C7852," ",""),3))&amp;"-"&amp;TEXT(B7852,"AAMMDD")&amp;"-1")</f>
        <v/>
      </c>
    </row>
    <row r="7853" spans="20:20" hidden="1">
      <c r="T7853" t="str">
        <f>IF(C7853="","",UPPER(LEFT(SUBSTITUTE(C7853," ",""),3))&amp;"-"&amp;TEXT(B7853,"AAMMDD")&amp;"-1")</f>
        <v/>
      </c>
    </row>
    <row r="7854" spans="20:20" hidden="1">
      <c r="T7854" t="str">
        <f>IF(C7854="","",UPPER(LEFT(SUBSTITUTE(C7854," ",""),3))&amp;"-"&amp;TEXT(B7854,"AAMMDD")&amp;"-1")</f>
        <v/>
      </c>
    </row>
    <row r="7855" spans="20:20" hidden="1">
      <c r="T7855" t="str">
        <f>IF(C7855="","",UPPER(LEFT(SUBSTITUTE(C7855," ",""),3))&amp;"-"&amp;TEXT(B7855,"AAMMDD")&amp;"-1")</f>
        <v/>
      </c>
    </row>
    <row r="7856" spans="20:20" hidden="1">
      <c r="T7856" t="str">
        <f>IF(C7856="","",UPPER(LEFT(SUBSTITUTE(C7856," ",""),3))&amp;"-"&amp;TEXT(B7856,"AAMMDD")&amp;"-1")</f>
        <v/>
      </c>
    </row>
    <row r="7857" spans="20:20" hidden="1">
      <c r="T7857" t="str">
        <f>IF(C7857="","",UPPER(LEFT(SUBSTITUTE(C7857," ",""),3))&amp;"-"&amp;TEXT(B7857,"AAMMDD")&amp;"-1")</f>
        <v/>
      </c>
    </row>
    <row r="7858" spans="20:20" hidden="1">
      <c r="T7858" t="str">
        <f>IF(C7858="","",UPPER(LEFT(SUBSTITUTE(C7858," ",""),3))&amp;"-"&amp;TEXT(B7858,"AAMMDD")&amp;"-1")</f>
        <v/>
      </c>
    </row>
    <row r="7859" spans="20:20" hidden="1">
      <c r="T7859" t="str">
        <f>IF(C7859="","",UPPER(LEFT(SUBSTITUTE(C7859," ",""),3))&amp;"-"&amp;TEXT(B7859,"AAMMDD")&amp;"-1")</f>
        <v/>
      </c>
    </row>
    <row r="7860" spans="20:20" hidden="1">
      <c r="T7860" t="str">
        <f>IF(C7860="","",UPPER(LEFT(SUBSTITUTE(C7860," ",""),3))&amp;"-"&amp;TEXT(B7860,"AAMMDD")&amp;"-1")</f>
        <v/>
      </c>
    </row>
    <row r="7861" spans="20:20" hidden="1">
      <c r="T7861" t="str">
        <f>IF(C7861="","",UPPER(LEFT(SUBSTITUTE(C7861," ",""),3))&amp;"-"&amp;TEXT(B7861,"AAMMDD")&amp;"-1")</f>
        <v/>
      </c>
    </row>
    <row r="7862" spans="20:20" hidden="1">
      <c r="T7862" t="str">
        <f>IF(C7862="","",UPPER(LEFT(SUBSTITUTE(C7862," ",""),3))&amp;"-"&amp;TEXT(B7862,"AAMMDD")&amp;"-1")</f>
        <v/>
      </c>
    </row>
    <row r="7863" spans="20:20" hidden="1">
      <c r="T7863" t="str">
        <f>IF(C7863="","",UPPER(LEFT(SUBSTITUTE(C7863," ",""),3))&amp;"-"&amp;TEXT(B7863,"AAMMDD")&amp;"-1")</f>
        <v/>
      </c>
    </row>
    <row r="7864" spans="20:20" hidden="1">
      <c r="T7864" t="str">
        <f>IF(C7864="","",UPPER(LEFT(SUBSTITUTE(C7864," ",""),3))&amp;"-"&amp;TEXT(B7864,"AAMMDD")&amp;"-1")</f>
        <v/>
      </c>
    </row>
    <row r="7865" spans="20:20" hidden="1">
      <c r="T7865" t="str">
        <f>IF(C7865="","",UPPER(LEFT(SUBSTITUTE(C7865," ",""),3))&amp;"-"&amp;TEXT(B7865,"AAMMDD")&amp;"-1")</f>
        <v/>
      </c>
    </row>
    <row r="7866" spans="20:20" hidden="1">
      <c r="T7866" t="str">
        <f>IF(C7866="","",UPPER(LEFT(SUBSTITUTE(C7866," ",""),3))&amp;"-"&amp;TEXT(B7866,"AAMMDD")&amp;"-1")</f>
        <v/>
      </c>
    </row>
    <row r="7867" spans="20:20" hidden="1">
      <c r="T7867" t="str">
        <f>IF(C7867="","",UPPER(LEFT(SUBSTITUTE(C7867," ",""),3))&amp;"-"&amp;TEXT(B7867,"AAMMDD")&amp;"-1")</f>
        <v/>
      </c>
    </row>
    <row r="7868" spans="20:20" hidden="1">
      <c r="T7868" t="str">
        <f>IF(C7868="","",UPPER(LEFT(SUBSTITUTE(C7868," ",""),3))&amp;"-"&amp;TEXT(B7868,"AAMMDD")&amp;"-1")</f>
        <v/>
      </c>
    </row>
    <row r="7869" spans="20:20" hidden="1">
      <c r="T7869" t="str">
        <f>IF(C7869="","",UPPER(LEFT(SUBSTITUTE(C7869," ",""),3))&amp;"-"&amp;TEXT(B7869,"AAMMDD")&amp;"-1")</f>
        <v/>
      </c>
    </row>
    <row r="7870" spans="20:20" hidden="1">
      <c r="T7870" t="str">
        <f>IF(C7870="","",UPPER(LEFT(SUBSTITUTE(C7870," ",""),3))&amp;"-"&amp;TEXT(B7870,"AAMMDD")&amp;"-1")</f>
        <v/>
      </c>
    </row>
    <row r="7871" spans="20:20" hidden="1">
      <c r="T7871" t="str">
        <f>IF(C7871="","",UPPER(LEFT(SUBSTITUTE(C7871," ",""),3))&amp;"-"&amp;TEXT(B7871,"AAMMDD")&amp;"-1")</f>
        <v/>
      </c>
    </row>
    <row r="7872" spans="20:20" hidden="1">
      <c r="T7872" t="str">
        <f>IF(C7872="","",UPPER(LEFT(SUBSTITUTE(C7872," ",""),3))&amp;"-"&amp;TEXT(B7872,"AAMMDD")&amp;"-1")</f>
        <v/>
      </c>
    </row>
    <row r="7873" spans="20:20" hidden="1">
      <c r="T7873" t="str">
        <f>IF(C7873="","",UPPER(LEFT(SUBSTITUTE(C7873," ",""),3))&amp;"-"&amp;TEXT(B7873,"AAMMDD")&amp;"-1")</f>
        <v/>
      </c>
    </row>
    <row r="7874" spans="20:20" hidden="1">
      <c r="T7874" t="str">
        <f>IF(C7874="","",UPPER(LEFT(SUBSTITUTE(C7874," ",""),3))&amp;"-"&amp;TEXT(B7874,"AAMMDD")&amp;"-1")</f>
        <v/>
      </c>
    </row>
    <row r="7875" spans="20:20" hidden="1">
      <c r="T7875" t="str">
        <f>IF(C7875="","",UPPER(LEFT(SUBSTITUTE(C7875," ",""),3))&amp;"-"&amp;TEXT(B7875,"AAMMDD")&amp;"-1")</f>
        <v/>
      </c>
    </row>
    <row r="7876" spans="20:20" hidden="1">
      <c r="T7876" t="str">
        <f>IF(C7876="","",UPPER(LEFT(SUBSTITUTE(C7876," ",""),3))&amp;"-"&amp;TEXT(B7876,"AAMMDD")&amp;"-1")</f>
        <v/>
      </c>
    </row>
    <row r="7877" spans="20:20" hidden="1">
      <c r="T7877" t="str">
        <f>IF(C7877="","",UPPER(LEFT(SUBSTITUTE(C7877," ",""),3))&amp;"-"&amp;TEXT(B7877,"AAMMDD")&amp;"-1")</f>
        <v/>
      </c>
    </row>
    <row r="7878" spans="20:20" hidden="1">
      <c r="T7878" t="str">
        <f>IF(C7878="","",UPPER(LEFT(SUBSTITUTE(C7878," ",""),3))&amp;"-"&amp;TEXT(B7878,"AAMMDD")&amp;"-1")</f>
        <v/>
      </c>
    </row>
    <row r="7879" spans="20:20" hidden="1">
      <c r="T7879" t="str">
        <f>IF(C7879="","",UPPER(LEFT(SUBSTITUTE(C7879," ",""),3))&amp;"-"&amp;TEXT(B7879,"AAMMDD")&amp;"-1")</f>
        <v/>
      </c>
    </row>
    <row r="7880" spans="20:20" hidden="1">
      <c r="T7880" t="str">
        <f>IF(C7880="","",UPPER(LEFT(SUBSTITUTE(C7880," ",""),3))&amp;"-"&amp;TEXT(B7880,"AAMMDD")&amp;"-1")</f>
        <v/>
      </c>
    </row>
    <row r="7881" spans="20:20" hidden="1">
      <c r="T7881" t="str">
        <f>IF(C7881="","",UPPER(LEFT(SUBSTITUTE(C7881," ",""),3))&amp;"-"&amp;TEXT(B7881,"AAMMDD")&amp;"-1")</f>
        <v/>
      </c>
    </row>
    <row r="7882" spans="20:20" hidden="1">
      <c r="T7882" t="str">
        <f>IF(C7882="","",UPPER(LEFT(SUBSTITUTE(C7882," ",""),3))&amp;"-"&amp;TEXT(B7882,"AAMMDD")&amp;"-1")</f>
        <v/>
      </c>
    </row>
    <row r="7883" spans="20:20" hidden="1">
      <c r="T7883" t="str">
        <f>IF(C7883="","",UPPER(LEFT(SUBSTITUTE(C7883," ",""),3))&amp;"-"&amp;TEXT(B7883,"AAMMDD")&amp;"-1")</f>
        <v/>
      </c>
    </row>
    <row r="7884" spans="20:20" hidden="1">
      <c r="T7884" t="str">
        <f>IF(C7884="","",UPPER(LEFT(SUBSTITUTE(C7884," ",""),3))&amp;"-"&amp;TEXT(B7884,"AAMMDD")&amp;"-1")</f>
        <v/>
      </c>
    </row>
    <row r="7885" spans="20:20" hidden="1">
      <c r="T7885" t="str">
        <f>IF(C7885="","",UPPER(LEFT(SUBSTITUTE(C7885," ",""),3))&amp;"-"&amp;TEXT(B7885,"AAMMDD")&amp;"-1")</f>
        <v/>
      </c>
    </row>
    <row r="7886" spans="20:20" hidden="1">
      <c r="T7886" t="str">
        <f>IF(C7886="","",UPPER(LEFT(SUBSTITUTE(C7886," ",""),3))&amp;"-"&amp;TEXT(B7886,"AAMMDD")&amp;"-1")</f>
        <v/>
      </c>
    </row>
    <row r="7887" spans="20:20" hidden="1">
      <c r="T7887" t="str">
        <f>IF(C7887="","",UPPER(LEFT(SUBSTITUTE(C7887," ",""),3))&amp;"-"&amp;TEXT(B7887,"AAMMDD")&amp;"-1")</f>
        <v/>
      </c>
    </row>
    <row r="7888" spans="20:20" hidden="1">
      <c r="T7888" t="str">
        <f>IF(C7888="","",UPPER(LEFT(SUBSTITUTE(C7888," ",""),3))&amp;"-"&amp;TEXT(B7888,"AAMMDD")&amp;"-1")</f>
        <v/>
      </c>
    </row>
    <row r="7889" spans="20:20" hidden="1">
      <c r="T7889" t="str">
        <f>IF(C7889="","",UPPER(LEFT(SUBSTITUTE(C7889," ",""),3))&amp;"-"&amp;TEXT(B7889,"AAMMDD")&amp;"-1")</f>
        <v/>
      </c>
    </row>
    <row r="7890" spans="20:20" hidden="1">
      <c r="T7890" t="str">
        <f>IF(C7890="","",UPPER(LEFT(SUBSTITUTE(C7890," ",""),3))&amp;"-"&amp;TEXT(B7890,"AAMMDD")&amp;"-1")</f>
        <v/>
      </c>
    </row>
    <row r="7891" spans="20:20" hidden="1">
      <c r="T7891" t="str">
        <f>IF(C7891="","",UPPER(LEFT(SUBSTITUTE(C7891," ",""),3))&amp;"-"&amp;TEXT(B7891,"AAMMDD")&amp;"-1")</f>
        <v/>
      </c>
    </row>
    <row r="7892" spans="20:20" hidden="1">
      <c r="T7892" t="str">
        <f>IF(C7892="","",UPPER(LEFT(SUBSTITUTE(C7892," ",""),3))&amp;"-"&amp;TEXT(B7892,"AAMMDD")&amp;"-1")</f>
        <v/>
      </c>
    </row>
    <row r="7893" spans="20:20" hidden="1">
      <c r="T7893" t="str">
        <f>IF(C7893="","",UPPER(LEFT(SUBSTITUTE(C7893," ",""),3))&amp;"-"&amp;TEXT(B7893,"AAMMDD")&amp;"-1")</f>
        <v/>
      </c>
    </row>
    <row r="7894" spans="20:20" hidden="1">
      <c r="T7894" t="str">
        <f>IF(C7894="","",UPPER(LEFT(SUBSTITUTE(C7894," ",""),3))&amp;"-"&amp;TEXT(B7894,"AAMMDD")&amp;"-1")</f>
        <v/>
      </c>
    </row>
    <row r="7895" spans="20:20" hidden="1">
      <c r="T7895" t="str">
        <f>IF(C7895="","",UPPER(LEFT(SUBSTITUTE(C7895," ",""),3))&amp;"-"&amp;TEXT(B7895,"AAMMDD")&amp;"-1")</f>
        <v/>
      </c>
    </row>
    <row r="7896" spans="20:20" hidden="1">
      <c r="T7896" t="str">
        <f>IF(C7896="","",UPPER(LEFT(SUBSTITUTE(C7896," ",""),3))&amp;"-"&amp;TEXT(B7896,"AAMMDD")&amp;"-1")</f>
        <v/>
      </c>
    </row>
    <row r="7897" spans="20:20" hidden="1">
      <c r="T7897" t="str">
        <f>IF(C7897="","",UPPER(LEFT(SUBSTITUTE(C7897," ",""),3))&amp;"-"&amp;TEXT(B7897,"AAMMDD")&amp;"-1")</f>
        <v/>
      </c>
    </row>
    <row r="7898" spans="20:20" hidden="1">
      <c r="T7898" t="str">
        <f>IF(C7898="","",UPPER(LEFT(SUBSTITUTE(C7898," ",""),3))&amp;"-"&amp;TEXT(B7898,"AAMMDD")&amp;"-1")</f>
        <v/>
      </c>
    </row>
    <row r="7899" spans="20:20" hidden="1">
      <c r="T7899" t="str">
        <f>IF(C7899="","",UPPER(LEFT(SUBSTITUTE(C7899," ",""),3))&amp;"-"&amp;TEXT(B7899,"AAMMDD")&amp;"-1")</f>
        <v/>
      </c>
    </row>
    <row r="7900" spans="20:20" hidden="1">
      <c r="T7900" t="str">
        <f>IF(C7900="","",UPPER(LEFT(SUBSTITUTE(C7900," ",""),3))&amp;"-"&amp;TEXT(B7900,"AAMMDD")&amp;"-1")</f>
        <v/>
      </c>
    </row>
    <row r="7901" spans="20:20" hidden="1">
      <c r="T7901" t="str">
        <f>IF(C7901="","",UPPER(LEFT(SUBSTITUTE(C7901," ",""),3))&amp;"-"&amp;TEXT(B7901,"AAMMDD")&amp;"-1")</f>
        <v/>
      </c>
    </row>
    <row r="7902" spans="20:20" hidden="1">
      <c r="T7902" t="str">
        <f>IF(C7902="","",UPPER(LEFT(SUBSTITUTE(C7902," ",""),3))&amp;"-"&amp;TEXT(B7902,"AAMMDD")&amp;"-1")</f>
        <v/>
      </c>
    </row>
    <row r="7903" spans="20:20" hidden="1">
      <c r="T7903" t="str">
        <f>IF(C7903="","",UPPER(LEFT(SUBSTITUTE(C7903," ",""),3))&amp;"-"&amp;TEXT(B7903,"AAMMDD")&amp;"-1")</f>
        <v/>
      </c>
    </row>
    <row r="7904" spans="20:20" hidden="1">
      <c r="T7904" t="str">
        <f>IF(C7904="","",UPPER(LEFT(SUBSTITUTE(C7904," ",""),3))&amp;"-"&amp;TEXT(B7904,"AAMMDD")&amp;"-1")</f>
        <v/>
      </c>
    </row>
    <row r="7905" spans="20:20" hidden="1">
      <c r="T7905" t="str">
        <f>IF(C7905="","",UPPER(LEFT(SUBSTITUTE(C7905," ",""),3))&amp;"-"&amp;TEXT(B7905,"AAMMDD")&amp;"-1")</f>
        <v/>
      </c>
    </row>
    <row r="7906" spans="20:20" hidden="1">
      <c r="T7906" t="str">
        <f>IF(C7906="","",UPPER(LEFT(SUBSTITUTE(C7906," ",""),3))&amp;"-"&amp;TEXT(B7906,"AAMMDD")&amp;"-1")</f>
        <v/>
      </c>
    </row>
    <row r="7907" spans="20:20" hidden="1">
      <c r="T7907" t="str">
        <f>IF(C7907="","",UPPER(LEFT(SUBSTITUTE(C7907," ",""),3))&amp;"-"&amp;TEXT(B7907,"AAMMDD")&amp;"-1")</f>
        <v/>
      </c>
    </row>
    <row r="7908" spans="20:20" hidden="1">
      <c r="T7908" t="str">
        <f>IF(C7908="","",UPPER(LEFT(SUBSTITUTE(C7908," ",""),3))&amp;"-"&amp;TEXT(B7908,"AAMMDD")&amp;"-1")</f>
        <v/>
      </c>
    </row>
    <row r="7909" spans="20:20" hidden="1">
      <c r="T7909" t="str">
        <f>IF(C7909="","",UPPER(LEFT(SUBSTITUTE(C7909," ",""),3))&amp;"-"&amp;TEXT(B7909,"AAMMDD")&amp;"-1")</f>
        <v/>
      </c>
    </row>
    <row r="7910" spans="20:20" hidden="1">
      <c r="T7910" t="str">
        <f>IF(C7910="","",UPPER(LEFT(SUBSTITUTE(C7910," ",""),3))&amp;"-"&amp;TEXT(B7910,"AAMMDD")&amp;"-1")</f>
        <v/>
      </c>
    </row>
    <row r="7911" spans="20:20" hidden="1">
      <c r="T7911" t="str">
        <f>IF(C7911="","",UPPER(LEFT(SUBSTITUTE(C7911," ",""),3))&amp;"-"&amp;TEXT(B7911,"AAMMDD")&amp;"-1")</f>
        <v/>
      </c>
    </row>
    <row r="7912" spans="20:20" hidden="1">
      <c r="T7912" t="str">
        <f>IF(C7912="","",UPPER(LEFT(SUBSTITUTE(C7912," ",""),3))&amp;"-"&amp;TEXT(B7912,"AAMMDD")&amp;"-1")</f>
        <v/>
      </c>
    </row>
    <row r="7913" spans="20:20" hidden="1">
      <c r="T7913" t="str">
        <f>IF(C7913="","",UPPER(LEFT(SUBSTITUTE(C7913," ",""),3))&amp;"-"&amp;TEXT(B7913,"AAMMDD")&amp;"-1")</f>
        <v/>
      </c>
    </row>
    <row r="7914" spans="20:20" hidden="1">
      <c r="T7914" t="str">
        <f>IF(C7914="","",UPPER(LEFT(SUBSTITUTE(C7914," ",""),3))&amp;"-"&amp;TEXT(B7914,"AAMMDD")&amp;"-1")</f>
        <v/>
      </c>
    </row>
    <row r="7915" spans="20:20" hidden="1">
      <c r="T7915" t="str">
        <f>IF(C7915="","",UPPER(LEFT(SUBSTITUTE(C7915," ",""),3))&amp;"-"&amp;TEXT(B7915,"AAMMDD")&amp;"-1")</f>
        <v/>
      </c>
    </row>
    <row r="7916" spans="20:20" hidden="1">
      <c r="T7916" t="str">
        <f>IF(C7916="","",UPPER(LEFT(SUBSTITUTE(C7916," ",""),3))&amp;"-"&amp;TEXT(B7916,"AAMMDD")&amp;"-1")</f>
        <v/>
      </c>
    </row>
    <row r="7917" spans="20:20" hidden="1">
      <c r="T7917" t="str">
        <f>IF(C7917="","",UPPER(LEFT(SUBSTITUTE(C7917," ",""),3))&amp;"-"&amp;TEXT(B7917,"AAMMDD")&amp;"-1")</f>
        <v/>
      </c>
    </row>
    <row r="7918" spans="20:20" hidden="1">
      <c r="T7918" t="str">
        <f>IF(C7918="","",UPPER(LEFT(SUBSTITUTE(C7918," ",""),3))&amp;"-"&amp;TEXT(B7918,"AAMMDD")&amp;"-1")</f>
        <v/>
      </c>
    </row>
    <row r="7919" spans="20:20" hidden="1">
      <c r="T7919" t="str">
        <f>IF(C7919="","",UPPER(LEFT(SUBSTITUTE(C7919," ",""),3))&amp;"-"&amp;TEXT(B7919,"AAMMDD")&amp;"-1")</f>
        <v/>
      </c>
    </row>
    <row r="7920" spans="20:20" hidden="1">
      <c r="T7920" t="str">
        <f>IF(C7920="","",UPPER(LEFT(SUBSTITUTE(C7920," ",""),3))&amp;"-"&amp;TEXT(B7920,"AAMMDD")&amp;"-1")</f>
        <v/>
      </c>
    </row>
    <row r="7921" spans="20:20" hidden="1">
      <c r="T7921" t="str">
        <f>IF(C7921="","",UPPER(LEFT(SUBSTITUTE(C7921," ",""),3))&amp;"-"&amp;TEXT(B7921,"AAMMDD")&amp;"-1")</f>
        <v/>
      </c>
    </row>
    <row r="7922" spans="20:20" hidden="1">
      <c r="T7922" t="str">
        <f>IF(C7922="","",UPPER(LEFT(SUBSTITUTE(C7922," ",""),3))&amp;"-"&amp;TEXT(B7922,"AAMMDD")&amp;"-1")</f>
        <v/>
      </c>
    </row>
    <row r="7923" spans="20:20" hidden="1">
      <c r="T7923" t="str">
        <f>IF(C7923="","",UPPER(LEFT(SUBSTITUTE(C7923," ",""),3))&amp;"-"&amp;TEXT(B7923,"AAMMDD")&amp;"-1")</f>
        <v/>
      </c>
    </row>
    <row r="7924" spans="20:20" hidden="1">
      <c r="T7924" t="str">
        <f>IF(C7924="","",UPPER(LEFT(SUBSTITUTE(C7924," ",""),3))&amp;"-"&amp;TEXT(B7924,"AAMMDD")&amp;"-1")</f>
        <v/>
      </c>
    </row>
    <row r="7925" spans="20:20" hidden="1">
      <c r="T7925" t="str">
        <f>IF(C7925="","",UPPER(LEFT(SUBSTITUTE(C7925," ",""),3))&amp;"-"&amp;TEXT(B7925,"AAMMDD")&amp;"-1")</f>
        <v/>
      </c>
    </row>
    <row r="7926" spans="20:20" hidden="1">
      <c r="T7926" t="str">
        <f>IF(C7926="","",UPPER(LEFT(SUBSTITUTE(C7926," ",""),3))&amp;"-"&amp;TEXT(B7926,"AAMMDD")&amp;"-1")</f>
        <v/>
      </c>
    </row>
    <row r="7927" spans="20:20" hidden="1">
      <c r="T7927" t="str">
        <f>IF(C7927="","",UPPER(LEFT(SUBSTITUTE(C7927," ",""),3))&amp;"-"&amp;TEXT(B7927,"AAMMDD")&amp;"-1")</f>
        <v/>
      </c>
    </row>
    <row r="7928" spans="20:20" hidden="1">
      <c r="T7928" t="str">
        <f>IF(C7928="","",UPPER(LEFT(SUBSTITUTE(C7928," ",""),3))&amp;"-"&amp;TEXT(B7928,"AAMMDD")&amp;"-1")</f>
        <v/>
      </c>
    </row>
    <row r="7929" spans="20:20" hidden="1">
      <c r="T7929" t="str">
        <f>IF(C7929="","",UPPER(LEFT(SUBSTITUTE(C7929," ",""),3))&amp;"-"&amp;TEXT(B7929,"AAMMDD")&amp;"-1")</f>
        <v/>
      </c>
    </row>
    <row r="7930" spans="20:20" hidden="1">
      <c r="T7930" t="str">
        <f>IF(C7930="","",UPPER(LEFT(SUBSTITUTE(C7930," ",""),3))&amp;"-"&amp;TEXT(B7930,"AAMMDD")&amp;"-1")</f>
        <v/>
      </c>
    </row>
    <row r="7931" spans="20:20" hidden="1">
      <c r="T7931" t="str">
        <f>IF(C7931="","",UPPER(LEFT(SUBSTITUTE(C7931," ",""),3))&amp;"-"&amp;TEXT(B7931,"AAMMDD")&amp;"-1")</f>
        <v/>
      </c>
    </row>
    <row r="7932" spans="20:20" hidden="1">
      <c r="T7932" t="str">
        <f>IF(C7932="","",UPPER(LEFT(SUBSTITUTE(C7932," ",""),3))&amp;"-"&amp;TEXT(B7932,"AAMMDD")&amp;"-1")</f>
        <v/>
      </c>
    </row>
    <row r="7933" spans="20:20" hidden="1">
      <c r="T7933" t="str">
        <f>IF(C7933="","",UPPER(LEFT(SUBSTITUTE(C7933," ",""),3))&amp;"-"&amp;TEXT(B7933,"AAMMDD")&amp;"-1")</f>
        <v/>
      </c>
    </row>
    <row r="7934" spans="20:20" hidden="1">
      <c r="T7934" t="str">
        <f>IF(C7934="","",UPPER(LEFT(SUBSTITUTE(C7934," ",""),3))&amp;"-"&amp;TEXT(B7934,"AAMMDD")&amp;"-1")</f>
        <v/>
      </c>
    </row>
    <row r="7935" spans="20:20" hidden="1">
      <c r="T7935" t="str">
        <f>IF(C7935="","",UPPER(LEFT(SUBSTITUTE(C7935," ",""),3))&amp;"-"&amp;TEXT(B7935,"AAMMDD")&amp;"-1")</f>
        <v/>
      </c>
    </row>
    <row r="7936" spans="20:20" hidden="1">
      <c r="T7936" t="str">
        <f>IF(C7936="","",UPPER(LEFT(SUBSTITUTE(C7936," ",""),3))&amp;"-"&amp;TEXT(B7936,"AAMMDD")&amp;"-1")</f>
        <v/>
      </c>
    </row>
    <row r="7937" spans="20:20" hidden="1">
      <c r="T7937" t="str">
        <f>IF(C7937="","",UPPER(LEFT(SUBSTITUTE(C7937," ",""),3))&amp;"-"&amp;TEXT(B7937,"AAMMDD")&amp;"-1")</f>
        <v/>
      </c>
    </row>
    <row r="7938" spans="20:20" hidden="1">
      <c r="T7938" t="str">
        <f>IF(C7938="","",UPPER(LEFT(SUBSTITUTE(C7938," ",""),3))&amp;"-"&amp;TEXT(B7938,"AAMMDD")&amp;"-1")</f>
        <v/>
      </c>
    </row>
    <row r="7939" spans="20:20" hidden="1">
      <c r="T7939" t="str">
        <f>IF(C7939="","",UPPER(LEFT(SUBSTITUTE(C7939," ",""),3))&amp;"-"&amp;TEXT(B7939,"AAMMDD")&amp;"-1")</f>
        <v/>
      </c>
    </row>
    <row r="7940" spans="20:20" hidden="1">
      <c r="T7940" t="str">
        <f>IF(C7940="","",UPPER(LEFT(SUBSTITUTE(C7940," ",""),3))&amp;"-"&amp;TEXT(B7940,"AAMMDD")&amp;"-1")</f>
        <v/>
      </c>
    </row>
    <row r="7941" spans="20:20" hidden="1">
      <c r="T7941" t="str">
        <f>IF(C7941="","",UPPER(LEFT(SUBSTITUTE(C7941," ",""),3))&amp;"-"&amp;TEXT(B7941,"AAMMDD")&amp;"-1")</f>
        <v/>
      </c>
    </row>
    <row r="7942" spans="20:20" hidden="1">
      <c r="T7942" t="str">
        <f>IF(C7942="","",UPPER(LEFT(SUBSTITUTE(C7942," ",""),3))&amp;"-"&amp;TEXT(B7942,"AAMMDD")&amp;"-1")</f>
        <v/>
      </c>
    </row>
    <row r="7943" spans="20:20" hidden="1">
      <c r="T7943" t="str">
        <f>IF(C7943="","",UPPER(LEFT(SUBSTITUTE(C7943," ",""),3))&amp;"-"&amp;TEXT(B7943,"AAMMDD")&amp;"-1")</f>
        <v/>
      </c>
    </row>
    <row r="7944" spans="20:20" hidden="1">
      <c r="T7944" t="str">
        <f>IF(C7944="","",UPPER(LEFT(SUBSTITUTE(C7944," ",""),3))&amp;"-"&amp;TEXT(B7944,"AAMMDD")&amp;"-1")</f>
        <v/>
      </c>
    </row>
    <row r="7945" spans="20:20" hidden="1">
      <c r="T7945" t="str">
        <f>IF(C7945="","",UPPER(LEFT(SUBSTITUTE(C7945," ",""),3))&amp;"-"&amp;TEXT(B7945,"AAMMDD")&amp;"-1")</f>
        <v/>
      </c>
    </row>
    <row r="7946" spans="20:20" hidden="1">
      <c r="T7946" t="str">
        <f>IF(C7946="","",UPPER(LEFT(SUBSTITUTE(C7946," ",""),3))&amp;"-"&amp;TEXT(B7946,"AAMMDD")&amp;"-1")</f>
        <v/>
      </c>
    </row>
    <row r="7947" spans="20:20" hidden="1">
      <c r="T7947" t="str">
        <f>IF(C7947="","",UPPER(LEFT(SUBSTITUTE(C7947," ",""),3))&amp;"-"&amp;TEXT(B7947,"AAMMDD")&amp;"-1")</f>
        <v/>
      </c>
    </row>
    <row r="7948" spans="20:20" hidden="1">
      <c r="T7948" t="str">
        <f>IF(C7948="","",UPPER(LEFT(SUBSTITUTE(C7948," ",""),3))&amp;"-"&amp;TEXT(B7948,"AAMMDD")&amp;"-1")</f>
        <v/>
      </c>
    </row>
    <row r="7949" spans="20:20" hidden="1">
      <c r="T7949" t="str">
        <f>IF(C7949="","",UPPER(LEFT(SUBSTITUTE(C7949," ",""),3))&amp;"-"&amp;TEXT(B7949,"AAMMDD")&amp;"-1")</f>
        <v/>
      </c>
    </row>
    <row r="7950" spans="20:20" hidden="1">
      <c r="T7950" t="str">
        <f>IF(C7950="","",UPPER(LEFT(SUBSTITUTE(C7950," ",""),3))&amp;"-"&amp;TEXT(B7950,"AAMMDD")&amp;"-1")</f>
        <v/>
      </c>
    </row>
    <row r="7951" spans="20:20" hidden="1">
      <c r="T7951" t="str">
        <f>IF(C7951="","",UPPER(LEFT(SUBSTITUTE(C7951," ",""),3))&amp;"-"&amp;TEXT(B7951,"AAMMDD")&amp;"-1")</f>
        <v/>
      </c>
    </row>
    <row r="7952" spans="20:20" hidden="1">
      <c r="T7952" t="str">
        <f>IF(C7952="","",UPPER(LEFT(SUBSTITUTE(C7952," ",""),3))&amp;"-"&amp;TEXT(B7952,"AAMMDD")&amp;"-1")</f>
        <v/>
      </c>
    </row>
    <row r="7953" spans="20:20" hidden="1">
      <c r="T7953" t="str">
        <f>IF(C7953="","",UPPER(LEFT(SUBSTITUTE(C7953," ",""),3))&amp;"-"&amp;TEXT(B7953,"AAMMDD")&amp;"-1")</f>
        <v/>
      </c>
    </row>
    <row r="7954" spans="20:20" hidden="1">
      <c r="T7954" t="str">
        <f>IF(C7954="","",UPPER(LEFT(SUBSTITUTE(C7954," ",""),3))&amp;"-"&amp;TEXT(B7954,"AAMMDD")&amp;"-1")</f>
        <v/>
      </c>
    </row>
    <row r="7955" spans="20:20" hidden="1">
      <c r="T7955" t="str">
        <f>IF(C7955="","",UPPER(LEFT(SUBSTITUTE(C7955," ",""),3))&amp;"-"&amp;TEXT(B7955,"AAMMDD")&amp;"-1")</f>
        <v/>
      </c>
    </row>
    <row r="7956" spans="20:20" hidden="1">
      <c r="T7956" t="str">
        <f>IF(C7956="","",UPPER(LEFT(SUBSTITUTE(C7956," ",""),3))&amp;"-"&amp;TEXT(B7956,"AAMMDD")&amp;"-1")</f>
        <v/>
      </c>
    </row>
    <row r="7957" spans="20:20" hidden="1">
      <c r="T7957" t="str">
        <f>IF(C7957="","",UPPER(LEFT(SUBSTITUTE(C7957," ",""),3))&amp;"-"&amp;TEXT(B7957,"AAMMDD")&amp;"-1")</f>
        <v/>
      </c>
    </row>
    <row r="7958" spans="20:20" hidden="1">
      <c r="T7958" t="str">
        <f>IF(C7958="","",UPPER(LEFT(SUBSTITUTE(C7958," ",""),3))&amp;"-"&amp;TEXT(B7958,"AAMMDD")&amp;"-1")</f>
        <v/>
      </c>
    </row>
    <row r="7959" spans="20:20" hidden="1">
      <c r="T7959" t="str">
        <f>IF(C7959="","",UPPER(LEFT(SUBSTITUTE(C7959," ",""),3))&amp;"-"&amp;TEXT(B7959,"AAMMDD")&amp;"-1")</f>
        <v/>
      </c>
    </row>
    <row r="7960" spans="20:20" hidden="1">
      <c r="T7960" t="str">
        <f>IF(C7960="","",UPPER(LEFT(SUBSTITUTE(C7960," ",""),3))&amp;"-"&amp;TEXT(B7960,"AAMMDD")&amp;"-1")</f>
        <v/>
      </c>
    </row>
    <row r="7961" spans="20:20" hidden="1">
      <c r="T7961" t="str">
        <f>IF(C7961="","",UPPER(LEFT(SUBSTITUTE(C7961," ",""),3))&amp;"-"&amp;TEXT(B7961,"AAMMDD")&amp;"-1")</f>
        <v/>
      </c>
    </row>
    <row r="7962" spans="20:20" hidden="1">
      <c r="T7962" t="str">
        <f>IF(C7962="","",UPPER(LEFT(SUBSTITUTE(C7962," ",""),3))&amp;"-"&amp;TEXT(B7962,"AAMMDD")&amp;"-1")</f>
        <v/>
      </c>
    </row>
    <row r="7963" spans="20:20" hidden="1">
      <c r="T7963" t="str">
        <f>IF(C7963="","",UPPER(LEFT(SUBSTITUTE(C7963," ",""),3))&amp;"-"&amp;TEXT(B7963,"AAMMDD")&amp;"-1")</f>
        <v/>
      </c>
    </row>
    <row r="7964" spans="20:20" hidden="1">
      <c r="T7964" t="str">
        <f>IF(C7964="","",UPPER(LEFT(SUBSTITUTE(C7964," ",""),3))&amp;"-"&amp;TEXT(B7964,"AAMMDD")&amp;"-1")</f>
        <v/>
      </c>
    </row>
    <row r="7965" spans="20:20" hidden="1">
      <c r="T7965" t="str">
        <f>IF(C7965="","",UPPER(LEFT(SUBSTITUTE(C7965," ",""),3))&amp;"-"&amp;TEXT(B7965,"AAMMDD")&amp;"-1")</f>
        <v/>
      </c>
    </row>
    <row r="7966" spans="20:20" hidden="1">
      <c r="T7966" t="str">
        <f>IF(C7966="","",UPPER(LEFT(SUBSTITUTE(C7966," ",""),3))&amp;"-"&amp;TEXT(B7966,"AAMMDD")&amp;"-1")</f>
        <v/>
      </c>
    </row>
    <row r="7967" spans="20:20" hidden="1">
      <c r="T7967" t="str">
        <f>IF(C7967="","",UPPER(LEFT(SUBSTITUTE(C7967," ",""),3))&amp;"-"&amp;TEXT(B7967,"AAMMDD")&amp;"-1")</f>
        <v/>
      </c>
    </row>
    <row r="7968" spans="20:20" hidden="1">
      <c r="T7968" t="str">
        <f>IF(C7968="","",UPPER(LEFT(SUBSTITUTE(C7968," ",""),3))&amp;"-"&amp;TEXT(B7968,"AAMMDD")&amp;"-1")</f>
        <v/>
      </c>
    </row>
    <row r="7969" spans="20:20" hidden="1">
      <c r="T7969" t="str">
        <f>IF(C7969="","",UPPER(LEFT(SUBSTITUTE(C7969," ",""),3))&amp;"-"&amp;TEXT(B7969,"AAMMDD")&amp;"-1")</f>
        <v/>
      </c>
    </row>
    <row r="7970" spans="20:20" hidden="1">
      <c r="T7970" t="str">
        <f>IF(C7970="","",UPPER(LEFT(SUBSTITUTE(C7970," ",""),3))&amp;"-"&amp;TEXT(B7970,"AAMMDD")&amp;"-1")</f>
        <v/>
      </c>
    </row>
    <row r="7971" spans="20:20" hidden="1">
      <c r="T7971" t="str">
        <f>IF(C7971="","",UPPER(LEFT(SUBSTITUTE(C7971," ",""),3))&amp;"-"&amp;TEXT(B7971,"AAMMDD")&amp;"-1")</f>
        <v/>
      </c>
    </row>
    <row r="7972" spans="20:20" hidden="1">
      <c r="T7972" t="str">
        <f>IF(C7972="","",UPPER(LEFT(SUBSTITUTE(C7972," ",""),3))&amp;"-"&amp;TEXT(B7972,"AAMMDD")&amp;"-1")</f>
        <v/>
      </c>
    </row>
    <row r="7973" spans="20:20" hidden="1">
      <c r="T7973" t="str">
        <f>IF(C7973="","",UPPER(LEFT(SUBSTITUTE(C7973," ",""),3))&amp;"-"&amp;TEXT(B7973,"AAMMDD")&amp;"-1")</f>
        <v/>
      </c>
    </row>
    <row r="7974" spans="20:20" hidden="1">
      <c r="T7974" t="str">
        <f>IF(C7974="","",UPPER(LEFT(SUBSTITUTE(C7974," ",""),3))&amp;"-"&amp;TEXT(B7974,"AAMMDD")&amp;"-1")</f>
        <v/>
      </c>
    </row>
    <row r="7975" spans="20:20" hidden="1">
      <c r="T7975" t="str">
        <f>IF(C7975="","",UPPER(LEFT(SUBSTITUTE(C7975," ",""),3))&amp;"-"&amp;TEXT(B7975,"AAMMDD")&amp;"-1")</f>
        <v/>
      </c>
    </row>
    <row r="7976" spans="20:20" hidden="1">
      <c r="T7976" t="str">
        <f>IF(C7976="","",UPPER(LEFT(SUBSTITUTE(C7976," ",""),3))&amp;"-"&amp;TEXT(B7976,"AAMMDD")&amp;"-1")</f>
        <v/>
      </c>
    </row>
    <row r="7977" spans="20:20" hidden="1">
      <c r="T7977" t="str">
        <f>IF(C7977="","",UPPER(LEFT(SUBSTITUTE(C7977," ",""),3))&amp;"-"&amp;TEXT(B7977,"AAMMDD")&amp;"-1")</f>
        <v/>
      </c>
    </row>
    <row r="7978" spans="20:20" hidden="1">
      <c r="T7978" t="str">
        <f>IF(C7978="","",UPPER(LEFT(SUBSTITUTE(C7978," ",""),3))&amp;"-"&amp;TEXT(B7978,"AAMMDD")&amp;"-1")</f>
        <v/>
      </c>
    </row>
    <row r="7979" spans="20:20" hidden="1">
      <c r="T7979" t="str">
        <f>IF(C7979="","",UPPER(LEFT(SUBSTITUTE(C7979," ",""),3))&amp;"-"&amp;TEXT(B7979,"AAMMDD")&amp;"-1")</f>
        <v/>
      </c>
    </row>
    <row r="7980" spans="20:20" hidden="1">
      <c r="T7980" t="str">
        <f>IF(C7980="","",UPPER(LEFT(SUBSTITUTE(C7980," ",""),3))&amp;"-"&amp;TEXT(B7980,"AAMMDD")&amp;"-1")</f>
        <v/>
      </c>
    </row>
    <row r="7981" spans="20:20" hidden="1">
      <c r="T7981" t="str">
        <f>IF(C7981="","",UPPER(LEFT(SUBSTITUTE(C7981," ",""),3))&amp;"-"&amp;TEXT(B7981,"AAMMDD")&amp;"-1")</f>
        <v/>
      </c>
    </row>
    <row r="7982" spans="20:20" hidden="1">
      <c r="T7982" t="str">
        <f>IF(C7982="","",UPPER(LEFT(SUBSTITUTE(C7982," ",""),3))&amp;"-"&amp;TEXT(B7982,"AAMMDD")&amp;"-1")</f>
        <v/>
      </c>
    </row>
    <row r="7983" spans="20:20" hidden="1">
      <c r="T7983" t="str">
        <f>IF(C7983="","",UPPER(LEFT(SUBSTITUTE(C7983," ",""),3))&amp;"-"&amp;TEXT(B7983,"AAMMDD")&amp;"-1")</f>
        <v/>
      </c>
    </row>
    <row r="7984" spans="20:20" hidden="1">
      <c r="T7984" t="str">
        <f>IF(C7984="","",UPPER(LEFT(SUBSTITUTE(C7984," ",""),3))&amp;"-"&amp;TEXT(B7984,"AAMMDD")&amp;"-1")</f>
        <v/>
      </c>
    </row>
    <row r="7985" spans="20:20" hidden="1">
      <c r="T7985" t="str">
        <f>IF(C7985="","",UPPER(LEFT(SUBSTITUTE(C7985," ",""),3))&amp;"-"&amp;TEXT(B7985,"AAMMDD")&amp;"-1")</f>
        <v/>
      </c>
    </row>
    <row r="7986" spans="20:20" hidden="1">
      <c r="T7986" t="str">
        <f>IF(C7986="","",UPPER(LEFT(SUBSTITUTE(C7986," ",""),3))&amp;"-"&amp;TEXT(B7986,"AAMMDD")&amp;"-1")</f>
        <v/>
      </c>
    </row>
    <row r="7987" spans="20:20" hidden="1">
      <c r="T7987" t="str">
        <f>IF(C7987="","",UPPER(LEFT(SUBSTITUTE(C7987," ",""),3))&amp;"-"&amp;TEXT(B7987,"AAMMDD")&amp;"-1")</f>
        <v/>
      </c>
    </row>
    <row r="7988" spans="20:20" hidden="1">
      <c r="T7988" t="str">
        <f>IF(C7988="","",UPPER(LEFT(SUBSTITUTE(C7988," ",""),3))&amp;"-"&amp;TEXT(B7988,"AAMMDD")&amp;"-1")</f>
        <v/>
      </c>
    </row>
    <row r="7989" spans="20:20" hidden="1">
      <c r="T7989" t="str">
        <f>IF(C7989="","",UPPER(LEFT(SUBSTITUTE(C7989," ",""),3))&amp;"-"&amp;TEXT(B7989,"AAMMDD")&amp;"-1")</f>
        <v/>
      </c>
    </row>
    <row r="7990" spans="20:20" hidden="1">
      <c r="T7990" t="str">
        <f>IF(C7990="","",UPPER(LEFT(SUBSTITUTE(C7990," ",""),3))&amp;"-"&amp;TEXT(B7990,"AAMMDD")&amp;"-1")</f>
        <v/>
      </c>
    </row>
    <row r="7991" spans="20:20" hidden="1">
      <c r="T7991" t="str">
        <f>IF(C7991="","",UPPER(LEFT(SUBSTITUTE(C7991," ",""),3))&amp;"-"&amp;TEXT(B7991,"AAMMDD")&amp;"-1")</f>
        <v/>
      </c>
    </row>
    <row r="7992" spans="20:20" hidden="1">
      <c r="T7992" t="str">
        <f>IF(C7992="","",UPPER(LEFT(SUBSTITUTE(C7992," ",""),3))&amp;"-"&amp;TEXT(B7992,"AAMMDD")&amp;"-1")</f>
        <v/>
      </c>
    </row>
    <row r="7993" spans="20:20" hidden="1">
      <c r="T7993" t="str">
        <f>IF(C7993="","",UPPER(LEFT(SUBSTITUTE(C7993," ",""),3))&amp;"-"&amp;TEXT(B7993,"AAMMDD")&amp;"-1")</f>
        <v/>
      </c>
    </row>
    <row r="7994" spans="20:20" hidden="1">
      <c r="T7994" t="str">
        <f>IF(C7994="","",UPPER(LEFT(SUBSTITUTE(C7994," ",""),3))&amp;"-"&amp;TEXT(B7994,"AAMMDD")&amp;"-1")</f>
        <v/>
      </c>
    </row>
    <row r="7995" spans="20:20" hidden="1">
      <c r="T7995" t="str">
        <f>IF(C7995="","",UPPER(LEFT(SUBSTITUTE(C7995," ",""),3))&amp;"-"&amp;TEXT(B7995,"AAMMDD")&amp;"-1")</f>
        <v/>
      </c>
    </row>
    <row r="7996" spans="20:20" hidden="1">
      <c r="T7996" t="str">
        <f>IF(C7996="","",UPPER(LEFT(SUBSTITUTE(C7996," ",""),3))&amp;"-"&amp;TEXT(B7996,"AAMMDD")&amp;"-1")</f>
        <v/>
      </c>
    </row>
    <row r="7997" spans="20:20" hidden="1">
      <c r="T7997" t="str">
        <f>IF(C7997="","",UPPER(LEFT(SUBSTITUTE(C7997," ",""),3))&amp;"-"&amp;TEXT(B7997,"AAMMDD")&amp;"-1")</f>
        <v/>
      </c>
    </row>
    <row r="7998" spans="20:20" hidden="1">
      <c r="T7998" t="str">
        <f>IF(C7998="","",UPPER(LEFT(SUBSTITUTE(C7998," ",""),3))&amp;"-"&amp;TEXT(B7998,"AAMMDD")&amp;"-1")</f>
        <v/>
      </c>
    </row>
    <row r="7999" spans="20:20" hidden="1">
      <c r="T7999" t="str">
        <f>IF(C7999="","",UPPER(LEFT(SUBSTITUTE(C7999," ",""),3))&amp;"-"&amp;TEXT(B7999,"AAMMDD")&amp;"-1")</f>
        <v/>
      </c>
    </row>
    <row r="8000" spans="20:20" hidden="1">
      <c r="T8000" t="str">
        <f>IF(C8000="","",UPPER(LEFT(SUBSTITUTE(C8000," ",""),3))&amp;"-"&amp;TEXT(B8000,"AAMMDD")&amp;"-1")</f>
        <v/>
      </c>
    </row>
    <row r="8001" spans="20:20" hidden="1">
      <c r="T8001" t="str">
        <f>IF(C8001="","",UPPER(LEFT(SUBSTITUTE(C8001," ",""),3))&amp;"-"&amp;TEXT(B8001,"AAMMDD")&amp;"-1")</f>
        <v/>
      </c>
    </row>
    <row r="8002" spans="20:20" hidden="1">
      <c r="T8002" t="str">
        <f>IF(C8002="","",UPPER(LEFT(SUBSTITUTE(C8002," ",""),3))&amp;"-"&amp;TEXT(B8002,"AAMMDD")&amp;"-1")</f>
        <v/>
      </c>
    </row>
    <row r="8003" spans="20:20" hidden="1">
      <c r="T8003" t="str">
        <f>IF(C8003="","",UPPER(LEFT(SUBSTITUTE(C8003," ",""),3))&amp;"-"&amp;TEXT(B8003,"AAMMDD")&amp;"-1")</f>
        <v/>
      </c>
    </row>
    <row r="8004" spans="20:20" hidden="1">
      <c r="T8004" t="str">
        <f>IF(C8004="","",UPPER(LEFT(SUBSTITUTE(C8004," ",""),3))&amp;"-"&amp;TEXT(B8004,"AAMMDD")&amp;"-1")</f>
        <v/>
      </c>
    </row>
    <row r="8005" spans="20:20" hidden="1">
      <c r="T8005" t="str">
        <f>IF(C8005="","",UPPER(LEFT(SUBSTITUTE(C8005," ",""),3))&amp;"-"&amp;TEXT(B8005,"AAMMDD")&amp;"-1")</f>
        <v/>
      </c>
    </row>
    <row r="8006" spans="20:20" hidden="1">
      <c r="T8006" t="str">
        <f>IF(C8006="","",UPPER(LEFT(SUBSTITUTE(C8006," ",""),3))&amp;"-"&amp;TEXT(B8006,"AAMMDD")&amp;"-1")</f>
        <v/>
      </c>
    </row>
    <row r="8007" spans="20:20" hidden="1">
      <c r="T8007" t="str">
        <f>IF(C8007="","",UPPER(LEFT(SUBSTITUTE(C8007," ",""),3))&amp;"-"&amp;TEXT(B8007,"AAMMDD")&amp;"-1")</f>
        <v/>
      </c>
    </row>
    <row r="8008" spans="20:20" hidden="1">
      <c r="T8008" t="str">
        <f>IF(C8008="","",UPPER(LEFT(SUBSTITUTE(C8008," ",""),3))&amp;"-"&amp;TEXT(B8008,"AAMMDD")&amp;"-1")</f>
        <v/>
      </c>
    </row>
    <row r="8009" spans="20:20" hidden="1">
      <c r="T8009" t="str">
        <f>IF(C8009="","",UPPER(LEFT(SUBSTITUTE(C8009," ",""),3))&amp;"-"&amp;TEXT(B8009,"AAMMDD")&amp;"-1")</f>
        <v/>
      </c>
    </row>
    <row r="8010" spans="20:20" hidden="1">
      <c r="T8010" t="str">
        <f>IF(C8010="","",UPPER(LEFT(SUBSTITUTE(C8010," ",""),3))&amp;"-"&amp;TEXT(B8010,"AAMMDD")&amp;"-1")</f>
        <v/>
      </c>
    </row>
    <row r="8011" spans="20:20" hidden="1">
      <c r="T8011" t="str">
        <f>IF(C8011="","",UPPER(LEFT(SUBSTITUTE(C8011," ",""),3))&amp;"-"&amp;TEXT(B8011,"AAMMDD")&amp;"-1")</f>
        <v/>
      </c>
    </row>
    <row r="8012" spans="20:20" hidden="1">
      <c r="T8012" t="str">
        <f>IF(C8012="","",UPPER(LEFT(SUBSTITUTE(C8012," ",""),3))&amp;"-"&amp;TEXT(B8012,"AAMMDD")&amp;"-1")</f>
        <v/>
      </c>
    </row>
    <row r="8013" spans="20:20" hidden="1">
      <c r="T8013" t="str">
        <f>IF(C8013="","",UPPER(LEFT(SUBSTITUTE(C8013," ",""),3))&amp;"-"&amp;TEXT(B8013,"AAMMDD")&amp;"-1")</f>
        <v/>
      </c>
    </row>
    <row r="8014" spans="20:20" hidden="1">
      <c r="T8014" t="str">
        <f>IF(C8014="","",UPPER(LEFT(SUBSTITUTE(C8014," ",""),3))&amp;"-"&amp;TEXT(B8014,"AAMMDD")&amp;"-1")</f>
        <v/>
      </c>
    </row>
    <row r="8015" spans="20:20" hidden="1">
      <c r="T8015" t="str">
        <f>IF(C8015="","",UPPER(LEFT(SUBSTITUTE(C8015," ",""),3))&amp;"-"&amp;TEXT(B8015,"AAMMDD")&amp;"-1")</f>
        <v/>
      </c>
    </row>
    <row r="8016" spans="20:20" hidden="1">
      <c r="T8016" t="str">
        <f>IF(C8016="","",UPPER(LEFT(SUBSTITUTE(C8016," ",""),3))&amp;"-"&amp;TEXT(B8016,"AAMMDD")&amp;"-1")</f>
        <v/>
      </c>
    </row>
    <row r="8017" spans="20:20" hidden="1">
      <c r="T8017" t="str">
        <f>IF(C8017="","",UPPER(LEFT(SUBSTITUTE(C8017," ",""),3))&amp;"-"&amp;TEXT(B8017,"AAMMDD")&amp;"-1")</f>
        <v/>
      </c>
    </row>
    <row r="8018" spans="20:20" hidden="1">
      <c r="T8018" t="str">
        <f>IF(C8018="","",UPPER(LEFT(SUBSTITUTE(C8018," ",""),3))&amp;"-"&amp;TEXT(B8018,"AAMMDD")&amp;"-1")</f>
        <v/>
      </c>
    </row>
    <row r="8019" spans="20:20" hidden="1">
      <c r="T8019" t="str">
        <f>IF(C8019="","",UPPER(LEFT(SUBSTITUTE(C8019," ",""),3))&amp;"-"&amp;TEXT(B8019,"AAMMDD")&amp;"-1")</f>
        <v/>
      </c>
    </row>
    <row r="8020" spans="20:20" hidden="1">
      <c r="T8020" t="str">
        <f>IF(C8020="","",UPPER(LEFT(SUBSTITUTE(C8020," ",""),3))&amp;"-"&amp;TEXT(B8020,"AAMMDD")&amp;"-1")</f>
        <v/>
      </c>
    </row>
    <row r="8021" spans="20:20" hidden="1">
      <c r="T8021" t="str">
        <f>IF(C8021="","",UPPER(LEFT(SUBSTITUTE(C8021," ",""),3))&amp;"-"&amp;TEXT(B8021,"AAMMDD")&amp;"-1")</f>
        <v/>
      </c>
    </row>
    <row r="8022" spans="20:20" hidden="1">
      <c r="T8022" t="str">
        <f>IF(C8022="","",UPPER(LEFT(SUBSTITUTE(C8022," ",""),3))&amp;"-"&amp;TEXT(B8022,"AAMMDD")&amp;"-1")</f>
        <v/>
      </c>
    </row>
    <row r="8023" spans="20:20" hidden="1">
      <c r="T8023" t="str">
        <f>IF(C8023="","",UPPER(LEFT(SUBSTITUTE(C8023," ",""),3))&amp;"-"&amp;TEXT(B8023,"AAMMDD")&amp;"-1")</f>
        <v/>
      </c>
    </row>
    <row r="8024" spans="20:20" hidden="1">
      <c r="T8024" t="str">
        <f>IF(C8024="","",UPPER(LEFT(SUBSTITUTE(C8024," ",""),3))&amp;"-"&amp;TEXT(B8024,"AAMMDD")&amp;"-1")</f>
        <v/>
      </c>
    </row>
    <row r="8025" spans="20:20" hidden="1">
      <c r="T8025" t="str">
        <f>IF(C8025="","",UPPER(LEFT(SUBSTITUTE(C8025," ",""),3))&amp;"-"&amp;TEXT(B8025,"AAMMDD")&amp;"-1")</f>
        <v/>
      </c>
    </row>
    <row r="8026" spans="20:20" hidden="1">
      <c r="T8026" t="str">
        <f>IF(C8026="","",UPPER(LEFT(SUBSTITUTE(C8026," ",""),3))&amp;"-"&amp;TEXT(B8026,"AAMMDD")&amp;"-1")</f>
        <v/>
      </c>
    </row>
    <row r="8027" spans="20:20" hidden="1">
      <c r="T8027" t="str">
        <f>IF(C8027="","",UPPER(LEFT(SUBSTITUTE(C8027," ",""),3))&amp;"-"&amp;TEXT(B8027,"AAMMDD")&amp;"-1")</f>
        <v/>
      </c>
    </row>
    <row r="8028" spans="20:20" hidden="1">
      <c r="T8028" t="str">
        <f>IF(C8028="","",UPPER(LEFT(SUBSTITUTE(C8028," ",""),3))&amp;"-"&amp;TEXT(B8028,"AAMMDD")&amp;"-1")</f>
        <v/>
      </c>
    </row>
    <row r="8029" spans="20:20" hidden="1">
      <c r="T8029" t="str">
        <f>IF(C8029="","",UPPER(LEFT(SUBSTITUTE(C8029," ",""),3))&amp;"-"&amp;TEXT(B8029,"AAMMDD")&amp;"-1")</f>
        <v/>
      </c>
    </row>
    <row r="8030" spans="20:20" hidden="1">
      <c r="T8030" t="str">
        <f>IF(C8030="","",UPPER(LEFT(SUBSTITUTE(C8030," ",""),3))&amp;"-"&amp;TEXT(B8030,"AAMMDD")&amp;"-1")</f>
        <v/>
      </c>
    </row>
    <row r="8031" spans="20:20" hidden="1">
      <c r="T8031" t="str">
        <f>IF(C8031="","",UPPER(LEFT(SUBSTITUTE(C8031," ",""),3))&amp;"-"&amp;TEXT(B8031,"AAMMDD")&amp;"-1")</f>
        <v/>
      </c>
    </row>
    <row r="8032" spans="20:20" hidden="1">
      <c r="T8032" t="str">
        <f>IF(C8032="","",UPPER(LEFT(SUBSTITUTE(C8032," ",""),3))&amp;"-"&amp;TEXT(B8032,"AAMMDD")&amp;"-1")</f>
        <v/>
      </c>
    </row>
    <row r="8033" spans="20:20" hidden="1">
      <c r="T8033" t="str">
        <f>IF(C8033="","",UPPER(LEFT(SUBSTITUTE(C8033," ",""),3))&amp;"-"&amp;TEXT(B8033,"AAMMDD")&amp;"-1")</f>
        <v/>
      </c>
    </row>
    <row r="8034" spans="20:20" hidden="1">
      <c r="T8034" t="str">
        <f>IF(C8034="","",UPPER(LEFT(SUBSTITUTE(C8034," ",""),3))&amp;"-"&amp;TEXT(B8034,"AAMMDD")&amp;"-1")</f>
        <v/>
      </c>
    </row>
    <row r="8035" spans="20:20" hidden="1">
      <c r="T8035" t="str">
        <f>IF(C8035="","",UPPER(LEFT(SUBSTITUTE(C8035," ",""),3))&amp;"-"&amp;TEXT(B8035,"AAMMDD")&amp;"-1")</f>
        <v/>
      </c>
    </row>
    <row r="8036" spans="20:20" hidden="1">
      <c r="T8036" t="str">
        <f>IF(C8036="","",UPPER(LEFT(SUBSTITUTE(C8036," ",""),3))&amp;"-"&amp;TEXT(B8036,"AAMMDD")&amp;"-1")</f>
        <v/>
      </c>
    </row>
    <row r="8037" spans="20:20" hidden="1">
      <c r="T8037" t="str">
        <f>IF(C8037="","",UPPER(LEFT(SUBSTITUTE(C8037," ",""),3))&amp;"-"&amp;TEXT(B8037,"AAMMDD")&amp;"-1")</f>
        <v/>
      </c>
    </row>
    <row r="8038" spans="20:20" hidden="1">
      <c r="T8038" t="str">
        <f>IF(C8038="","",UPPER(LEFT(SUBSTITUTE(C8038," ",""),3))&amp;"-"&amp;TEXT(B8038,"AAMMDD")&amp;"-1")</f>
        <v/>
      </c>
    </row>
    <row r="8039" spans="20:20" hidden="1">
      <c r="T8039" t="str">
        <f>IF(C8039="","",UPPER(LEFT(SUBSTITUTE(C8039," ",""),3))&amp;"-"&amp;TEXT(B8039,"AAMMDD")&amp;"-1")</f>
        <v/>
      </c>
    </row>
    <row r="8040" spans="20:20" hidden="1">
      <c r="T8040" t="str">
        <f>IF(C8040="","",UPPER(LEFT(SUBSTITUTE(C8040," ",""),3))&amp;"-"&amp;TEXT(B8040,"AAMMDD")&amp;"-1")</f>
        <v/>
      </c>
    </row>
    <row r="8041" spans="20:20" hidden="1">
      <c r="T8041" t="str">
        <f>IF(C8041="","",UPPER(LEFT(SUBSTITUTE(C8041," ",""),3))&amp;"-"&amp;TEXT(B8041,"AAMMDD")&amp;"-1")</f>
        <v/>
      </c>
    </row>
    <row r="8042" spans="20:20" hidden="1">
      <c r="T8042" t="str">
        <f>IF(C8042="","",UPPER(LEFT(SUBSTITUTE(C8042," ",""),3))&amp;"-"&amp;TEXT(B8042,"AAMMDD")&amp;"-1")</f>
        <v/>
      </c>
    </row>
    <row r="8043" spans="20:20" hidden="1">
      <c r="T8043" t="str">
        <f>IF(C8043="","",UPPER(LEFT(SUBSTITUTE(C8043," ",""),3))&amp;"-"&amp;TEXT(B8043,"AAMMDD")&amp;"-1")</f>
        <v/>
      </c>
    </row>
    <row r="8044" spans="20:20" hidden="1">
      <c r="T8044" t="str">
        <f>IF(C8044="","",UPPER(LEFT(SUBSTITUTE(C8044," ",""),3))&amp;"-"&amp;TEXT(B8044,"AAMMDD")&amp;"-1")</f>
        <v/>
      </c>
    </row>
    <row r="8045" spans="20:20" hidden="1">
      <c r="T8045" t="str">
        <f>IF(C8045="","",UPPER(LEFT(SUBSTITUTE(C8045," ",""),3))&amp;"-"&amp;TEXT(B8045,"AAMMDD")&amp;"-1")</f>
        <v/>
      </c>
    </row>
    <row r="8046" spans="20:20" hidden="1">
      <c r="T8046" t="str">
        <f>IF(C8046="","",UPPER(LEFT(SUBSTITUTE(C8046," ",""),3))&amp;"-"&amp;TEXT(B8046,"AAMMDD")&amp;"-1")</f>
        <v/>
      </c>
    </row>
    <row r="8047" spans="20:20" hidden="1">
      <c r="T8047" t="str">
        <f>IF(C8047="","",UPPER(LEFT(SUBSTITUTE(C8047," ",""),3))&amp;"-"&amp;TEXT(B8047,"AAMMDD")&amp;"-1")</f>
        <v/>
      </c>
    </row>
    <row r="8048" spans="20:20" hidden="1">
      <c r="T8048" t="str">
        <f>IF(C8048="","",UPPER(LEFT(SUBSTITUTE(C8048," ",""),3))&amp;"-"&amp;TEXT(B8048,"AAMMDD")&amp;"-1")</f>
        <v/>
      </c>
    </row>
    <row r="8049" spans="20:20" hidden="1">
      <c r="T8049" t="str">
        <f>IF(C8049="","",UPPER(LEFT(SUBSTITUTE(C8049," ",""),3))&amp;"-"&amp;TEXT(B8049,"AAMMDD")&amp;"-1")</f>
        <v/>
      </c>
    </row>
    <row r="8050" spans="20:20" hidden="1">
      <c r="T8050" t="str">
        <f>IF(C8050="","",UPPER(LEFT(SUBSTITUTE(C8050," ",""),3))&amp;"-"&amp;TEXT(B8050,"AAMMDD")&amp;"-1")</f>
        <v/>
      </c>
    </row>
    <row r="8051" spans="20:20" hidden="1">
      <c r="T8051" t="str">
        <f>IF(C8051="","",UPPER(LEFT(SUBSTITUTE(C8051," ",""),3))&amp;"-"&amp;TEXT(B8051,"AAMMDD")&amp;"-1")</f>
        <v/>
      </c>
    </row>
    <row r="8052" spans="20:20" hidden="1">
      <c r="T8052" t="str">
        <f>IF(C8052="","",UPPER(LEFT(SUBSTITUTE(C8052," ",""),3))&amp;"-"&amp;TEXT(B8052,"AAMMDD")&amp;"-1")</f>
        <v/>
      </c>
    </row>
    <row r="8053" spans="20:20" hidden="1">
      <c r="T8053" t="str">
        <f>IF(C8053="","",UPPER(LEFT(SUBSTITUTE(C8053," ",""),3))&amp;"-"&amp;TEXT(B8053,"AAMMDD")&amp;"-1")</f>
        <v/>
      </c>
    </row>
    <row r="8054" spans="20:20" hidden="1">
      <c r="T8054" t="str">
        <f>IF(C8054="","",UPPER(LEFT(SUBSTITUTE(C8054," ",""),3))&amp;"-"&amp;TEXT(B8054,"AAMMDD")&amp;"-1")</f>
        <v/>
      </c>
    </row>
    <row r="8055" spans="20:20" hidden="1">
      <c r="T8055" t="str">
        <f>IF(C8055="","",UPPER(LEFT(SUBSTITUTE(C8055," ",""),3))&amp;"-"&amp;TEXT(B8055,"AAMMDD")&amp;"-1")</f>
        <v/>
      </c>
    </row>
    <row r="8056" spans="20:20" hidden="1">
      <c r="T8056" t="str">
        <f>IF(C8056="","",UPPER(LEFT(SUBSTITUTE(C8056," ",""),3))&amp;"-"&amp;TEXT(B8056,"AAMMDD")&amp;"-1")</f>
        <v/>
      </c>
    </row>
    <row r="8057" spans="20:20" hidden="1">
      <c r="T8057" t="str">
        <f>IF(C8057="","",UPPER(LEFT(SUBSTITUTE(C8057," ",""),3))&amp;"-"&amp;TEXT(B8057,"AAMMDD")&amp;"-1")</f>
        <v/>
      </c>
    </row>
    <row r="8058" spans="20:20" hidden="1">
      <c r="T8058" t="str">
        <f>IF(C8058="","",UPPER(LEFT(SUBSTITUTE(C8058," ",""),3))&amp;"-"&amp;TEXT(B8058,"AAMMDD")&amp;"-1")</f>
        <v/>
      </c>
    </row>
    <row r="8059" spans="20:20" hidden="1">
      <c r="T8059" t="str">
        <f>IF(C8059="","",UPPER(LEFT(SUBSTITUTE(C8059," ",""),3))&amp;"-"&amp;TEXT(B8059,"AAMMDD")&amp;"-1")</f>
        <v/>
      </c>
    </row>
    <row r="8060" spans="20:20" hidden="1">
      <c r="T8060" t="str">
        <f>IF(C8060="","",UPPER(LEFT(SUBSTITUTE(C8060," ",""),3))&amp;"-"&amp;TEXT(B8060,"AAMMDD")&amp;"-1")</f>
        <v/>
      </c>
    </row>
    <row r="8061" spans="20:20" hidden="1">
      <c r="T8061" t="str">
        <f>IF(C8061="","",UPPER(LEFT(SUBSTITUTE(C8061," ",""),3))&amp;"-"&amp;TEXT(B8061,"AAMMDD")&amp;"-1")</f>
        <v/>
      </c>
    </row>
    <row r="8062" spans="20:20" hidden="1">
      <c r="T8062" t="str">
        <f>IF(C8062="","",UPPER(LEFT(SUBSTITUTE(C8062," ",""),3))&amp;"-"&amp;TEXT(B8062,"AAMMDD")&amp;"-1")</f>
        <v/>
      </c>
    </row>
    <row r="8063" spans="20:20" hidden="1">
      <c r="T8063" t="str">
        <f>IF(C8063="","",UPPER(LEFT(SUBSTITUTE(C8063," ",""),3))&amp;"-"&amp;TEXT(B8063,"AAMMDD")&amp;"-1")</f>
        <v/>
      </c>
    </row>
    <row r="8064" spans="20:20" hidden="1">
      <c r="T8064" t="str">
        <f>IF(C8064="","",UPPER(LEFT(SUBSTITUTE(C8064," ",""),3))&amp;"-"&amp;TEXT(B8064,"AAMMDD")&amp;"-1")</f>
        <v/>
      </c>
    </row>
    <row r="8065" spans="20:20" hidden="1">
      <c r="T8065" t="str">
        <f>IF(C8065="","",UPPER(LEFT(SUBSTITUTE(C8065," ",""),3))&amp;"-"&amp;TEXT(B8065,"AAMMDD")&amp;"-1")</f>
        <v/>
      </c>
    </row>
    <row r="8066" spans="20:20" hidden="1">
      <c r="T8066" t="str">
        <f>IF(C8066="","",UPPER(LEFT(SUBSTITUTE(C8066," ",""),3))&amp;"-"&amp;TEXT(B8066,"AAMMDD")&amp;"-1")</f>
        <v/>
      </c>
    </row>
    <row r="8067" spans="20:20" hidden="1">
      <c r="T8067" t="str">
        <f>IF(C8067="","",UPPER(LEFT(SUBSTITUTE(C8067," ",""),3))&amp;"-"&amp;TEXT(B8067,"AAMMDD")&amp;"-1")</f>
        <v/>
      </c>
    </row>
    <row r="8068" spans="20:20" hidden="1">
      <c r="T8068" t="str">
        <f>IF(C8068="","",UPPER(LEFT(SUBSTITUTE(C8068," ",""),3))&amp;"-"&amp;TEXT(B8068,"AAMMDD")&amp;"-1")</f>
        <v/>
      </c>
    </row>
    <row r="8069" spans="20:20" hidden="1">
      <c r="T8069" t="str">
        <f>IF(C8069="","",UPPER(LEFT(SUBSTITUTE(C8069," ",""),3))&amp;"-"&amp;TEXT(B8069,"AAMMDD")&amp;"-1")</f>
        <v/>
      </c>
    </row>
    <row r="8070" spans="20:20" hidden="1">
      <c r="T8070" t="str">
        <f>IF(C8070="","",UPPER(LEFT(SUBSTITUTE(C8070," ",""),3))&amp;"-"&amp;TEXT(B8070,"AAMMDD")&amp;"-1")</f>
        <v/>
      </c>
    </row>
    <row r="8071" spans="20:20" hidden="1">
      <c r="T8071" t="str">
        <f>IF(C8071="","",UPPER(LEFT(SUBSTITUTE(C8071," ",""),3))&amp;"-"&amp;TEXT(B8071,"AAMMDD")&amp;"-1")</f>
        <v/>
      </c>
    </row>
    <row r="8072" spans="20:20" hidden="1">
      <c r="T8072" t="str">
        <f>IF(C8072="","",UPPER(LEFT(SUBSTITUTE(C8072," ",""),3))&amp;"-"&amp;TEXT(B8072,"AAMMDD")&amp;"-1")</f>
        <v/>
      </c>
    </row>
    <row r="8073" spans="20:20" hidden="1">
      <c r="T8073" t="str">
        <f>IF(C8073="","",UPPER(LEFT(SUBSTITUTE(C8073," ",""),3))&amp;"-"&amp;TEXT(B8073,"AAMMDD")&amp;"-1")</f>
        <v/>
      </c>
    </row>
    <row r="8074" spans="20:20" hidden="1">
      <c r="T8074" t="str">
        <f>IF(C8074="","",UPPER(LEFT(SUBSTITUTE(C8074," ",""),3))&amp;"-"&amp;TEXT(B8074,"AAMMDD")&amp;"-1")</f>
        <v/>
      </c>
    </row>
    <row r="8075" spans="20:20" hidden="1">
      <c r="T8075" t="str">
        <f>IF(C8075="","",UPPER(LEFT(SUBSTITUTE(C8075," ",""),3))&amp;"-"&amp;TEXT(B8075,"AAMMDD")&amp;"-1")</f>
        <v/>
      </c>
    </row>
    <row r="8076" spans="20:20" hidden="1">
      <c r="T8076" t="str">
        <f>IF(C8076="","",UPPER(LEFT(SUBSTITUTE(C8076," ",""),3))&amp;"-"&amp;TEXT(B8076,"AAMMDD")&amp;"-1")</f>
        <v/>
      </c>
    </row>
    <row r="8077" spans="20:20" hidden="1">
      <c r="T8077" t="str">
        <f>IF(C8077="","",UPPER(LEFT(SUBSTITUTE(C8077," ",""),3))&amp;"-"&amp;TEXT(B8077,"AAMMDD")&amp;"-1")</f>
        <v/>
      </c>
    </row>
    <row r="8078" spans="20:20" hidden="1">
      <c r="T8078" t="str">
        <f>IF(C8078="","",UPPER(LEFT(SUBSTITUTE(C8078," ",""),3))&amp;"-"&amp;TEXT(B8078,"AAMMDD")&amp;"-1")</f>
        <v/>
      </c>
    </row>
    <row r="8079" spans="20:20" hidden="1">
      <c r="T8079" t="str">
        <f>IF(C8079="","",UPPER(LEFT(SUBSTITUTE(C8079," ",""),3))&amp;"-"&amp;TEXT(B8079,"AAMMDD")&amp;"-1")</f>
        <v/>
      </c>
    </row>
    <row r="8080" spans="20:20" hidden="1">
      <c r="T8080" t="str">
        <f>IF(C8080="","",UPPER(LEFT(SUBSTITUTE(C8080," ",""),3))&amp;"-"&amp;TEXT(B8080,"AAMMDD")&amp;"-1")</f>
        <v/>
      </c>
    </row>
    <row r="8081" spans="20:20" hidden="1">
      <c r="T8081" t="str">
        <f>IF(C8081="","",UPPER(LEFT(SUBSTITUTE(C8081," ",""),3))&amp;"-"&amp;TEXT(B8081,"AAMMDD")&amp;"-1")</f>
        <v/>
      </c>
    </row>
    <row r="8082" spans="20:20" hidden="1">
      <c r="T8082" t="str">
        <f>IF(C8082="","",UPPER(LEFT(SUBSTITUTE(C8082," ",""),3))&amp;"-"&amp;TEXT(B8082,"AAMMDD")&amp;"-1")</f>
        <v/>
      </c>
    </row>
    <row r="8083" spans="20:20" hidden="1">
      <c r="T8083" t="str">
        <f>IF(C8083="","",UPPER(LEFT(SUBSTITUTE(C8083," ",""),3))&amp;"-"&amp;TEXT(B8083,"AAMMDD")&amp;"-1")</f>
        <v/>
      </c>
    </row>
    <row r="8084" spans="20:20" hidden="1">
      <c r="T8084" t="str">
        <f>IF(C8084="","",UPPER(LEFT(SUBSTITUTE(C8084," ",""),3))&amp;"-"&amp;TEXT(B8084,"AAMMDD")&amp;"-1")</f>
        <v/>
      </c>
    </row>
    <row r="8085" spans="20:20" hidden="1">
      <c r="T8085" t="str">
        <f>IF(C8085="","",UPPER(LEFT(SUBSTITUTE(C8085," ",""),3))&amp;"-"&amp;TEXT(B8085,"AAMMDD")&amp;"-1")</f>
        <v/>
      </c>
    </row>
    <row r="8086" spans="20:20" hidden="1">
      <c r="T8086" t="str">
        <f>IF(C8086="","",UPPER(LEFT(SUBSTITUTE(C8086," ",""),3))&amp;"-"&amp;TEXT(B8086,"AAMMDD")&amp;"-1")</f>
        <v/>
      </c>
    </row>
    <row r="8087" spans="20:20" hidden="1">
      <c r="T8087" t="str">
        <f>IF(C8087="","",UPPER(LEFT(SUBSTITUTE(C8087," ",""),3))&amp;"-"&amp;TEXT(B8087,"AAMMDD")&amp;"-1")</f>
        <v/>
      </c>
    </row>
    <row r="8088" spans="20:20" hidden="1">
      <c r="T8088" t="str">
        <f>IF(C8088="","",UPPER(LEFT(SUBSTITUTE(C8088," ",""),3))&amp;"-"&amp;TEXT(B8088,"AAMMDD")&amp;"-1")</f>
        <v/>
      </c>
    </row>
    <row r="8089" spans="20:20" hidden="1">
      <c r="T8089" t="str">
        <f>IF(C8089="","",UPPER(LEFT(SUBSTITUTE(C8089," ",""),3))&amp;"-"&amp;TEXT(B8089,"AAMMDD")&amp;"-1")</f>
        <v/>
      </c>
    </row>
    <row r="8090" spans="20:20" hidden="1">
      <c r="T8090" t="str">
        <f>IF(C8090="","",UPPER(LEFT(SUBSTITUTE(C8090," ",""),3))&amp;"-"&amp;TEXT(B8090,"AAMMDD")&amp;"-1")</f>
        <v/>
      </c>
    </row>
    <row r="8091" spans="20:20" hidden="1">
      <c r="T8091" t="str">
        <f>IF(C8091="","",UPPER(LEFT(SUBSTITUTE(C8091," ",""),3))&amp;"-"&amp;TEXT(B8091,"AAMMDD")&amp;"-1")</f>
        <v/>
      </c>
    </row>
    <row r="8092" spans="20:20" hidden="1">
      <c r="T8092" t="str">
        <f>IF(C8092="","",UPPER(LEFT(SUBSTITUTE(C8092," ",""),3))&amp;"-"&amp;TEXT(B8092,"AAMMDD")&amp;"-1")</f>
        <v/>
      </c>
    </row>
    <row r="8093" spans="20:20" hidden="1">
      <c r="T8093" t="str">
        <f>IF(C8093="","",UPPER(LEFT(SUBSTITUTE(C8093," ",""),3))&amp;"-"&amp;TEXT(B8093,"AAMMDD")&amp;"-1")</f>
        <v/>
      </c>
    </row>
    <row r="8094" spans="20:20" hidden="1">
      <c r="T8094" t="str">
        <f>IF(C8094="","",UPPER(LEFT(SUBSTITUTE(C8094," ",""),3))&amp;"-"&amp;TEXT(B8094,"AAMMDD")&amp;"-1")</f>
        <v/>
      </c>
    </row>
    <row r="8095" spans="20:20" hidden="1">
      <c r="T8095" t="str">
        <f>IF(C8095="","",UPPER(LEFT(SUBSTITUTE(C8095," ",""),3))&amp;"-"&amp;TEXT(B8095,"AAMMDD")&amp;"-1")</f>
        <v/>
      </c>
    </row>
    <row r="8096" spans="20:20" hidden="1">
      <c r="T8096" t="str">
        <f>IF(C8096="","",UPPER(LEFT(SUBSTITUTE(C8096," ",""),3))&amp;"-"&amp;TEXT(B8096,"AAMMDD")&amp;"-1")</f>
        <v/>
      </c>
    </row>
    <row r="8097" spans="20:20" hidden="1">
      <c r="T8097" t="str">
        <f>IF(C8097="","",UPPER(LEFT(SUBSTITUTE(C8097," ",""),3))&amp;"-"&amp;TEXT(B8097,"AAMMDD")&amp;"-1")</f>
        <v/>
      </c>
    </row>
    <row r="8098" spans="20:20" hidden="1">
      <c r="T8098" t="str">
        <f>IF(C8098="","",UPPER(LEFT(SUBSTITUTE(C8098," ",""),3))&amp;"-"&amp;TEXT(B8098,"AAMMDD")&amp;"-1")</f>
        <v/>
      </c>
    </row>
    <row r="8099" spans="20:20" hidden="1">
      <c r="T8099" t="str">
        <f>IF(C8099="","",UPPER(LEFT(SUBSTITUTE(C8099," ",""),3))&amp;"-"&amp;TEXT(B8099,"AAMMDD")&amp;"-1")</f>
        <v/>
      </c>
    </row>
    <row r="8100" spans="20:20" hidden="1">
      <c r="T8100" t="str">
        <f>IF(C8100="","",UPPER(LEFT(SUBSTITUTE(C8100," ",""),3))&amp;"-"&amp;TEXT(B8100,"AAMMDD")&amp;"-1")</f>
        <v/>
      </c>
    </row>
    <row r="8101" spans="20:20" hidden="1">
      <c r="T8101" t="str">
        <f>IF(C8101="","",UPPER(LEFT(SUBSTITUTE(C8101," ",""),3))&amp;"-"&amp;TEXT(B8101,"AAMMDD")&amp;"-1")</f>
        <v/>
      </c>
    </row>
    <row r="8102" spans="20:20" hidden="1">
      <c r="T8102" t="str">
        <f>IF(C8102="","",UPPER(LEFT(SUBSTITUTE(C8102," ",""),3))&amp;"-"&amp;TEXT(B8102,"AAMMDD")&amp;"-1")</f>
        <v/>
      </c>
    </row>
    <row r="8103" spans="20:20" hidden="1">
      <c r="T8103" t="str">
        <f>IF(C8103="","",UPPER(LEFT(SUBSTITUTE(C8103," ",""),3))&amp;"-"&amp;TEXT(B8103,"AAMMDD")&amp;"-1")</f>
        <v/>
      </c>
    </row>
    <row r="8104" spans="20:20" hidden="1">
      <c r="T8104" t="str">
        <f>IF(C8104="","",UPPER(LEFT(SUBSTITUTE(C8104," ",""),3))&amp;"-"&amp;TEXT(B8104,"AAMMDD")&amp;"-1")</f>
        <v/>
      </c>
    </row>
    <row r="8105" spans="20:20" hidden="1">
      <c r="T8105" t="str">
        <f>IF(C8105="","",UPPER(LEFT(SUBSTITUTE(C8105," ",""),3))&amp;"-"&amp;TEXT(B8105,"AAMMDD")&amp;"-1")</f>
        <v/>
      </c>
    </row>
    <row r="8106" spans="20:20" hidden="1">
      <c r="T8106" t="str">
        <f>IF(C8106="","",UPPER(LEFT(SUBSTITUTE(C8106," ",""),3))&amp;"-"&amp;TEXT(B8106,"AAMMDD")&amp;"-1")</f>
        <v/>
      </c>
    </row>
    <row r="8107" spans="20:20" hidden="1">
      <c r="T8107" t="str">
        <f>IF(C8107="","",UPPER(LEFT(SUBSTITUTE(C8107," ",""),3))&amp;"-"&amp;TEXT(B8107,"AAMMDD")&amp;"-1")</f>
        <v/>
      </c>
    </row>
    <row r="8108" spans="20:20" hidden="1">
      <c r="T8108" t="str">
        <f>IF(C8108="","",UPPER(LEFT(SUBSTITUTE(C8108," ",""),3))&amp;"-"&amp;TEXT(B8108,"AAMMDD")&amp;"-1")</f>
        <v/>
      </c>
    </row>
    <row r="8109" spans="20:20" hidden="1">
      <c r="T8109" t="str">
        <f>IF(C8109="","",UPPER(LEFT(SUBSTITUTE(C8109," ",""),3))&amp;"-"&amp;TEXT(B8109,"AAMMDD")&amp;"-1")</f>
        <v/>
      </c>
    </row>
    <row r="8110" spans="20:20" hidden="1">
      <c r="T8110" t="str">
        <f>IF(C8110="","",UPPER(LEFT(SUBSTITUTE(C8110," ",""),3))&amp;"-"&amp;TEXT(B8110,"AAMMDD")&amp;"-1")</f>
        <v/>
      </c>
    </row>
    <row r="8111" spans="20:20" hidden="1">
      <c r="T8111" t="str">
        <f>IF(C8111="","",UPPER(LEFT(SUBSTITUTE(C8111," ",""),3))&amp;"-"&amp;TEXT(B8111,"AAMMDD")&amp;"-1")</f>
        <v/>
      </c>
    </row>
    <row r="8112" spans="20:20" hidden="1">
      <c r="T8112" t="str">
        <f>IF(C8112="","",UPPER(LEFT(SUBSTITUTE(C8112," ",""),3))&amp;"-"&amp;TEXT(B8112,"AAMMDD")&amp;"-1")</f>
        <v/>
      </c>
    </row>
    <row r="8113" spans="20:20" hidden="1">
      <c r="T8113" t="str">
        <f>IF(C8113="","",UPPER(LEFT(SUBSTITUTE(C8113," ",""),3))&amp;"-"&amp;TEXT(B8113,"AAMMDD")&amp;"-1")</f>
        <v/>
      </c>
    </row>
    <row r="8114" spans="20:20" hidden="1">
      <c r="T8114" t="str">
        <f>IF(C8114="","",UPPER(LEFT(SUBSTITUTE(C8114," ",""),3))&amp;"-"&amp;TEXT(B8114,"AAMMDD")&amp;"-1")</f>
        <v/>
      </c>
    </row>
    <row r="8115" spans="20:20" hidden="1">
      <c r="T8115" t="str">
        <f>IF(C8115="","",UPPER(LEFT(SUBSTITUTE(C8115," ",""),3))&amp;"-"&amp;TEXT(B8115,"AAMMDD")&amp;"-1")</f>
        <v/>
      </c>
    </row>
    <row r="8116" spans="20:20" hidden="1">
      <c r="T8116" t="str">
        <f>IF(C8116="","",UPPER(LEFT(SUBSTITUTE(C8116," ",""),3))&amp;"-"&amp;TEXT(B8116,"AAMMDD")&amp;"-1")</f>
        <v/>
      </c>
    </row>
    <row r="8117" spans="20:20" hidden="1">
      <c r="T8117" t="str">
        <f>IF(C8117="","",UPPER(LEFT(SUBSTITUTE(C8117," ",""),3))&amp;"-"&amp;TEXT(B8117,"AAMMDD")&amp;"-1")</f>
        <v/>
      </c>
    </row>
    <row r="8118" spans="20:20" hidden="1">
      <c r="T8118" t="str">
        <f>IF(C8118="","",UPPER(LEFT(SUBSTITUTE(C8118," ",""),3))&amp;"-"&amp;TEXT(B8118,"AAMMDD")&amp;"-1")</f>
        <v/>
      </c>
    </row>
    <row r="8119" spans="20:20" hidden="1">
      <c r="T8119" t="str">
        <f>IF(C8119="","",UPPER(LEFT(SUBSTITUTE(C8119," ",""),3))&amp;"-"&amp;TEXT(B8119,"AAMMDD")&amp;"-1")</f>
        <v/>
      </c>
    </row>
    <row r="8120" spans="20:20" hidden="1">
      <c r="T8120" t="str">
        <f>IF(C8120="","",UPPER(LEFT(SUBSTITUTE(C8120," ",""),3))&amp;"-"&amp;TEXT(B8120,"AAMMDD")&amp;"-1")</f>
        <v/>
      </c>
    </row>
    <row r="8121" spans="20:20" hidden="1">
      <c r="T8121" t="str">
        <f>IF(C8121="","",UPPER(LEFT(SUBSTITUTE(C8121," ",""),3))&amp;"-"&amp;TEXT(B8121,"AAMMDD")&amp;"-1")</f>
        <v/>
      </c>
    </row>
    <row r="8122" spans="20:20" hidden="1">
      <c r="T8122" t="str">
        <f>IF(C8122="","",UPPER(LEFT(SUBSTITUTE(C8122," ",""),3))&amp;"-"&amp;TEXT(B8122,"AAMMDD")&amp;"-1")</f>
        <v/>
      </c>
    </row>
    <row r="8123" spans="20:20" hidden="1">
      <c r="T8123" t="str">
        <f>IF(C8123="","",UPPER(LEFT(SUBSTITUTE(C8123," ",""),3))&amp;"-"&amp;TEXT(B8123,"AAMMDD")&amp;"-1")</f>
        <v/>
      </c>
    </row>
    <row r="8124" spans="20:20" hidden="1">
      <c r="T8124" t="str">
        <f>IF(C8124="","",UPPER(LEFT(SUBSTITUTE(C8124," ",""),3))&amp;"-"&amp;TEXT(B8124,"AAMMDD")&amp;"-1")</f>
        <v/>
      </c>
    </row>
    <row r="8125" spans="20:20" hidden="1">
      <c r="T8125" t="str">
        <f>IF(C8125="","",UPPER(LEFT(SUBSTITUTE(C8125," ",""),3))&amp;"-"&amp;TEXT(B8125,"AAMMDD")&amp;"-1")</f>
        <v/>
      </c>
    </row>
    <row r="8126" spans="20:20" hidden="1">
      <c r="T8126" t="str">
        <f>IF(C8126="","",UPPER(LEFT(SUBSTITUTE(C8126," ",""),3))&amp;"-"&amp;TEXT(B8126,"AAMMDD")&amp;"-1")</f>
        <v/>
      </c>
    </row>
    <row r="8127" spans="20:20" hidden="1">
      <c r="T8127" t="str">
        <f>IF(C8127="","",UPPER(LEFT(SUBSTITUTE(C8127," ",""),3))&amp;"-"&amp;TEXT(B8127,"AAMMDD")&amp;"-1")</f>
        <v/>
      </c>
    </row>
    <row r="8128" spans="20:20" hidden="1">
      <c r="T8128" t="str">
        <f>IF(C8128="","",UPPER(LEFT(SUBSTITUTE(C8128," ",""),3))&amp;"-"&amp;TEXT(B8128,"AAMMDD")&amp;"-1")</f>
        <v/>
      </c>
    </row>
    <row r="8129" spans="20:20" hidden="1">
      <c r="T8129" t="str">
        <f>IF(C8129="","",UPPER(LEFT(SUBSTITUTE(C8129," ",""),3))&amp;"-"&amp;TEXT(B8129,"AAMMDD")&amp;"-1")</f>
        <v/>
      </c>
    </row>
    <row r="8130" spans="20:20" hidden="1">
      <c r="T8130" t="str">
        <f>IF(C8130="","",UPPER(LEFT(SUBSTITUTE(C8130," ",""),3))&amp;"-"&amp;TEXT(B8130,"AAMMDD")&amp;"-1")</f>
        <v/>
      </c>
    </row>
    <row r="8131" spans="20:20" hidden="1">
      <c r="T8131" t="str">
        <f>IF(C8131="","",UPPER(LEFT(SUBSTITUTE(C8131," ",""),3))&amp;"-"&amp;TEXT(B8131,"AAMMDD")&amp;"-1")</f>
        <v/>
      </c>
    </row>
    <row r="8132" spans="20:20" hidden="1">
      <c r="T8132" t="str">
        <f>IF(C8132="","",UPPER(LEFT(SUBSTITUTE(C8132," ",""),3))&amp;"-"&amp;TEXT(B8132,"AAMMDD")&amp;"-1")</f>
        <v/>
      </c>
    </row>
    <row r="8133" spans="20:20" hidden="1">
      <c r="T8133" t="str">
        <f>IF(C8133="","",UPPER(LEFT(SUBSTITUTE(C8133," ",""),3))&amp;"-"&amp;TEXT(B8133,"AAMMDD")&amp;"-1")</f>
        <v/>
      </c>
    </row>
    <row r="8134" spans="20:20" hidden="1">
      <c r="T8134" t="str">
        <f>IF(C8134="","",UPPER(LEFT(SUBSTITUTE(C8134," ",""),3))&amp;"-"&amp;TEXT(B8134,"AAMMDD")&amp;"-1")</f>
        <v/>
      </c>
    </row>
    <row r="8135" spans="20:20" hidden="1">
      <c r="T8135" t="str">
        <f>IF(C8135="","",UPPER(LEFT(SUBSTITUTE(C8135," ",""),3))&amp;"-"&amp;TEXT(B8135,"AAMMDD")&amp;"-1")</f>
        <v/>
      </c>
    </row>
    <row r="8136" spans="20:20" hidden="1">
      <c r="T8136" t="str">
        <f>IF(C8136="","",UPPER(LEFT(SUBSTITUTE(C8136," ",""),3))&amp;"-"&amp;TEXT(B8136,"AAMMDD")&amp;"-1")</f>
        <v/>
      </c>
    </row>
    <row r="8137" spans="20:20" hidden="1">
      <c r="T8137" t="str">
        <f>IF(C8137="","",UPPER(LEFT(SUBSTITUTE(C8137," ",""),3))&amp;"-"&amp;TEXT(B8137,"AAMMDD")&amp;"-1")</f>
        <v/>
      </c>
    </row>
    <row r="8138" spans="20:20" hidden="1">
      <c r="T8138" t="str">
        <f>IF(C8138="","",UPPER(LEFT(SUBSTITUTE(C8138," ",""),3))&amp;"-"&amp;TEXT(B8138,"AAMMDD")&amp;"-1")</f>
        <v/>
      </c>
    </row>
    <row r="8139" spans="20:20" hidden="1">
      <c r="T8139" t="str">
        <f>IF(C8139="","",UPPER(LEFT(SUBSTITUTE(C8139," ",""),3))&amp;"-"&amp;TEXT(B8139,"AAMMDD")&amp;"-1")</f>
        <v/>
      </c>
    </row>
    <row r="8140" spans="20:20" hidden="1">
      <c r="T8140" t="str">
        <f>IF(C8140="","",UPPER(LEFT(SUBSTITUTE(C8140," ",""),3))&amp;"-"&amp;TEXT(B8140,"AAMMDD")&amp;"-1")</f>
        <v/>
      </c>
    </row>
    <row r="8141" spans="20:20" hidden="1">
      <c r="T8141" t="str">
        <f>IF(C8141="","",UPPER(LEFT(SUBSTITUTE(C8141," ",""),3))&amp;"-"&amp;TEXT(B8141,"AAMMDD")&amp;"-1")</f>
        <v/>
      </c>
    </row>
    <row r="8142" spans="20:20" hidden="1">
      <c r="T8142" t="str">
        <f>IF(C8142="","",UPPER(LEFT(SUBSTITUTE(C8142," ",""),3))&amp;"-"&amp;TEXT(B8142,"AAMMDD")&amp;"-1")</f>
        <v/>
      </c>
    </row>
    <row r="8143" spans="20:20" hidden="1">
      <c r="T8143" t="str">
        <f>IF(C8143="","",UPPER(LEFT(SUBSTITUTE(C8143," ",""),3))&amp;"-"&amp;TEXT(B8143,"AAMMDD")&amp;"-1")</f>
        <v/>
      </c>
    </row>
    <row r="8144" spans="20:20" hidden="1">
      <c r="T8144" t="str">
        <f>IF(C8144="","",UPPER(LEFT(SUBSTITUTE(C8144," ",""),3))&amp;"-"&amp;TEXT(B8144,"AAMMDD")&amp;"-1")</f>
        <v/>
      </c>
    </row>
    <row r="8145" spans="20:20" hidden="1">
      <c r="T8145" t="str">
        <f>IF(C8145="","",UPPER(LEFT(SUBSTITUTE(C8145," ",""),3))&amp;"-"&amp;TEXT(B8145,"AAMMDD")&amp;"-1")</f>
        <v/>
      </c>
    </row>
    <row r="8146" spans="20:20" hidden="1">
      <c r="T8146" t="str">
        <f>IF(C8146="","",UPPER(LEFT(SUBSTITUTE(C8146," ",""),3))&amp;"-"&amp;TEXT(B8146,"AAMMDD")&amp;"-1")</f>
        <v/>
      </c>
    </row>
    <row r="8147" spans="20:20" hidden="1">
      <c r="T8147" t="str">
        <f>IF(C8147="","",UPPER(LEFT(SUBSTITUTE(C8147," ",""),3))&amp;"-"&amp;TEXT(B8147,"AAMMDD")&amp;"-1")</f>
        <v/>
      </c>
    </row>
    <row r="8148" spans="20:20" hidden="1">
      <c r="T8148" t="str">
        <f>IF(C8148="","",UPPER(LEFT(SUBSTITUTE(C8148," ",""),3))&amp;"-"&amp;TEXT(B8148,"AAMMDD")&amp;"-1")</f>
        <v/>
      </c>
    </row>
    <row r="8149" spans="20:20" hidden="1">
      <c r="T8149" t="str">
        <f>IF(C8149="","",UPPER(LEFT(SUBSTITUTE(C8149," ",""),3))&amp;"-"&amp;TEXT(B8149,"AAMMDD")&amp;"-1")</f>
        <v/>
      </c>
    </row>
    <row r="8150" spans="20:20" hidden="1">
      <c r="T8150" t="str">
        <f>IF(C8150="","",UPPER(LEFT(SUBSTITUTE(C8150," ",""),3))&amp;"-"&amp;TEXT(B8150,"AAMMDD")&amp;"-1")</f>
        <v/>
      </c>
    </row>
    <row r="8151" spans="20:20" hidden="1">
      <c r="T8151" t="str">
        <f>IF(C8151="","",UPPER(LEFT(SUBSTITUTE(C8151," ",""),3))&amp;"-"&amp;TEXT(B8151,"AAMMDD")&amp;"-1")</f>
        <v/>
      </c>
    </row>
    <row r="8152" spans="20:20" hidden="1">
      <c r="T8152" t="str">
        <f>IF(C8152="","",UPPER(LEFT(SUBSTITUTE(C8152," ",""),3))&amp;"-"&amp;TEXT(B8152,"AAMMDD")&amp;"-1")</f>
        <v/>
      </c>
    </row>
    <row r="8153" spans="20:20" hidden="1">
      <c r="T8153" t="str">
        <f>IF(C8153="","",UPPER(LEFT(SUBSTITUTE(C8153," ",""),3))&amp;"-"&amp;TEXT(B8153,"AAMMDD")&amp;"-1")</f>
        <v/>
      </c>
    </row>
    <row r="8154" spans="20:20" hidden="1">
      <c r="T8154" t="str">
        <f>IF(C8154="","",UPPER(LEFT(SUBSTITUTE(C8154," ",""),3))&amp;"-"&amp;TEXT(B8154,"AAMMDD")&amp;"-1")</f>
        <v/>
      </c>
    </row>
    <row r="8155" spans="20:20" hidden="1">
      <c r="T8155" t="str">
        <f>IF(C8155="","",UPPER(LEFT(SUBSTITUTE(C8155," ",""),3))&amp;"-"&amp;TEXT(B8155,"AAMMDD")&amp;"-1")</f>
        <v/>
      </c>
    </row>
    <row r="8156" spans="20:20" hidden="1">
      <c r="T8156" t="str">
        <f>IF(C8156="","",UPPER(LEFT(SUBSTITUTE(C8156," ",""),3))&amp;"-"&amp;TEXT(B8156,"AAMMDD")&amp;"-1")</f>
        <v/>
      </c>
    </row>
    <row r="8157" spans="20:20" hidden="1">
      <c r="T8157" t="str">
        <f>IF(C8157="","",UPPER(LEFT(SUBSTITUTE(C8157," ",""),3))&amp;"-"&amp;TEXT(B8157,"AAMMDD")&amp;"-1")</f>
        <v/>
      </c>
    </row>
    <row r="8158" spans="20:20" hidden="1">
      <c r="T8158" t="str">
        <f>IF(C8158="","",UPPER(LEFT(SUBSTITUTE(C8158," ",""),3))&amp;"-"&amp;TEXT(B8158,"AAMMDD")&amp;"-1")</f>
        <v/>
      </c>
    </row>
    <row r="8159" spans="20:20" hidden="1">
      <c r="T8159" t="str">
        <f>IF(C8159="","",UPPER(LEFT(SUBSTITUTE(C8159," ",""),3))&amp;"-"&amp;TEXT(B8159,"AAMMDD")&amp;"-1")</f>
        <v/>
      </c>
    </row>
    <row r="8160" spans="20:20" hidden="1">
      <c r="T8160" t="str">
        <f>IF(C8160="","",UPPER(LEFT(SUBSTITUTE(C8160," ",""),3))&amp;"-"&amp;TEXT(B8160,"AAMMDD")&amp;"-1")</f>
        <v/>
      </c>
    </row>
    <row r="8161" spans="20:20" hidden="1">
      <c r="T8161" t="str">
        <f>IF(C8161="","",UPPER(LEFT(SUBSTITUTE(C8161," ",""),3))&amp;"-"&amp;TEXT(B8161,"AAMMDD")&amp;"-1")</f>
        <v/>
      </c>
    </row>
    <row r="8162" spans="20:20" hidden="1">
      <c r="T8162" t="str">
        <f>IF(C8162="","",UPPER(LEFT(SUBSTITUTE(C8162," ",""),3))&amp;"-"&amp;TEXT(B8162,"AAMMDD")&amp;"-1")</f>
        <v/>
      </c>
    </row>
    <row r="8163" spans="20:20" hidden="1">
      <c r="T8163" t="str">
        <f>IF(C8163="","",UPPER(LEFT(SUBSTITUTE(C8163," ",""),3))&amp;"-"&amp;TEXT(B8163,"AAMMDD")&amp;"-1")</f>
        <v/>
      </c>
    </row>
    <row r="8164" spans="20:20" hidden="1">
      <c r="T8164" t="str">
        <f>IF(C8164="","",UPPER(LEFT(SUBSTITUTE(C8164," ",""),3))&amp;"-"&amp;TEXT(B8164,"AAMMDD")&amp;"-1")</f>
        <v/>
      </c>
    </row>
    <row r="8165" spans="20:20" hidden="1">
      <c r="T8165" t="str">
        <f>IF(C8165="","",UPPER(LEFT(SUBSTITUTE(C8165," ",""),3))&amp;"-"&amp;TEXT(B8165,"AAMMDD")&amp;"-1")</f>
        <v/>
      </c>
    </row>
    <row r="8166" spans="20:20" hidden="1">
      <c r="T8166" t="str">
        <f>IF(C8166="","",UPPER(LEFT(SUBSTITUTE(C8166," ",""),3))&amp;"-"&amp;TEXT(B8166,"AAMMDD")&amp;"-1")</f>
        <v/>
      </c>
    </row>
    <row r="8167" spans="20:20" hidden="1">
      <c r="T8167" t="str">
        <f>IF(C8167="","",UPPER(LEFT(SUBSTITUTE(C8167," ",""),3))&amp;"-"&amp;TEXT(B8167,"AAMMDD")&amp;"-1")</f>
        <v/>
      </c>
    </row>
    <row r="8168" spans="20:20" hidden="1">
      <c r="T8168" t="str">
        <f>IF(C8168="","",UPPER(LEFT(SUBSTITUTE(C8168," ",""),3))&amp;"-"&amp;TEXT(B8168,"AAMMDD")&amp;"-1")</f>
        <v/>
      </c>
    </row>
    <row r="8169" spans="20:20" hidden="1">
      <c r="T8169" t="str">
        <f>IF(C8169="","",UPPER(LEFT(SUBSTITUTE(C8169," ",""),3))&amp;"-"&amp;TEXT(B8169,"AAMMDD")&amp;"-1")</f>
        <v/>
      </c>
    </row>
    <row r="8170" spans="20:20" hidden="1">
      <c r="T8170" t="str">
        <f>IF(C8170="","",UPPER(LEFT(SUBSTITUTE(C8170," ",""),3))&amp;"-"&amp;TEXT(B8170,"AAMMDD")&amp;"-1")</f>
        <v/>
      </c>
    </row>
    <row r="8171" spans="20:20" hidden="1">
      <c r="T8171" t="str">
        <f>IF(C8171="","",UPPER(LEFT(SUBSTITUTE(C8171," ",""),3))&amp;"-"&amp;TEXT(B8171,"AAMMDD")&amp;"-1")</f>
        <v/>
      </c>
    </row>
    <row r="8172" spans="20:20" hidden="1">
      <c r="T8172" t="str">
        <f>IF(C8172="","",UPPER(LEFT(SUBSTITUTE(C8172," ",""),3))&amp;"-"&amp;TEXT(B8172,"AAMMDD")&amp;"-1")</f>
        <v/>
      </c>
    </row>
    <row r="8173" spans="20:20" hidden="1">
      <c r="T8173" t="str">
        <f>IF(C8173="","",UPPER(LEFT(SUBSTITUTE(C8173," ",""),3))&amp;"-"&amp;TEXT(B8173,"AAMMDD")&amp;"-1")</f>
        <v/>
      </c>
    </row>
    <row r="8174" spans="20:20" hidden="1">
      <c r="T8174" t="str">
        <f>IF(C8174="","",UPPER(LEFT(SUBSTITUTE(C8174," ",""),3))&amp;"-"&amp;TEXT(B8174,"AAMMDD")&amp;"-1")</f>
        <v/>
      </c>
    </row>
    <row r="8175" spans="20:20" hidden="1">
      <c r="T8175" t="str">
        <f>IF(C8175="","",UPPER(LEFT(SUBSTITUTE(C8175," ",""),3))&amp;"-"&amp;TEXT(B8175,"AAMMDD")&amp;"-1")</f>
        <v/>
      </c>
    </row>
    <row r="8176" spans="20:20" hidden="1">
      <c r="T8176" t="str">
        <f>IF(C8176="","",UPPER(LEFT(SUBSTITUTE(C8176," ",""),3))&amp;"-"&amp;TEXT(B8176,"AAMMDD")&amp;"-1")</f>
        <v/>
      </c>
    </row>
    <row r="8177" spans="20:20" hidden="1">
      <c r="T8177" t="str">
        <f>IF(C8177="","",UPPER(LEFT(SUBSTITUTE(C8177," ",""),3))&amp;"-"&amp;TEXT(B8177,"AAMMDD")&amp;"-1")</f>
        <v/>
      </c>
    </row>
    <row r="8178" spans="20:20" hidden="1">
      <c r="T8178" t="str">
        <f>IF(C8178="","",UPPER(LEFT(SUBSTITUTE(C8178," ",""),3))&amp;"-"&amp;TEXT(B8178,"AAMMDD")&amp;"-1")</f>
        <v/>
      </c>
    </row>
    <row r="8179" spans="20:20" hidden="1">
      <c r="T8179" t="str">
        <f>IF(C8179="","",UPPER(LEFT(SUBSTITUTE(C8179," ",""),3))&amp;"-"&amp;TEXT(B8179,"AAMMDD")&amp;"-1")</f>
        <v/>
      </c>
    </row>
    <row r="8180" spans="20:20" hidden="1">
      <c r="T8180" t="str">
        <f>IF(C8180="","",UPPER(LEFT(SUBSTITUTE(C8180," ",""),3))&amp;"-"&amp;TEXT(B8180,"AAMMDD")&amp;"-1")</f>
        <v/>
      </c>
    </row>
    <row r="8181" spans="20:20" hidden="1">
      <c r="T8181" t="str">
        <f>IF(C8181="","",UPPER(LEFT(SUBSTITUTE(C8181," ",""),3))&amp;"-"&amp;TEXT(B8181,"AAMMDD")&amp;"-1")</f>
        <v/>
      </c>
    </row>
    <row r="8182" spans="20:20" hidden="1">
      <c r="T8182" t="str">
        <f>IF(C8182="","",UPPER(LEFT(SUBSTITUTE(C8182," ",""),3))&amp;"-"&amp;TEXT(B8182,"AAMMDD")&amp;"-1")</f>
        <v/>
      </c>
    </row>
    <row r="8183" spans="20:20" hidden="1">
      <c r="T8183" t="str">
        <f>IF(C8183="","",UPPER(LEFT(SUBSTITUTE(C8183," ",""),3))&amp;"-"&amp;TEXT(B8183,"AAMMDD")&amp;"-1")</f>
        <v/>
      </c>
    </row>
    <row r="8184" spans="20:20" hidden="1">
      <c r="T8184" t="str">
        <f>IF(C8184="","",UPPER(LEFT(SUBSTITUTE(C8184," ",""),3))&amp;"-"&amp;TEXT(B8184,"AAMMDD")&amp;"-1")</f>
        <v/>
      </c>
    </row>
    <row r="8185" spans="20:20" hidden="1">
      <c r="T8185" t="str">
        <f>IF(C8185="","",UPPER(LEFT(SUBSTITUTE(C8185," ",""),3))&amp;"-"&amp;TEXT(B8185,"AAMMDD")&amp;"-1")</f>
        <v/>
      </c>
    </row>
    <row r="8186" spans="20:20" hidden="1">
      <c r="T8186" t="str">
        <f>IF(C8186="","",UPPER(LEFT(SUBSTITUTE(C8186," ",""),3))&amp;"-"&amp;TEXT(B8186,"AAMMDD")&amp;"-1")</f>
        <v/>
      </c>
    </row>
    <row r="8187" spans="20:20" hidden="1">
      <c r="T8187" t="str">
        <f>IF(C8187="","",UPPER(LEFT(SUBSTITUTE(C8187," ",""),3))&amp;"-"&amp;TEXT(B8187,"AAMMDD")&amp;"-1")</f>
        <v/>
      </c>
    </row>
    <row r="8188" spans="20:20" hidden="1">
      <c r="T8188" t="str">
        <f>IF(C8188="","",UPPER(LEFT(SUBSTITUTE(C8188," ",""),3))&amp;"-"&amp;TEXT(B8188,"AAMMDD")&amp;"-1")</f>
        <v/>
      </c>
    </row>
    <row r="8189" spans="20:20" hidden="1">
      <c r="T8189" t="str">
        <f>IF(C8189="","",UPPER(LEFT(SUBSTITUTE(C8189," ",""),3))&amp;"-"&amp;TEXT(B8189,"AAMMDD")&amp;"-1")</f>
        <v/>
      </c>
    </row>
    <row r="8190" spans="20:20" hidden="1">
      <c r="T8190" t="str">
        <f>IF(C8190="","",UPPER(LEFT(SUBSTITUTE(C8190," ",""),3))&amp;"-"&amp;TEXT(B8190,"AAMMDD")&amp;"-1")</f>
        <v/>
      </c>
    </row>
    <row r="8191" spans="20:20" hidden="1">
      <c r="T8191" t="str">
        <f>IF(C8191="","",UPPER(LEFT(SUBSTITUTE(C8191," ",""),3))&amp;"-"&amp;TEXT(B8191,"AAMMDD")&amp;"-1")</f>
        <v/>
      </c>
    </row>
    <row r="8192" spans="20:20" hidden="1">
      <c r="T8192" t="str">
        <f>IF(C8192="","",UPPER(LEFT(SUBSTITUTE(C8192," ",""),3))&amp;"-"&amp;TEXT(B8192,"AAMMDD")&amp;"-1")</f>
        <v/>
      </c>
    </row>
    <row r="8193" spans="20:20" hidden="1">
      <c r="T8193" t="str">
        <f>IF(C8193="","",UPPER(LEFT(SUBSTITUTE(C8193," ",""),3))&amp;"-"&amp;TEXT(B8193,"AAMMDD")&amp;"-1")</f>
        <v/>
      </c>
    </row>
    <row r="8194" spans="20:20" hidden="1">
      <c r="T8194" t="str">
        <f>IF(C8194="","",UPPER(LEFT(SUBSTITUTE(C8194," ",""),3))&amp;"-"&amp;TEXT(B8194,"AAMMDD")&amp;"-1")</f>
        <v/>
      </c>
    </row>
    <row r="8195" spans="20:20" hidden="1">
      <c r="T8195" t="str">
        <f>IF(C8195="","",UPPER(LEFT(SUBSTITUTE(C8195," ",""),3))&amp;"-"&amp;TEXT(B8195,"AAMMDD")&amp;"-1")</f>
        <v/>
      </c>
    </row>
    <row r="8196" spans="20:20" hidden="1">
      <c r="T8196" t="str">
        <f>IF(C8196="","",UPPER(LEFT(SUBSTITUTE(C8196," ",""),3))&amp;"-"&amp;TEXT(B8196,"AAMMDD")&amp;"-1")</f>
        <v/>
      </c>
    </row>
    <row r="8197" spans="20:20" hidden="1">
      <c r="T8197" t="str">
        <f>IF(C8197="","",UPPER(LEFT(SUBSTITUTE(C8197," ",""),3))&amp;"-"&amp;TEXT(B8197,"AAMMDD")&amp;"-1")</f>
        <v/>
      </c>
    </row>
    <row r="8198" spans="20:20" hidden="1">
      <c r="T8198" t="str">
        <f>IF(C8198="","",UPPER(LEFT(SUBSTITUTE(C8198," ",""),3))&amp;"-"&amp;TEXT(B8198,"AAMMDD")&amp;"-1")</f>
        <v/>
      </c>
    </row>
    <row r="8199" spans="20:20" hidden="1">
      <c r="T8199" t="str">
        <f>IF(C8199="","",UPPER(LEFT(SUBSTITUTE(C8199," ",""),3))&amp;"-"&amp;TEXT(B8199,"AAMMDD")&amp;"-1")</f>
        <v/>
      </c>
    </row>
    <row r="8200" spans="20:20" hidden="1">
      <c r="T8200" t="str">
        <f>IF(C8200="","",UPPER(LEFT(SUBSTITUTE(C8200," ",""),3))&amp;"-"&amp;TEXT(B8200,"AAMMDD")&amp;"-1")</f>
        <v/>
      </c>
    </row>
    <row r="8201" spans="20:20" hidden="1">
      <c r="T8201" t="str">
        <f>IF(C8201="","",UPPER(LEFT(SUBSTITUTE(C8201," ",""),3))&amp;"-"&amp;TEXT(B8201,"AAMMDD")&amp;"-1")</f>
        <v/>
      </c>
    </row>
    <row r="8202" spans="20:20" hidden="1">
      <c r="T8202" t="str">
        <f>IF(C8202="","",UPPER(LEFT(SUBSTITUTE(C8202," ",""),3))&amp;"-"&amp;TEXT(B8202,"AAMMDD")&amp;"-1")</f>
        <v/>
      </c>
    </row>
    <row r="8203" spans="20:20" hidden="1">
      <c r="T8203" t="str">
        <f>IF(C8203="","",UPPER(LEFT(SUBSTITUTE(C8203," ",""),3))&amp;"-"&amp;TEXT(B8203,"AAMMDD")&amp;"-1")</f>
        <v/>
      </c>
    </row>
    <row r="8204" spans="20:20" hidden="1">
      <c r="T8204" t="str">
        <f>IF(C8204="","",UPPER(LEFT(SUBSTITUTE(C8204," ",""),3))&amp;"-"&amp;TEXT(B8204,"AAMMDD")&amp;"-1")</f>
        <v/>
      </c>
    </row>
    <row r="8205" spans="20:20" hidden="1">
      <c r="T8205" t="str">
        <f>IF(C8205="","",UPPER(LEFT(SUBSTITUTE(C8205," ",""),3))&amp;"-"&amp;TEXT(B8205,"AAMMDD")&amp;"-1")</f>
        <v/>
      </c>
    </row>
    <row r="8206" spans="20:20" hidden="1">
      <c r="T8206" t="str">
        <f>IF(C8206="","",UPPER(LEFT(SUBSTITUTE(C8206," ",""),3))&amp;"-"&amp;TEXT(B8206,"AAMMDD")&amp;"-1")</f>
        <v/>
      </c>
    </row>
    <row r="8207" spans="20:20" hidden="1">
      <c r="T8207" t="str">
        <f>IF(C8207="","",UPPER(LEFT(SUBSTITUTE(C8207," ",""),3))&amp;"-"&amp;TEXT(B8207,"AAMMDD")&amp;"-1")</f>
        <v/>
      </c>
    </row>
    <row r="8208" spans="20:20" hidden="1">
      <c r="T8208" t="str">
        <f>IF(C8208="","",UPPER(LEFT(SUBSTITUTE(C8208," ",""),3))&amp;"-"&amp;TEXT(B8208,"AAMMDD")&amp;"-1")</f>
        <v/>
      </c>
    </row>
    <row r="8209" spans="20:20" hidden="1">
      <c r="T8209" t="str">
        <f>IF(C8209="","",UPPER(LEFT(SUBSTITUTE(C8209," ",""),3))&amp;"-"&amp;TEXT(B8209,"AAMMDD")&amp;"-1")</f>
        <v/>
      </c>
    </row>
    <row r="8210" spans="20:20" hidden="1">
      <c r="T8210" t="str">
        <f>IF(C8210="","",UPPER(LEFT(SUBSTITUTE(C8210," ",""),3))&amp;"-"&amp;TEXT(B8210,"AAMMDD")&amp;"-1")</f>
        <v/>
      </c>
    </row>
    <row r="8211" spans="20:20" hidden="1">
      <c r="T8211" t="str">
        <f>IF(C8211="","",UPPER(LEFT(SUBSTITUTE(C8211," ",""),3))&amp;"-"&amp;TEXT(B8211,"AAMMDD")&amp;"-1")</f>
        <v/>
      </c>
    </row>
    <row r="8212" spans="20:20" hidden="1">
      <c r="T8212" t="str">
        <f>IF(C8212="","",UPPER(LEFT(SUBSTITUTE(C8212," ",""),3))&amp;"-"&amp;TEXT(B8212,"AAMMDD")&amp;"-1")</f>
        <v/>
      </c>
    </row>
    <row r="8213" spans="20:20" hidden="1">
      <c r="T8213" t="str">
        <f>IF(C8213="","",UPPER(LEFT(SUBSTITUTE(C8213," ",""),3))&amp;"-"&amp;TEXT(B8213,"AAMMDD")&amp;"-1")</f>
        <v/>
      </c>
    </row>
    <row r="8214" spans="20:20" hidden="1">
      <c r="T8214" t="str">
        <f>IF(C8214="","",UPPER(LEFT(SUBSTITUTE(C8214," ",""),3))&amp;"-"&amp;TEXT(B8214,"AAMMDD")&amp;"-1")</f>
        <v/>
      </c>
    </row>
    <row r="8215" spans="20:20" hidden="1">
      <c r="T8215" t="str">
        <f>IF(C8215="","",UPPER(LEFT(SUBSTITUTE(C8215," ",""),3))&amp;"-"&amp;TEXT(B8215,"AAMMDD")&amp;"-1")</f>
        <v/>
      </c>
    </row>
    <row r="8216" spans="20:20" hidden="1">
      <c r="T8216" t="str">
        <f>IF(C8216="","",UPPER(LEFT(SUBSTITUTE(C8216," ",""),3))&amp;"-"&amp;TEXT(B8216,"AAMMDD")&amp;"-1")</f>
        <v/>
      </c>
    </row>
    <row r="8217" spans="20:20" hidden="1">
      <c r="T8217" t="str">
        <f>IF(C8217="","",UPPER(LEFT(SUBSTITUTE(C8217," ",""),3))&amp;"-"&amp;TEXT(B8217,"AAMMDD")&amp;"-1")</f>
        <v/>
      </c>
    </row>
    <row r="8218" spans="20:20" hidden="1">
      <c r="T8218" t="str">
        <f>IF(C8218="","",UPPER(LEFT(SUBSTITUTE(C8218," ",""),3))&amp;"-"&amp;TEXT(B8218,"AAMMDD")&amp;"-1")</f>
        <v/>
      </c>
    </row>
    <row r="8219" spans="20:20" hidden="1">
      <c r="T8219" t="str">
        <f>IF(C8219="","",UPPER(LEFT(SUBSTITUTE(C8219," ",""),3))&amp;"-"&amp;TEXT(B8219,"AAMMDD")&amp;"-1")</f>
        <v/>
      </c>
    </row>
    <row r="8220" spans="20:20" hidden="1">
      <c r="T8220" t="str">
        <f>IF(C8220="","",UPPER(LEFT(SUBSTITUTE(C8220," ",""),3))&amp;"-"&amp;TEXT(B8220,"AAMMDD")&amp;"-1")</f>
        <v/>
      </c>
    </row>
    <row r="8221" spans="20:20" hidden="1">
      <c r="T8221" t="str">
        <f>IF(C8221="","",UPPER(LEFT(SUBSTITUTE(C8221," ",""),3))&amp;"-"&amp;TEXT(B8221,"AAMMDD")&amp;"-1")</f>
        <v/>
      </c>
    </row>
    <row r="8222" spans="20:20" hidden="1">
      <c r="T8222" t="str">
        <f>IF(C8222="","",UPPER(LEFT(SUBSTITUTE(C8222," ",""),3))&amp;"-"&amp;TEXT(B8222,"AAMMDD")&amp;"-1")</f>
        <v/>
      </c>
    </row>
    <row r="8223" spans="20:20" hidden="1">
      <c r="T8223" t="str">
        <f>IF(C8223="","",UPPER(LEFT(SUBSTITUTE(C8223," ",""),3))&amp;"-"&amp;TEXT(B8223,"AAMMDD")&amp;"-1")</f>
        <v/>
      </c>
    </row>
    <row r="8224" spans="20:20" hidden="1">
      <c r="T8224" t="str">
        <f>IF(C8224="","",UPPER(LEFT(SUBSTITUTE(C8224," ",""),3))&amp;"-"&amp;TEXT(B8224,"AAMMDD")&amp;"-1")</f>
        <v/>
      </c>
    </row>
    <row r="8225" spans="20:20" hidden="1">
      <c r="T8225" t="str">
        <f>IF(C8225="","",UPPER(LEFT(SUBSTITUTE(C8225," ",""),3))&amp;"-"&amp;TEXT(B8225,"AAMMDD")&amp;"-1")</f>
        <v/>
      </c>
    </row>
    <row r="8226" spans="20:20" hidden="1">
      <c r="T8226" t="str">
        <f>IF(C8226="","",UPPER(LEFT(SUBSTITUTE(C8226," ",""),3))&amp;"-"&amp;TEXT(B8226,"AAMMDD")&amp;"-1")</f>
        <v/>
      </c>
    </row>
    <row r="8227" spans="20:20" hidden="1">
      <c r="T8227" t="str">
        <f>IF(C8227="","",UPPER(LEFT(SUBSTITUTE(C8227," ",""),3))&amp;"-"&amp;TEXT(B8227,"AAMMDD")&amp;"-1")</f>
        <v/>
      </c>
    </row>
    <row r="8228" spans="20:20" hidden="1">
      <c r="T8228" t="str">
        <f>IF(C8228="","",UPPER(LEFT(SUBSTITUTE(C8228," ",""),3))&amp;"-"&amp;TEXT(B8228,"AAMMDD")&amp;"-1")</f>
        <v/>
      </c>
    </row>
    <row r="8229" spans="20:20" hidden="1">
      <c r="T8229" t="str">
        <f>IF(C8229="","",UPPER(LEFT(SUBSTITUTE(C8229," ",""),3))&amp;"-"&amp;TEXT(B8229,"AAMMDD")&amp;"-1")</f>
        <v/>
      </c>
    </row>
    <row r="8230" spans="20:20" hidden="1">
      <c r="T8230" t="str">
        <f>IF(C8230="","",UPPER(LEFT(SUBSTITUTE(C8230," ",""),3))&amp;"-"&amp;TEXT(B8230,"AAMMDD")&amp;"-1")</f>
        <v/>
      </c>
    </row>
    <row r="8231" spans="20:20" hidden="1">
      <c r="T8231" t="str">
        <f>IF(C8231="","",UPPER(LEFT(SUBSTITUTE(C8231," ",""),3))&amp;"-"&amp;TEXT(B8231,"AAMMDD")&amp;"-1")</f>
        <v/>
      </c>
    </row>
    <row r="8232" spans="20:20" hidden="1">
      <c r="T8232" t="str">
        <f>IF(C8232="","",UPPER(LEFT(SUBSTITUTE(C8232," ",""),3))&amp;"-"&amp;TEXT(B8232,"AAMMDD")&amp;"-1")</f>
        <v/>
      </c>
    </row>
    <row r="8233" spans="20:20" hidden="1">
      <c r="T8233" t="str">
        <f>IF(C8233="","",UPPER(LEFT(SUBSTITUTE(C8233," ",""),3))&amp;"-"&amp;TEXT(B8233,"AAMMDD")&amp;"-1")</f>
        <v/>
      </c>
    </row>
    <row r="8234" spans="20:20" hidden="1">
      <c r="T8234" t="str">
        <f>IF(C8234="","",UPPER(LEFT(SUBSTITUTE(C8234," ",""),3))&amp;"-"&amp;TEXT(B8234,"AAMMDD")&amp;"-1")</f>
        <v/>
      </c>
    </row>
    <row r="8235" spans="20:20" hidden="1">
      <c r="T8235" t="str">
        <f>IF(C8235="","",UPPER(LEFT(SUBSTITUTE(C8235," ",""),3))&amp;"-"&amp;TEXT(B8235,"AAMMDD")&amp;"-1")</f>
        <v/>
      </c>
    </row>
    <row r="8236" spans="20:20" hidden="1">
      <c r="T8236" t="str">
        <f>IF(C8236="","",UPPER(LEFT(SUBSTITUTE(C8236," ",""),3))&amp;"-"&amp;TEXT(B8236,"AAMMDD")&amp;"-1")</f>
        <v/>
      </c>
    </row>
    <row r="8237" spans="20:20" hidden="1">
      <c r="T8237" t="str">
        <f>IF(C8237="","",UPPER(LEFT(SUBSTITUTE(C8237," ",""),3))&amp;"-"&amp;TEXT(B8237,"AAMMDD")&amp;"-1")</f>
        <v/>
      </c>
    </row>
    <row r="8238" spans="20:20" hidden="1">
      <c r="T8238" t="str">
        <f>IF(C8238="","",UPPER(LEFT(SUBSTITUTE(C8238," ",""),3))&amp;"-"&amp;TEXT(B8238,"AAMMDD")&amp;"-1")</f>
        <v/>
      </c>
    </row>
    <row r="8239" spans="20:20" hidden="1">
      <c r="T8239" t="str">
        <f>IF(C8239="","",UPPER(LEFT(SUBSTITUTE(C8239," ",""),3))&amp;"-"&amp;TEXT(B8239,"AAMMDD")&amp;"-1")</f>
        <v/>
      </c>
    </row>
    <row r="8240" spans="20:20" hidden="1">
      <c r="T8240" t="str">
        <f>IF(C8240="","",UPPER(LEFT(SUBSTITUTE(C8240," ",""),3))&amp;"-"&amp;TEXT(B8240,"AAMMDD")&amp;"-1")</f>
        <v/>
      </c>
    </row>
    <row r="8241" spans="20:20" hidden="1">
      <c r="T8241" t="str">
        <f>IF(C8241="","",UPPER(LEFT(SUBSTITUTE(C8241," ",""),3))&amp;"-"&amp;TEXT(B8241,"AAMMDD")&amp;"-1")</f>
        <v/>
      </c>
    </row>
    <row r="8242" spans="20:20" hidden="1">
      <c r="T8242" t="str">
        <f>IF(C8242="","",UPPER(LEFT(SUBSTITUTE(C8242," ",""),3))&amp;"-"&amp;TEXT(B8242,"AAMMDD")&amp;"-1")</f>
        <v/>
      </c>
    </row>
    <row r="8243" spans="20:20" hidden="1">
      <c r="T8243" t="str">
        <f>IF(C8243="","",UPPER(LEFT(SUBSTITUTE(C8243," ",""),3))&amp;"-"&amp;TEXT(B8243,"AAMMDD")&amp;"-1")</f>
        <v/>
      </c>
    </row>
    <row r="8244" spans="20:20" hidden="1">
      <c r="T8244" t="str">
        <f>IF(C8244="","",UPPER(LEFT(SUBSTITUTE(C8244," ",""),3))&amp;"-"&amp;TEXT(B8244,"AAMMDD")&amp;"-1")</f>
        <v/>
      </c>
    </row>
    <row r="8245" spans="20:20" hidden="1">
      <c r="T8245" t="str">
        <f>IF(C8245="","",UPPER(LEFT(SUBSTITUTE(C8245," ",""),3))&amp;"-"&amp;TEXT(B8245,"AAMMDD")&amp;"-1")</f>
        <v/>
      </c>
    </row>
    <row r="8246" spans="20:20" hidden="1">
      <c r="T8246" t="str">
        <f>IF(C8246="","",UPPER(LEFT(SUBSTITUTE(C8246," ",""),3))&amp;"-"&amp;TEXT(B8246,"AAMMDD")&amp;"-1")</f>
        <v/>
      </c>
    </row>
    <row r="8247" spans="20:20" hidden="1">
      <c r="T8247" t="str">
        <f>IF(C8247="","",UPPER(LEFT(SUBSTITUTE(C8247," ",""),3))&amp;"-"&amp;TEXT(B8247,"AAMMDD")&amp;"-1")</f>
        <v/>
      </c>
    </row>
    <row r="8248" spans="20:20" hidden="1">
      <c r="T8248" t="str">
        <f>IF(C8248="","",UPPER(LEFT(SUBSTITUTE(C8248," ",""),3))&amp;"-"&amp;TEXT(B8248,"AAMMDD")&amp;"-1")</f>
        <v/>
      </c>
    </row>
    <row r="8249" spans="20:20" hidden="1">
      <c r="T8249" t="str">
        <f>IF(C8249="","",UPPER(LEFT(SUBSTITUTE(C8249," ",""),3))&amp;"-"&amp;TEXT(B8249,"AAMMDD")&amp;"-1")</f>
        <v/>
      </c>
    </row>
    <row r="8250" spans="20:20" hidden="1">
      <c r="T8250" t="str">
        <f>IF(C8250="","",UPPER(LEFT(SUBSTITUTE(C8250," ",""),3))&amp;"-"&amp;TEXT(B8250,"AAMMDD")&amp;"-1")</f>
        <v/>
      </c>
    </row>
    <row r="8251" spans="20:20" hidden="1">
      <c r="T8251" t="str">
        <f>IF(C8251="","",UPPER(LEFT(SUBSTITUTE(C8251," ",""),3))&amp;"-"&amp;TEXT(B8251,"AAMMDD")&amp;"-1")</f>
        <v/>
      </c>
    </row>
    <row r="8252" spans="20:20" hidden="1">
      <c r="T8252" t="str">
        <f>IF(C8252="","",UPPER(LEFT(SUBSTITUTE(C8252," ",""),3))&amp;"-"&amp;TEXT(B8252,"AAMMDD")&amp;"-1")</f>
        <v/>
      </c>
    </row>
    <row r="8253" spans="20:20" hidden="1">
      <c r="T8253" t="str">
        <f>IF(C8253="","",UPPER(LEFT(SUBSTITUTE(C8253," ",""),3))&amp;"-"&amp;TEXT(B8253,"AAMMDD")&amp;"-1")</f>
        <v/>
      </c>
    </row>
    <row r="8254" spans="20:20" hidden="1">
      <c r="T8254" t="str">
        <f>IF(C8254="","",UPPER(LEFT(SUBSTITUTE(C8254," ",""),3))&amp;"-"&amp;TEXT(B8254,"AAMMDD")&amp;"-1")</f>
        <v/>
      </c>
    </row>
    <row r="8255" spans="20:20" hidden="1">
      <c r="T8255" t="str">
        <f>IF(C8255="","",UPPER(LEFT(SUBSTITUTE(C8255," ",""),3))&amp;"-"&amp;TEXT(B8255,"AAMMDD")&amp;"-1")</f>
        <v/>
      </c>
    </row>
    <row r="8256" spans="20:20" hidden="1">
      <c r="T8256" t="str">
        <f>IF(C8256="","",UPPER(LEFT(SUBSTITUTE(C8256," ",""),3))&amp;"-"&amp;TEXT(B8256,"AAMMDD")&amp;"-1")</f>
        <v/>
      </c>
    </row>
    <row r="8257" spans="20:20" hidden="1">
      <c r="T8257" t="str">
        <f>IF(C8257="","",UPPER(LEFT(SUBSTITUTE(C8257," ",""),3))&amp;"-"&amp;TEXT(B8257,"AAMMDD")&amp;"-1")</f>
        <v/>
      </c>
    </row>
    <row r="8258" spans="20:20" hidden="1">
      <c r="T8258" t="str">
        <f>IF(C8258="","",UPPER(LEFT(SUBSTITUTE(C8258," ",""),3))&amp;"-"&amp;TEXT(B8258,"AAMMDD")&amp;"-1")</f>
        <v/>
      </c>
    </row>
    <row r="8259" spans="20:20" hidden="1">
      <c r="T8259" t="str">
        <f>IF(C8259="","",UPPER(LEFT(SUBSTITUTE(C8259," ",""),3))&amp;"-"&amp;TEXT(B8259,"AAMMDD")&amp;"-1")</f>
        <v/>
      </c>
    </row>
    <row r="8260" spans="20:20" hidden="1">
      <c r="T8260" t="str">
        <f>IF(C8260="","",UPPER(LEFT(SUBSTITUTE(C8260," ",""),3))&amp;"-"&amp;TEXT(B8260,"AAMMDD")&amp;"-1")</f>
        <v/>
      </c>
    </row>
    <row r="8261" spans="20:20" hidden="1">
      <c r="T8261" t="str">
        <f>IF(C8261="","",UPPER(LEFT(SUBSTITUTE(C8261," ",""),3))&amp;"-"&amp;TEXT(B8261,"AAMMDD")&amp;"-1")</f>
        <v/>
      </c>
    </row>
    <row r="8262" spans="20:20" hidden="1">
      <c r="T8262" t="str">
        <f>IF(C8262="","",UPPER(LEFT(SUBSTITUTE(C8262," ",""),3))&amp;"-"&amp;TEXT(B8262,"AAMMDD")&amp;"-1")</f>
        <v/>
      </c>
    </row>
    <row r="8263" spans="20:20" hidden="1">
      <c r="T8263" t="str">
        <f>IF(C8263="","",UPPER(LEFT(SUBSTITUTE(C8263," ",""),3))&amp;"-"&amp;TEXT(B8263,"AAMMDD")&amp;"-1")</f>
        <v/>
      </c>
    </row>
    <row r="8264" spans="20:20" hidden="1">
      <c r="T8264" t="str">
        <f>IF(C8264="","",UPPER(LEFT(SUBSTITUTE(C8264," ",""),3))&amp;"-"&amp;TEXT(B8264,"AAMMDD")&amp;"-1")</f>
        <v/>
      </c>
    </row>
    <row r="8265" spans="20:20" hidden="1">
      <c r="T8265" t="str">
        <f>IF(C8265="","",UPPER(LEFT(SUBSTITUTE(C8265," ",""),3))&amp;"-"&amp;TEXT(B8265,"AAMMDD")&amp;"-1")</f>
        <v/>
      </c>
    </row>
    <row r="8266" spans="20:20" hidden="1">
      <c r="T8266" t="str">
        <f>IF(C8266="","",UPPER(LEFT(SUBSTITUTE(C8266," ",""),3))&amp;"-"&amp;TEXT(B8266,"AAMMDD")&amp;"-1")</f>
        <v/>
      </c>
    </row>
    <row r="8267" spans="20:20" hidden="1">
      <c r="T8267" t="str">
        <f>IF(C8267="","",UPPER(LEFT(SUBSTITUTE(C8267," ",""),3))&amp;"-"&amp;TEXT(B8267,"AAMMDD")&amp;"-1")</f>
        <v/>
      </c>
    </row>
    <row r="8268" spans="20:20" hidden="1">
      <c r="T8268" t="str">
        <f>IF(C8268="","",UPPER(LEFT(SUBSTITUTE(C8268," ",""),3))&amp;"-"&amp;TEXT(B8268,"AAMMDD")&amp;"-1")</f>
        <v/>
      </c>
    </row>
    <row r="8269" spans="20:20" hidden="1">
      <c r="T8269" t="str">
        <f>IF(C8269="","",UPPER(LEFT(SUBSTITUTE(C8269," ",""),3))&amp;"-"&amp;TEXT(B8269,"AAMMDD")&amp;"-1")</f>
        <v/>
      </c>
    </row>
    <row r="8270" spans="20:20" hidden="1">
      <c r="T8270" t="str">
        <f>IF(C8270="","",UPPER(LEFT(SUBSTITUTE(C8270," ",""),3))&amp;"-"&amp;TEXT(B8270,"AAMMDD")&amp;"-1")</f>
        <v/>
      </c>
    </row>
    <row r="8271" spans="20:20" hidden="1">
      <c r="T8271" t="str">
        <f>IF(C8271="","",UPPER(LEFT(SUBSTITUTE(C8271," ",""),3))&amp;"-"&amp;TEXT(B8271,"AAMMDD")&amp;"-1")</f>
        <v/>
      </c>
    </row>
    <row r="8272" spans="20:20" hidden="1">
      <c r="T8272" t="str">
        <f>IF(C8272="","",UPPER(LEFT(SUBSTITUTE(C8272," ",""),3))&amp;"-"&amp;TEXT(B8272,"AAMMDD")&amp;"-1")</f>
        <v/>
      </c>
    </row>
    <row r="8273" spans="20:20" hidden="1">
      <c r="T8273" t="str">
        <f>IF(C8273="","",UPPER(LEFT(SUBSTITUTE(C8273," ",""),3))&amp;"-"&amp;TEXT(B8273,"AAMMDD")&amp;"-1")</f>
        <v/>
      </c>
    </row>
    <row r="8274" spans="20:20" hidden="1">
      <c r="T8274" t="str">
        <f>IF(C8274="","",UPPER(LEFT(SUBSTITUTE(C8274," ",""),3))&amp;"-"&amp;TEXT(B8274,"AAMMDD")&amp;"-1")</f>
        <v/>
      </c>
    </row>
    <row r="8275" spans="20:20" hidden="1">
      <c r="T8275" t="str">
        <f>IF(C8275="","",UPPER(LEFT(SUBSTITUTE(C8275," ",""),3))&amp;"-"&amp;TEXT(B8275,"AAMMDD")&amp;"-1")</f>
        <v/>
      </c>
    </row>
    <row r="8276" spans="20:20" hidden="1">
      <c r="T8276" t="str">
        <f>IF(C8276="","",UPPER(LEFT(SUBSTITUTE(C8276," ",""),3))&amp;"-"&amp;TEXT(B8276,"AAMMDD")&amp;"-1")</f>
        <v/>
      </c>
    </row>
    <row r="8277" spans="20:20" hidden="1">
      <c r="T8277" t="str">
        <f>IF(C8277="","",UPPER(LEFT(SUBSTITUTE(C8277," ",""),3))&amp;"-"&amp;TEXT(B8277,"AAMMDD")&amp;"-1")</f>
        <v/>
      </c>
    </row>
    <row r="8278" spans="20:20" hidden="1">
      <c r="T8278" t="str">
        <f>IF(C8278="","",UPPER(LEFT(SUBSTITUTE(C8278," ",""),3))&amp;"-"&amp;TEXT(B8278,"AAMMDD")&amp;"-1")</f>
        <v/>
      </c>
    </row>
    <row r="8279" spans="20:20" hidden="1">
      <c r="T8279" t="str">
        <f>IF(C8279="","",UPPER(LEFT(SUBSTITUTE(C8279," ",""),3))&amp;"-"&amp;TEXT(B8279,"AAMMDD")&amp;"-1")</f>
        <v/>
      </c>
    </row>
    <row r="8280" spans="20:20" hidden="1">
      <c r="T8280" t="str">
        <f>IF(C8280="","",UPPER(LEFT(SUBSTITUTE(C8280," ",""),3))&amp;"-"&amp;TEXT(B8280,"AAMMDD")&amp;"-1")</f>
        <v/>
      </c>
    </row>
    <row r="8281" spans="20:20" hidden="1">
      <c r="T8281" t="str">
        <f>IF(C8281="","",UPPER(LEFT(SUBSTITUTE(C8281," ",""),3))&amp;"-"&amp;TEXT(B8281,"AAMMDD")&amp;"-1")</f>
        <v/>
      </c>
    </row>
    <row r="8282" spans="20:20" hidden="1">
      <c r="T8282" t="str">
        <f>IF(C8282="","",UPPER(LEFT(SUBSTITUTE(C8282," ",""),3))&amp;"-"&amp;TEXT(B8282,"AAMMDD")&amp;"-1")</f>
        <v/>
      </c>
    </row>
    <row r="8283" spans="20:20" hidden="1">
      <c r="T8283" t="str">
        <f>IF(C8283="","",UPPER(LEFT(SUBSTITUTE(C8283," ",""),3))&amp;"-"&amp;TEXT(B8283,"AAMMDD")&amp;"-1")</f>
        <v/>
      </c>
    </row>
    <row r="8284" spans="20:20" hidden="1">
      <c r="T8284" t="str">
        <f>IF(C8284="","",UPPER(LEFT(SUBSTITUTE(C8284," ",""),3))&amp;"-"&amp;TEXT(B8284,"AAMMDD")&amp;"-1")</f>
        <v/>
      </c>
    </row>
    <row r="8285" spans="20:20" hidden="1">
      <c r="T8285" t="str">
        <f>IF(C8285="","",UPPER(LEFT(SUBSTITUTE(C8285," ",""),3))&amp;"-"&amp;TEXT(B8285,"AAMMDD")&amp;"-1")</f>
        <v/>
      </c>
    </row>
    <row r="8286" spans="20:20" hidden="1">
      <c r="T8286" t="str">
        <f>IF(C8286="","",UPPER(LEFT(SUBSTITUTE(C8286," ",""),3))&amp;"-"&amp;TEXT(B8286,"AAMMDD")&amp;"-1")</f>
        <v/>
      </c>
    </row>
    <row r="8287" spans="20:20" hidden="1">
      <c r="T8287" t="str">
        <f>IF(C8287="","",UPPER(LEFT(SUBSTITUTE(C8287," ",""),3))&amp;"-"&amp;TEXT(B8287,"AAMMDD")&amp;"-1")</f>
        <v/>
      </c>
    </row>
    <row r="8288" spans="20:20" hidden="1">
      <c r="T8288" t="str">
        <f>IF(C8288="","",UPPER(LEFT(SUBSTITUTE(C8288," ",""),3))&amp;"-"&amp;TEXT(B8288,"AAMMDD")&amp;"-1")</f>
        <v/>
      </c>
    </row>
    <row r="8289" spans="20:20" hidden="1">
      <c r="T8289" t="str">
        <f>IF(C8289="","",UPPER(LEFT(SUBSTITUTE(C8289," ",""),3))&amp;"-"&amp;TEXT(B8289,"AAMMDD")&amp;"-1")</f>
        <v/>
      </c>
    </row>
    <row r="8290" spans="20:20" hidden="1">
      <c r="T8290" t="str">
        <f>IF(C8290="","",UPPER(LEFT(SUBSTITUTE(C8290," ",""),3))&amp;"-"&amp;TEXT(B8290,"AAMMDD")&amp;"-1")</f>
        <v/>
      </c>
    </row>
    <row r="8291" spans="20:20" hidden="1">
      <c r="T8291" t="str">
        <f>IF(C8291="","",UPPER(LEFT(SUBSTITUTE(C8291," ",""),3))&amp;"-"&amp;TEXT(B8291,"AAMMDD")&amp;"-1")</f>
        <v/>
      </c>
    </row>
    <row r="8292" spans="20:20" hidden="1">
      <c r="T8292" t="str">
        <f>IF(C8292="","",UPPER(LEFT(SUBSTITUTE(C8292," ",""),3))&amp;"-"&amp;TEXT(B8292,"AAMMDD")&amp;"-1")</f>
        <v/>
      </c>
    </row>
    <row r="8293" spans="20:20" hidden="1">
      <c r="T8293" t="str">
        <f>IF(C8293="","",UPPER(LEFT(SUBSTITUTE(C8293," ",""),3))&amp;"-"&amp;TEXT(B8293,"AAMMDD")&amp;"-1")</f>
        <v/>
      </c>
    </row>
    <row r="8294" spans="20:20" hidden="1">
      <c r="T8294" t="str">
        <f>IF(C8294="","",UPPER(LEFT(SUBSTITUTE(C8294," ",""),3))&amp;"-"&amp;TEXT(B8294,"AAMMDD")&amp;"-1")</f>
        <v/>
      </c>
    </row>
    <row r="8295" spans="20:20" hidden="1">
      <c r="T8295" t="str">
        <f>IF(C8295="","",UPPER(LEFT(SUBSTITUTE(C8295," ",""),3))&amp;"-"&amp;TEXT(B8295,"AAMMDD")&amp;"-1")</f>
        <v/>
      </c>
    </row>
    <row r="8296" spans="20:20" hidden="1">
      <c r="T8296" t="str">
        <f>IF(C8296="","",UPPER(LEFT(SUBSTITUTE(C8296," ",""),3))&amp;"-"&amp;TEXT(B8296,"AAMMDD")&amp;"-1")</f>
        <v/>
      </c>
    </row>
    <row r="8297" spans="20:20" hidden="1">
      <c r="T8297" t="str">
        <f>IF(C8297="","",UPPER(LEFT(SUBSTITUTE(C8297," ",""),3))&amp;"-"&amp;TEXT(B8297,"AAMMDD")&amp;"-1")</f>
        <v/>
      </c>
    </row>
    <row r="8298" spans="20:20" hidden="1">
      <c r="T8298" t="str">
        <f>IF(C8298="","",UPPER(LEFT(SUBSTITUTE(C8298," ",""),3))&amp;"-"&amp;TEXT(B8298,"AAMMDD")&amp;"-1")</f>
        <v/>
      </c>
    </row>
    <row r="8299" spans="20:20" hidden="1">
      <c r="T8299" t="str">
        <f>IF(C8299="","",UPPER(LEFT(SUBSTITUTE(C8299," ",""),3))&amp;"-"&amp;TEXT(B8299,"AAMMDD")&amp;"-1")</f>
        <v/>
      </c>
    </row>
    <row r="8300" spans="20:20" hidden="1">
      <c r="T8300" t="str">
        <f>IF(C8300="","",UPPER(LEFT(SUBSTITUTE(C8300," ",""),3))&amp;"-"&amp;TEXT(B8300,"AAMMDD")&amp;"-1")</f>
        <v/>
      </c>
    </row>
    <row r="8301" spans="20:20" hidden="1">
      <c r="T8301" t="str">
        <f>IF(C8301="","",UPPER(LEFT(SUBSTITUTE(C8301," ",""),3))&amp;"-"&amp;TEXT(B8301,"AAMMDD")&amp;"-1")</f>
        <v/>
      </c>
    </row>
    <row r="8302" spans="20:20" hidden="1">
      <c r="T8302" t="str">
        <f>IF(C8302="","",UPPER(LEFT(SUBSTITUTE(C8302," ",""),3))&amp;"-"&amp;TEXT(B8302,"AAMMDD")&amp;"-1")</f>
        <v/>
      </c>
    </row>
    <row r="8303" spans="20:20" hidden="1">
      <c r="T8303" t="str">
        <f>IF(C8303="","",UPPER(LEFT(SUBSTITUTE(C8303," ",""),3))&amp;"-"&amp;TEXT(B8303,"AAMMDD")&amp;"-1")</f>
        <v/>
      </c>
    </row>
    <row r="8304" spans="20:20" hidden="1">
      <c r="T8304" t="str">
        <f>IF(C8304="","",UPPER(LEFT(SUBSTITUTE(C8304," ",""),3))&amp;"-"&amp;TEXT(B8304,"AAMMDD")&amp;"-1")</f>
        <v/>
      </c>
    </row>
    <row r="8305" spans="20:20" hidden="1">
      <c r="T8305" t="str">
        <f>IF(C8305="","",UPPER(LEFT(SUBSTITUTE(C8305," ",""),3))&amp;"-"&amp;TEXT(B8305,"AAMMDD")&amp;"-1")</f>
        <v/>
      </c>
    </row>
    <row r="8306" spans="20:20" hidden="1">
      <c r="T8306" t="str">
        <f>IF(C8306="","",UPPER(LEFT(SUBSTITUTE(C8306," ",""),3))&amp;"-"&amp;TEXT(B8306,"AAMMDD")&amp;"-1")</f>
        <v/>
      </c>
    </row>
    <row r="8307" spans="20:20" hidden="1">
      <c r="T8307" t="str">
        <f>IF(C8307="","",UPPER(LEFT(SUBSTITUTE(C8307," ",""),3))&amp;"-"&amp;TEXT(B8307,"AAMMDD")&amp;"-1")</f>
        <v/>
      </c>
    </row>
    <row r="8308" spans="20:20" hidden="1">
      <c r="T8308" t="str">
        <f>IF(C8308="","",UPPER(LEFT(SUBSTITUTE(C8308," ",""),3))&amp;"-"&amp;TEXT(B8308,"AAMMDD")&amp;"-1")</f>
        <v/>
      </c>
    </row>
    <row r="8309" spans="20:20" hidden="1">
      <c r="T8309" t="str">
        <f>IF(C8309="","",UPPER(LEFT(SUBSTITUTE(C8309," ",""),3))&amp;"-"&amp;TEXT(B8309,"AAMMDD")&amp;"-1")</f>
        <v/>
      </c>
    </row>
    <row r="8310" spans="20:20" hidden="1">
      <c r="T8310" t="str">
        <f>IF(C8310="","",UPPER(LEFT(SUBSTITUTE(C8310," ",""),3))&amp;"-"&amp;TEXT(B8310,"AAMMDD")&amp;"-1")</f>
        <v/>
      </c>
    </row>
    <row r="8311" spans="20:20" hidden="1">
      <c r="T8311" t="str">
        <f>IF(C8311="","",UPPER(LEFT(SUBSTITUTE(C8311," ",""),3))&amp;"-"&amp;TEXT(B8311,"AAMMDD")&amp;"-1")</f>
        <v/>
      </c>
    </row>
    <row r="8312" spans="20:20" hidden="1">
      <c r="T8312" t="str">
        <f>IF(C8312="","",UPPER(LEFT(SUBSTITUTE(C8312," ",""),3))&amp;"-"&amp;TEXT(B8312,"AAMMDD")&amp;"-1")</f>
        <v/>
      </c>
    </row>
    <row r="8313" spans="20:20" hidden="1">
      <c r="T8313" t="str">
        <f>IF(C8313="","",UPPER(LEFT(SUBSTITUTE(C8313," ",""),3))&amp;"-"&amp;TEXT(B8313,"AAMMDD")&amp;"-1")</f>
        <v/>
      </c>
    </row>
    <row r="8314" spans="20:20" hidden="1">
      <c r="T8314" t="str">
        <f>IF(C8314="","",UPPER(LEFT(SUBSTITUTE(C8314," ",""),3))&amp;"-"&amp;TEXT(B8314,"AAMMDD")&amp;"-1")</f>
        <v/>
      </c>
    </row>
    <row r="8315" spans="20:20" hidden="1">
      <c r="T8315" t="str">
        <f>IF(C8315="","",UPPER(LEFT(SUBSTITUTE(C8315," ",""),3))&amp;"-"&amp;TEXT(B8315,"AAMMDD")&amp;"-1")</f>
        <v/>
      </c>
    </row>
    <row r="8316" spans="20:20" hidden="1">
      <c r="T8316" t="str">
        <f>IF(C8316="","",UPPER(LEFT(SUBSTITUTE(C8316," ",""),3))&amp;"-"&amp;TEXT(B8316,"AAMMDD")&amp;"-1")</f>
        <v/>
      </c>
    </row>
    <row r="8317" spans="20:20" hidden="1">
      <c r="T8317" t="str">
        <f>IF(C8317="","",UPPER(LEFT(SUBSTITUTE(C8317," ",""),3))&amp;"-"&amp;TEXT(B8317,"AAMMDD")&amp;"-1")</f>
        <v/>
      </c>
    </row>
    <row r="8318" spans="20:20" hidden="1">
      <c r="T8318" t="str">
        <f>IF(C8318="","",UPPER(LEFT(SUBSTITUTE(C8318," ",""),3))&amp;"-"&amp;TEXT(B8318,"AAMMDD")&amp;"-1")</f>
        <v/>
      </c>
    </row>
    <row r="8319" spans="20:20" hidden="1">
      <c r="T8319" t="str">
        <f>IF(C8319="","",UPPER(LEFT(SUBSTITUTE(C8319," ",""),3))&amp;"-"&amp;TEXT(B8319,"AAMMDD")&amp;"-1")</f>
        <v/>
      </c>
    </row>
    <row r="8320" spans="20:20" hidden="1">
      <c r="T8320" t="str">
        <f>IF(C8320="","",UPPER(LEFT(SUBSTITUTE(C8320," ",""),3))&amp;"-"&amp;TEXT(B8320,"AAMMDD")&amp;"-1")</f>
        <v/>
      </c>
    </row>
    <row r="8321" spans="20:20" hidden="1">
      <c r="T8321" t="str">
        <f>IF(C8321="","",UPPER(LEFT(SUBSTITUTE(C8321," ",""),3))&amp;"-"&amp;TEXT(B8321,"AAMMDD")&amp;"-1")</f>
        <v/>
      </c>
    </row>
    <row r="8322" spans="20:20" hidden="1">
      <c r="T8322" t="str">
        <f>IF(C8322="","",UPPER(LEFT(SUBSTITUTE(C8322," ",""),3))&amp;"-"&amp;TEXT(B8322,"AAMMDD")&amp;"-1")</f>
        <v/>
      </c>
    </row>
    <row r="8323" spans="20:20" hidden="1">
      <c r="T8323" t="str">
        <f>IF(C8323="","",UPPER(LEFT(SUBSTITUTE(C8323," ",""),3))&amp;"-"&amp;TEXT(B8323,"AAMMDD")&amp;"-1")</f>
        <v/>
      </c>
    </row>
    <row r="8324" spans="20:20" hidden="1">
      <c r="T8324" t="str">
        <f>IF(C8324="","",UPPER(LEFT(SUBSTITUTE(C8324," ",""),3))&amp;"-"&amp;TEXT(B8324,"AAMMDD")&amp;"-1")</f>
        <v/>
      </c>
    </row>
    <row r="8325" spans="20:20" hidden="1">
      <c r="T8325" t="str">
        <f>IF(C8325="","",UPPER(LEFT(SUBSTITUTE(C8325," ",""),3))&amp;"-"&amp;TEXT(B8325,"AAMMDD")&amp;"-1")</f>
        <v/>
      </c>
    </row>
    <row r="8326" spans="20:20" hidden="1">
      <c r="T8326" t="str">
        <f>IF(C8326="","",UPPER(LEFT(SUBSTITUTE(C8326," ",""),3))&amp;"-"&amp;TEXT(B8326,"AAMMDD")&amp;"-1")</f>
        <v/>
      </c>
    </row>
    <row r="8327" spans="20:20" hidden="1">
      <c r="T8327" t="str">
        <f>IF(C8327="","",UPPER(LEFT(SUBSTITUTE(C8327," ",""),3))&amp;"-"&amp;TEXT(B8327,"AAMMDD")&amp;"-1")</f>
        <v/>
      </c>
    </row>
    <row r="8328" spans="20:20" hidden="1">
      <c r="T8328" t="str">
        <f>IF(C8328="","",UPPER(LEFT(SUBSTITUTE(C8328," ",""),3))&amp;"-"&amp;TEXT(B8328,"AAMMDD")&amp;"-1")</f>
        <v/>
      </c>
    </row>
    <row r="8329" spans="20:20" hidden="1">
      <c r="T8329" t="str">
        <f>IF(C8329="","",UPPER(LEFT(SUBSTITUTE(C8329," ",""),3))&amp;"-"&amp;TEXT(B8329,"AAMMDD")&amp;"-1")</f>
        <v/>
      </c>
    </row>
    <row r="8330" spans="20:20" hidden="1">
      <c r="T8330" t="str">
        <f>IF(C8330="","",UPPER(LEFT(SUBSTITUTE(C8330," ",""),3))&amp;"-"&amp;TEXT(B8330,"AAMMDD")&amp;"-1")</f>
        <v/>
      </c>
    </row>
    <row r="8331" spans="20:20" hidden="1">
      <c r="T8331" t="str">
        <f>IF(C8331="","",UPPER(LEFT(SUBSTITUTE(C8331," ",""),3))&amp;"-"&amp;TEXT(B8331,"AAMMDD")&amp;"-1")</f>
        <v/>
      </c>
    </row>
    <row r="8332" spans="20:20" hidden="1">
      <c r="T8332" t="str">
        <f>IF(C8332="","",UPPER(LEFT(SUBSTITUTE(C8332," ",""),3))&amp;"-"&amp;TEXT(B8332,"AAMMDD")&amp;"-1")</f>
        <v/>
      </c>
    </row>
    <row r="8333" spans="20:20" hidden="1">
      <c r="T8333" t="str">
        <f>IF(C8333="","",UPPER(LEFT(SUBSTITUTE(C8333," ",""),3))&amp;"-"&amp;TEXT(B8333,"AAMMDD")&amp;"-1")</f>
        <v/>
      </c>
    </row>
    <row r="8334" spans="20:20" hidden="1">
      <c r="T8334" t="str">
        <f>IF(C8334="","",UPPER(LEFT(SUBSTITUTE(C8334," ",""),3))&amp;"-"&amp;TEXT(B8334,"AAMMDD")&amp;"-1")</f>
        <v/>
      </c>
    </row>
    <row r="8335" spans="20:20" hidden="1">
      <c r="T8335" t="str">
        <f>IF(C8335="","",UPPER(LEFT(SUBSTITUTE(C8335," ",""),3))&amp;"-"&amp;TEXT(B8335,"AAMMDD")&amp;"-1")</f>
        <v/>
      </c>
    </row>
    <row r="8336" spans="20:20" hidden="1">
      <c r="T8336" t="str">
        <f>IF(C8336="","",UPPER(LEFT(SUBSTITUTE(C8336," ",""),3))&amp;"-"&amp;TEXT(B8336,"AAMMDD")&amp;"-1")</f>
        <v/>
      </c>
    </row>
    <row r="8337" spans="20:20" hidden="1">
      <c r="T8337" t="str">
        <f>IF(C8337="","",UPPER(LEFT(SUBSTITUTE(C8337," ",""),3))&amp;"-"&amp;TEXT(B8337,"AAMMDD")&amp;"-1")</f>
        <v/>
      </c>
    </row>
    <row r="8338" spans="20:20" hidden="1">
      <c r="T8338" t="str">
        <f>IF(C8338="","",UPPER(LEFT(SUBSTITUTE(C8338," ",""),3))&amp;"-"&amp;TEXT(B8338,"AAMMDD")&amp;"-1")</f>
        <v/>
      </c>
    </row>
    <row r="8339" spans="20:20" hidden="1">
      <c r="T8339" t="str">
        <f>IF(C8339="","",UPPER(LEFT(SUBSTITUTE(C8339," ",""),3))&amp;"-"&amp;TEXT(B8339,"AAMMDD")&amp;"-1")</f>
        <v/>
      </c>
    </row>
    <row r="8340" spans="20:20" hidden="1">
      <c r="T8340" t="str">
        <f>IF(C8340="","",UPPER(LEFT(SUBSTITUTE(C8340," ",""),3))&amp;"-"&amp;TEXT(B8340,"AAMMDD")&amp;"-1")</f>
        <v/>
      </c>
    </row>
    <row r="8341" spans="20:20" hidden="1">
      <c r="T8341" t="str">
        <f>IF(C8341="","",UPPER(LEFT(SUBSTITUTE(C8341," ",""),3))&amp;"-"&amp;TEXT(B8341,"AAMMDD")&amp;"-1")</f>
        <v/>
      </c>
    </row>
    <row r="8342" spans="20:20" hidden="1">
      <c r="T8342" t="str">
        <f>IF(C8342="","",UPPER(LEFT(SUBSTITUTE(C8342," ",""),3))&amp;"-"&amp;TEXT(B8342,"AAMMDD")&amp;"-1")</f>
        <v/>
      </c>
    </row>
    <row r="8343" spans="20:20" hidden="1">
      <c r="T8343" t="str">
        <f>IF(C8343="","",UPPER(LEFT(SUBSTITUTE(C8343," ",""),3))&amp;"-"&amp;TEXT(B8343,"AAMMDD")&amp;"-1")</f>
        <v/>
      </c>
    </row>
    <row r="8344" spans="20:20" hidden="1">
      <c r="T8344" t="str">
        <f>IF(C8344="","",UPPER(LEFT(SUBSTITUTE(C8344," ",""),3))&amp;"-"&amp;TEXT(B8344,"AAMMDD")&amp;"-1")</f>
        <v/>
      </c>
    </row>
    <row r="8345" spans="20:20" hidden="1">
      <c r="T8345" t="str">
        <f>IF(C8345="","",UPPER(LEFT(SUBSTITUTE(C8345," ",""),3))&amp;"-"&amp;TEXT(B8345,"AAMMDD")&amp;"-1")</f>
        <v/>
      </c>
    </row>
    <row r="8346" spans="20:20" hidden="1">
      <c r="T8346" t="str">
        <f>IF(C8346="","",UPPER(LEFT(SUBSTITUTE(C8346," ",""),3))&amp;"-"&amp;TEXT(B8346,"AAMMDD")&amp;"-1")</f>
        <v/>
      </c>
    </row>
    <row r="8347" spans="20:20" hidden="1">
      <c r="T8347" t="str">
        <f>IF(C8347="","",UPPER(LEFT(SUBSTITUTE(C8347," ",""),3))&amp;"-"&amp;TEXT(B8347,"AAMMDD")&amp;"-1")</f>
        <v/>
      </c>
    </row>
    <row r="8348" spans="20:20" hidden="1">
      <c r="T8348" t="str">
        <f>IF(C8348="","",UPPER(LEFT(SUBSTITUTE(C8348," ",""),3))&amp;"-"&amp;TEXT(B8348,"AAMMDD")&amp;"-1")</f>
        <v/>
      </c>
    </row>
    <row r="8349" spans="20:20" hidden="1">
      <c r="T8349" t="str">
        <f>IF(C8349="","",UPPER(LEFT(SUBSTITUTE(C8349," ",""),3))&amp;"-"&amp;TEXT(B8349,"AAMMDD")&amp;"-1")</f>
        <v/>
      </c>
    </row>
    <row r="8350" spans="20:20" hidden="1">
      <c r="T8350" t="str">
        <f>IF(C8350="","",UPPER(LEFT(SUBSTITUTE(C8350," ",""),3))&amp;"-"&amp;TEXT(B8350,"AAMMDD")&amp;"-1")</f>
        <v/>
      </c>
    </row>
    <row r="8351" spans="20:20" hidden="1">
      <c r="T8351" t="str">
        <f>IF(C8351="","",UPPER(LEFT(SUBSTITUTE(C8351," ",""),3))&amp;"-"&amp;TEXT(B8351,"AAMMDD")&amp;"-1")</f>
        <v/>
      </c>
    </row>
    <row r="8352" spans="20:20" hidden="1">
      <c r="T8352" t="str">
        <f>IF(C8352="","",UPPER(LEFT(SUBSTITUTE(C8352," ",""),3))&amp;"-"&amp;TEXT(B8352,"AAMMDD")&amp;"-1")</f>
        <v/>
      </c>
    </row>
    <row r="8353" spans="20:20" hidden="1">
      <c r="T8353" t="str">
        <f>IF(C8353="","",UPPER(LEFT(SUBSTITUTE(C8353," ",""),3))&amp;"-"&amp;TEXT(B8353,"AAMMDD")&amp;"-1")</f>
        <v/>
      </c>
    </row>
    <row r="8354" spans="20:20" hidden="1">
      <c r="T8354" t="str">
        <f>IF(C8354="","",UPPER(LEFT(SUBSTITUTE(C8354," ",""),3))&amp;"-"&amp;TEXT(B8354,"AAMMDD")&amp;"-1")</f>
        <v/>
      </c>
    </row>
    <row r="8355" spans="20:20" hidden="1">
      <c r="T8355" t="str">
        <f>IF(C8355="","",UPPER(LEFT(SUBSTITUTE(C8355," ",""),3))&amp;"-"&amp;TEXT(B8355,"AAMMDD")&amp;"-1")</f>
        <v/>
      </c>
    </row>
    <row r="8356" spans="20:20" hidden="1">
      <c r="T8356" t="str">
        <f>IF(C8356="","",UPPER(LEFT(SUBSTITUTE(C8356," ",""),3))&amp;"-"&amp;TEXT(B8356,"AAMMDD")&amp;"-1")</f>
        <v/>
      </c>
    </row>
    <row r="8357" spans="20:20" hidden="1">
      <c r="T8357" t="str">
        <f>IF(C8357="","",UPPER(LEFT(SUBSTITUTE(C8357," ",""),3))&amp;"-"&amp;TEXT(B8357,"AAMMDD")&amp;"-1")</f>
        <v/>
      </c>
    </row>
    <row r="8358" spans="20:20" hidden="1">
      <c r="T8358" t="str">
        <f>IF(C8358="","",UPPER(LEFT(SUBSTITUTE(C8358," ",""),3))&amp;"-"&amp;TEXT(B8358,"AAMMDD")&amp;"-1")</f>
        <v/>
      </c>
    </row>
    <row r="8359" spans="20:20" hidden="1">
      <c r="T8359" t="str">
        <f>IF(C8359="","",UPPER(LEFT(SUBSTITUTE(C8359," ",""),3))&amp;"-"&amp;TEXT(B8359,"AAMMDD")&amp;"-1")</f>
        <v/>
      </c>
    </row>
    <row r="8360" spans="20:20" hidden="1">
      <c r="T8360" t="str">
        <f>IF(C8360="","",UPPER(LEFT(SUBSTITUTE(C8360," ",""),3))&amp;"-"&amp;TEXT(B8360,"AAMMDD")&amp;"-1")</f>
        <v/>
      </c>
    </row>
    <row r="8361" spans="20:20" hidden="1">
      <c r="T8361" t="str">
        <f>IF(C8361="","",UPPER(LEFT(SUBSTITUTE(C8361," ",""),3))&amp;"-"&amp;TEXT(B8361,"AAMMDD")&amp;"-1")</f>
        <v/>
      </c>
    </row>
    <row r="8362" spans="20:20" hidden="1">
      <c r="T8362" t="str">
        <f>IF(C8362="","",UPPER(LEFT(SUBSTITUTE(C8362," ",""),3))&amp;"-"&amp;TEXT(B8362,"AAMMDD")&amp;"-1")</f>
        <v/>
      </c>
    </row>
    <row r="8363" spans="20:20" hidden="1">
      <c r="T8363" t="str">
        <f>IF(C8363="","",UPPER(LEFT(SUBSTITUTE(C8363," ",""),3))&amp;"-"&amp;TEXT(B8363,"AAMMDD")&amp;"-1")</f>
        <v/>
      </c>
    </row>
    <row r="8364" spans="20:20" hidden="1">
      <c r="T8364" t="str">
        <f>IF(C8364="","",UPPER(LEFT(SUBSTITUTE(C8364," ",""),3))&amp;"-"&amp;TEXT(B8364,"AAMMDD")&amp;"-1")</f>
        <v/>
      </c>
    </row>
    <row r="8365" spans="20:20" hidden="1">
      <c r="T8365" t="str">
        <f>IF(C8365="","",UPPER(LEFT(SUBSTITUTE(C8365," ",""),3))&amp;"-"&amp;TEXT(B8365,"AAMMDD")&amp;"-1")</f>
        <v/>
      </c>
    </row>
    <row r="8366" spans="20:20" hidden="1">
      <c r="T8366" t="str">
        <f>IF(C8366="","",UPPER(LEFT(SUBSTITUTE(C8366," ",""),3))&amp;"-"&amp;TEXT(B8366,"AAMMDD")&amp;"-1")</f>
        <v/>
      </c>
    </row>
    <row r="8367" spans="20:20" hidden="1">
      <c r="T8367" t="str">
        <f>IF(C8367="","",UPPER(LEFT(SUBSTITUTE(C8367," ",""),3))&amp;"-"&amp;TEXT(B8367,"AAMMDD")&amp;"-1")</f>
        <v/>
      </c>
    </row>
    <row r="8368" spans="20:20" hidden="1">
      <c r="T8368" t="str">
        <f>IF(C8368="","",UPPER(LEFT(SUBSTITUTE(C8368," ",""),3))&amp;"-"&amp;TEXT(B8368,"AAMMDD")&amp;"-1")</f>
        <v/>
      </c>
    </row>
    <row r="8369" spans="20:20" hidden="1">
      <c r="T8369" t="str">
        <f>IF(C8369="","",UPPER(LEFT(SUBSTITUTE(C8369," ",""),3))&amp;"-"&amp;TEXT(B8369,"AAMMDD")&amp;"-1")</f>
        <v/>
      </c>
    </row>
    <row r="8370" spans="20:20" hidden="1">
      <c r="T8370" t="str">
        <f>IF(C8370="","",UPPER(LEFT(SUBSTITUTE(C8370," ",""),3))&amp;"-"&amp;TEXT(B8370,"AAMMDD")&amp;"-1")</f>
        <v/>
      </c>
    </row>
    <row r="8371" spans="20:20" hidden="1">
      <c r="T8371" t="str">
        <f>IF(C8371="","",UPPER(LEFT(SUBSTITUTE(C8371," ",""),3))&amp;"-"&amp;TEXT(B8371,"AAMMDD")&amp;"-1")</f>
        <v/>
      </c>
    </row>
    <row r="8372" spans="20:20" hidden="1">
      <c r="T8372" t="str">
        <f>IF(C8372="","",UPPER(LEFT(SUBSTITUTE(C8372," ",""),3))&amp;"-"&amp;TEXT(B8372,"AAMMDD")&amp;"-1")</f>
        <v/>
      </c>
    </row>
    <row r="8373" spans="20:20" hidden="1">
      <c r="T8373" t="str">
        <f>IF(C8373="","",UPPER(LEFT(SUBSTITUTE(C8373," ",""),3))&amp;"-"&amp;TEXT(B8373,"AAMMDD")&amp;"-1")</f>
        <v/>
      </c>
    </row>
    <row r="8374" spans="20:20" hidden="1">
      <c r="T8374" t="str">
        <f>IF(C8374="","",UPPER(LEFT(SUBSTITUTE(C8374," ",""),3))&amp;"-"&amp;TEXT(B8374,"AAMMDD")&amp;"-1")</f>
        <v/>
      </c>
    </row>
    <row r="8375" spans="20:20" hidden="1">
      <c r="T8375" t="str">
        <f>IF(C8375="","",UPPER(LEFT(SUBSTITUTE(C8375," ",""),3))&amp;"-"&amp;TEXT(B8375,"AAMMDD")&amp;"-1")</f>
        <v/>
      </c>
    </row>
    <row r="8376" spans="20:20" hidden="1">
      <c r="T8376" t="str">
        <f>IF(C8376="","",UPPER(LEFT(SUBSTITUTE(C8376," ",""),3))&amp;"-"&amp;TEXT(B8376,"AAMMDD")&amp;"-1")</f>
        <v/>
      </c>
    </row>
    <row r="8377" spans="20:20" hidden="1">
      <c r="T8377" t="str">
        <f>IF(C8377="","",UPPER(LEFT(SUBSTITUTE(C8377," ",""),3))&amp;"-"&amp;TEXT(B8377,"AAMMDD")&amp;"-1")</f>
        <v/>
      </c>
    </row>
    <row r="8378" spans="20:20" hidden="1">
      <c r="T8378" t="str">
        <f>IF(C8378="","",UPPER(LEFT(SUBSTITUTE(C8378," ",""),3))&amp;"-"&amp;TEXT(B8378,"AAMMDD")&amp;"-1")</f>
        <v/>
      </c>
    </row>
    <row r="8379" spans="20:20" hidden="1">
      <c r="T8379" t="str">
        <f>IF(C8379="","",UPPER(LEFT(SUBSTITUTE(C8379," ",""),3))&amp;"-"&amp;TEXT(B8379,"AAMMDD")&amp;"-1")</f>
        <v/>
      </c>
    </row>
    <row r="8380" spans="20:20" hidden="1">
      <c r="T8380" t="str">
        <f>IF(C8380="","",UPPER(LEFT(SUBSTITUTE(C8380," ",""),3))&amp;"-"&amp;TEXT(B8380,"AAMMDD")&amp;"-1")</f>
        <v/>
      </c>
    </row>
    <row r="8381" spans="20:20" hidden="1">
      <c r="T8381" t="str">
        <f>IF(C8381="","",UPPER(LEFT(SUBSTITUTE(C8381," ",""),3))&amp;"-"&amp;TEXT(B8381,"AAMMDD")&amp;"-1")</f>
        <v/>
      </c>
    </row>
    <row r="8382" spans="20:20" hidden="1">
      <c r="T8382" t="str">
        <f>IF(C8382="","",UPPER(LEFT(SUBSTITUTE(C8382," ",""),3))&amp;"-"&amp;TEXT(B8382,"AAMMDD")&amp;"-1")</f>
        <v/>
      </c>
    </row>
    <row r="8383" spans="20:20" hidden="1">
      <c r="T8383" t="str">
        <f>IF(C8383="","",UPPER(LEFT(SUBSTITUTE(C8383," ",""),3))&amp;"-"&amp;TEXT(B8383,"AAMMDD")&amp;"-1")</f>
        <v/>
      </c>
    </row>
    <row r="8384" spans="20:20" hidden="1">
      <c r="T8384" t="str">
        <f>IF(C8384="","",UPPER(LEFT(SUBSTITUTE(C8384," ",""),3))&amp;"-"&amp;TEXT(B8384,"AAMMDD")&amp;"-1")</f>
        <v/>
      </c>
    </row>
    <row r="8385" spans="20:20" hidden="1">
      <c r="T8385" t="str">
        <f>IF(C8385="","",UPPER(LEFT(SUBSTITUTE(C8385," ",""),3))&amp;"-"&amp;TEXT(B8385,"AAMMDD")&amp;"-1")</f>
        <v/>
      </c>
    </row>
    <row r="8386" spans="20:20" hidden="1">
      <c r="T8386" t="str">
        <f>IF(C8386="","",UPPER(LEFT(SUBSTITUTE(C8386," ",""),3))&amp;"-"&amp;TEXT(B8386,"AAMMDD")&amp;"-1")</f>
        <v/>
      </c>
    </row>
    <row r="8387" spans="20:20" hidden="1">
      <c r="T8387" t="str">
        <f>IF(C8387="","",UPPER(LEFT(SUBSTITUTE(C8387," ",""),3))&amp;"-"&amp;TEXT(B8387,"AAMMDD")&amp;"-1")</f>
        <v/>
      </c>
    </row>
    <row r="8388" spans="20:20" hidden="1">
      <c r="T8388" t="str">
        <f>IF(C8388="","",UPPER(LEFT(SUBSTITUTE(C8388," ",""),3))&amp;"-"&amp;TEXT(B8388,"AAMMDD")&amp;"-1")</f>
        <v/>
      </c>
    </row>
    <row r="8389" spans="20:20" hidden="1">
      <c r="T8389" t="str">
        <f>IF(C8389="","",UPPER(LEFT(SUBSTITUTE(C8389," ",""),3))&amp;"-"&amp;TEXT(B8389,"AAMMDD")&amp;"-1")</f>
        <v/>
      </c>
    </row>
    <row r="8390" spans="20:20" hidden="1">
      <c r="T8390" t="str">
        <f>IF(C8390="","",UPPER(LEFT(SUBSTITUTE(C8390," ",""),3))&amp;"-"&amp;TEXT(B8390,"AAMMDD")&amp;"-1")</f>
        <v/>
      </c>
    </row>
    <row r="8391" spans="20:20" hidden="1">
      <c r="T8391" t="str">
        <f>IF(C8391="","",UPPER(LEFT(SUBSTITUTE(C8391," ",""),3))&amp;"-"&amp;TEXT(B8391,"AAMMDD")&amp;"-1")</f>
        <v/>
      </c>
    </row>
    <row r="8392" spans="20:20" hidden="1">
      <c r="T8392" t="str">
        <f>IF(C8392="","",UPPER(LEFT(SUBSTITUTE(C8392," ",""),3))&amp;"-"&amp;TEXT(B8392,"AAMMDD")&amp;"-1")</f>
        <v/>
      </c>
    </row>
    <row r="8393" spans="20:20" hidden="1">
      <c r="T8393" t="str">
        <f>IF(C8393="","",UPPER(LEFT(SUBSTITUTE(C8393," ",""),3))&amp;"-"&amp;TEXT(B8393,"AAMMDD")&amp;"-1")</f>
        <v/>
      </c>
    </row>
    <row r="8394" spans="20:20" hidden="1">
      <c r="T8394" t="str">
        <f>IF(C8394="","",UPPER(LEFT(SUBSTITUTE(C8394," ",""),3))&amp;"-"&amp;TEXT(B8394,"AAMMDD")&amp;"-1")</f>
        <v/>
      </c>
    </row>
    <row r="8395" spans="20:20" hidden="1">
      <c r="T8395" t="str">
        <f>IF(C8395="","",UPPER(LEFT(SUBSTITUTE(C8395," ",""),3))&amp;"-"&amp;TEXT(B8395,"AAMMDD")&amp;"-1")</f>
        <v/>
      </c>
    </row>
    <row r="8396" spans="20:20" hidden="1">
      <c r="T8396" t="str">
        <f>IF(C8396="","",UPPER(LEFT(SUBSTITUTE(C8396," ",""),3))&amp;"-"&amp;TEXT(B8396,"AAMMDD")&amp;"-1")</f>
        <v/>
      </c>
    </row>
    <row r="8397" spans="20:20" hidden="1">
      <c r="T8397" t="str">
        <f>IF(C8397="","",UPPER(LEFT(SUBSTITUTE(C8397," ",""),3))&amp;"-"&amp;TEXT(B8397,"AAMMDD")&amp;"-1")</f>
        <v/>
      </c>
    </row>
    <row r="8398" spans="20:20" hidden="1">
      <c r="T8398" t="str">
        <f>IF(C8398="","",UPPER(LEFT(SUBSTITUTE(C8398," ",""),3))&amp;"-"&amp;TEXT(B8398,"AAMMDD")&amp;"-1")</f>
        <v/>
      </c>
    </row>
    <row r="8399" spans="20:20" hidden="1">
      <c r="T8399" t="str">
        <f>IF(C8399="","",UPPER(LEFT(SUBSTITUTE(C8399," ",""),3))&amp;"-"&amp;TEXT(B8399,"AAMMDD")&amp;"-1")</f>
        <v/>
      </c>
    </row>
    <row r="8400" spans="20:20" hidden="1">
      <c r="T8400" t="str">
        <f>IF(C8400="","",UPPER(LEFT(SUBSTITUTE(C8400," ",""),3))&amp;"-"&amp;TEXT(B8400,"AAMMDD")&amp;"-1")</f>
        <v/>
      </c>
    </row>
    <row r="8401" spans="20:20" hidden="1">
      <c r="T8401" t="str">
        <f>IF(C8401="","",UPPER(LEFT(SUBSTITUTE(C8401," ",""),3))&amp;"-"&amp;TEXT(B8401,"AAMMDD")&amp;"-1")</f>
        <v/>
      </c>
    </row>
    <row r="8402" spans="20:20" hidden="1">
      <c r="T8402" t="str">
        <f>IF(C8402="","",UPPER(LEFT(SUBSTITUTE(C8402," ",""),3))&amp;"-"&amp;TEXT(B8402,"AAMMDD")&amp;"-1")</f>
        <v/>
      </c>
    </row>
    <row r="8403" spans="20:20" hidden="1">
      <c r="T8403" t="str">
        <f>IF(C8403="","",UPPER(LEFT(SUBSTITUTE(C8403," ",""),3))&amp;"-"&amp;TEXT(B8403,"AAMMDD")&amp;"-1")</f>
        <v/>
      </c>
    </row>
    <row r="8404" spans="20:20" hidden="1">
      <c r="T8404" t="str">
        <f>IF(C8404="","",UPPER(LEFT(SUBSTITUTE(C8404," ",""),3))&amp;"-"&amp;TEXT(B8404,"AAMMDD")&amp;"-1")</f>
        <v/>
      </c>
    </row>
    <row r="8405" spans="20:20" hidden="1">
      <c r="T8405" t="str">
        <f>IF(C8405="","",UPPER(LEFT(SUBSTITUTE(C8405," ",""),3))&amp;"-"&amp;TEXT(B8405,"AAMMDD")&amp;"-1")</f>
        <v/>
      </c>
    </row>
    <row r="8406" spans="20:20" hidden="1">
      <c r="T8406" t="str">
        <f>IF(C8406="","",UPPER(LEFT(SUBSTITUTE(C8406," ",""),3))&amp;"-"&amp;TEXT(B8406,"AAMMDD")&amp;"-1")</f>
        <v/>
      </c>
    </row>
    <row r="8407" spans="20:20" hidden="1">
      <c r="T8407" t="str">
        <f>IF(C8407="","",UPPER(LEFT(SUBSTITUTE(C8407," ",""),3))&amp;"-"&amp;TEXT(B8407,"AAMMDD")&amp;"-1")</f>
        <v/>
      </c>
    </row>
    <row r="8408" spans="20:20" hidden="1">
      <c r="T8408" t="str">
        <f>IF(C8408="","",UPPER(LEFT(SUBSTITUTE(C8408," ",""),3))&amp;"-"&amp;TEXT(B8408,"AAMMDD")&amp;"-1")</f>
        <v/>
      </c>
    </row>
    <row r="8409" spans="20:20" hidden="1">
      <c r="T8409" t="str">
        <f>IF(C8409="","",UPPER(LEFT(SUBSTITUTE(C8409," ",""),3))&amp;"-"&amp;TEXT(B8409,"AAMMDD")&amp;"-1")</f>
        <v/>
      </c>
    </row>
    <row r="8410" spans="20:20" hidden="1">
      <c r="T8410" t="str">
        <f>IF(C8410="","",UPPER(LEFT(SUBSTITUTE(C8410," ",""),3))&amp;"-"&amp;TEXT(B8410,"AAMMDD")&amp;"-1")</f>
        <v/>
      </c>
    </row>
    <row r="8411" spans="20:20" hidden="1">
      <c r="T8411" t="str">
        <f>IF(C8411="","",UPPER(LEFT(SUBSTITUTE(C8411," ",""),3))&amp;"-"&amp;TEXT(B8411,"AAMMDD")&amp;"-1")</f>
        <v/>
      </c>
    </row>
    <row r="8412" spans="20:20" hidden="1">
      <c r="T8412" t="str">
        <f>IF(C8412="","",UPPER(LEFT(SUBSTITUTE(C8412," ",""),3))&amp;"-"&amp;TEXT(B8412,"AAMMDD")&amp;"-1")</f>
        <v/>
      </c>
    </row>
    <row r="8413" spans="20:20" hidden="1">
      <c r="T8413" t="str">
        <f>IF(C8413="","",UPPER(LEFT(SUBSTITUTE(C8413," ",""),3))&amp;"-"&amp;TEXT(B8413,"AAMMDD")&amp;"-1")</f>
        <v/>
      </c>
    </row>
    <row r="8414" spans="20:20" hidden="1">
      <c r="T8414" t="str">
        <f>IF(C8414="","",UPPER(LEFT(SUBSTITUTE(C8414," ",""),3))&amp;"-"&amp;TEXT(B8414,"AAMMDD")&amp;"-1")</f>
        <v/>
      </c>
    </row>
    <row r="8415" spans="20:20" hidden="1">
      <c r="T8415" t="str">
        <f>IF(C8415="","",UPPER(LEFT(SUBSTITUTE(C8415," ",""),3))&amp;"-"&amp;TEXT(B8415,"AAMMDD")&amp;"-1")</f>
        <v/>
      </c>
    </row>
    <row r="8416" spans="20:20" hidden="1">
      <c r="T8416" t="str">
        <f>IF(C8416="","",UPPER(LEFT(SUBSTITUTE(C8416," ",""),3))&amp;"-"&amp;TEXT(B8416,"AAMMDD")&amp;"-1")</f>
        <v/>
      </c>
    </row>
    <row r="8417" spans="20:20" hidden="1">
      <c r="T8417" t="str">
        <f>IF(C8417="","",UPPER(LEFT(SUBSTITUTE(C8417," ",""),3))&amp;"-"&amp;TEXT(B8417,"AAMMDD")&amp;"-1")</f>
        <v/>
      </c>
    </row>
    <row r="8418" spans="20:20" hidden="1">
      <c r="T8418" t="str">
        <f>IF(C8418="","",UPPER(LEFT(SUBSTITUTE(C8418," ",""),3))&amp;"-"&amp;TEXT(B8418,"AAMMDD")&amp;"-1")</f>
        <v/>
      </c>
    </row>
    <row r="8419" spans="20:20" hidden="1">
      <c r="T8419" t="str">
        <f>IF(C8419="","",UPPER(LEFT(SUBSTITUTE(C8419," ",""),3))&amp;"-"&amp;TEXT(B8419,"AAMMDD")&amp;"-1")</f>
        <v/>
      </c>
    </row>
    <row r="8420" spans="20:20" hidden="1">
      <c r="T8420" t="str">
        <f>IF(C8420="","",UPPER(LEFT(SUBSTITUTE(C8420," ",""),3))&amp;"-"&amp;TEXT(B8420,"AAMMDD")&amp;"-1")</f>
        <v/>
      </c>
    </row>
    <row r="8421" spans="20:20" hidden="1">
      <c r="T8421" t="str">
        <f>IF(C8421="","",UPPER(LEFT(SUBSTITUTE(C8421," ",""),3))&amp;"-"&amp;TEXT(B8421,"AAMMDD")&amp;"-1")</f>
        <v/>
      </c>
    </row>
    <row r="8422" spans="20:20" hidden="1">
      <c r="T8422" t="str">
        <f>IF(C8422="","",UPPER(LEFT(SUBSTITUTE(C8422," ",""),3))&amp;"-"&amp;TEXT(B8422,"AAMMDD")&amp;"-1")</f>
        <v/>
      </c>
    </row>
    <row r="8423" spans="20:20" hidden="1">
      <c r="T8423" t="str">
        <f>IF(C8423="","",UPPER(LEFT(SUBSTITUTE(C8423," ",""),3))&amp;"-"&amp;TEXT(B8423,"AAMMDD")&amp;"-1")</f>
        <v/>
      </c>
    </row>
    <row r="8424" spans="20:20" hidden="1">
      <c r="T8424" t="str">
        <f>IF(C8424="","",UPPER(LEFT(SUBSTITUTE(C8424," ",""),3))&amp;"-"&amp;TEXT(B8424,"AAMMDD")&amp;"-1")</f>
        <v/>
      </c>
    </row>
    <row r="8425" spans="20:20" hidden="1">
      <c r="T8425" t="str">
        <f>IF(C8425="","",UPPER(LEFT(SUBSTITUTE(C8425," ",""),3))&amp;"-"&amp;TEXT(B8425,"AAMMDD")&amp;"-1")</f>
        <v/>
      </c>
    </row>
    <row r="8426" spans="20:20" hidden="1">
      <c r="T8426" t="str">
        <f>IF(C8426="","",UPPER(LEFT(SUBSTITUTE(C8426," ",""),3))&amp;"-"&amp;TEXT(B8426,"AAMMDD")&amp;"-1")</f>
        <v/>
      </c>
    </row>
    <row r="8427" spans="20:20" hidden="1">
      <c r="T8427" t="str">
        <f>IF(C8427="","",UPPER(LEFT(SUBSTITUTE(C8427," ",""),3))&amp;"-"&amp;TEXT(B8427,"AAMMDD")&amp;"-1")</f>
        <v/>
      </c>
    </row>
    <row r="8428" spans="20:20" hidden="1">
      <c r="T8428" t="str">
        <f>IF(C8428="","",UPPER(LEFT(SUBSTITUTE(C8428," ",""),3))&amp;"-"&amp;TEXT(B8428,"AAMMDD")&amp;"-1")</f>
        <v/>
      </c>
    </row>
    <row r="8429" spans="20:20" hidden="1">
      <c r="T8429" t="str">
        <f>IF(C8429="","",UPPER(LEFT(SUBSTITUTE(C8429," ",""),3))&amp;"-"&amp;TEXT(B8429,"AAMMDD")&amp;"-1")</f>
        <v/>
      </c>
    </row>
    <row r="8430" spans="20:20" hidden="1">
      <c r="T8430" t="str">
        <f>IF(C8430="","",UPPER(LEFT(SUBSTITUTE(C8430," ",""),3))&amp;"-"&amp;TEXT(B8430,"AAMMDD")&amp;"-1")</f>
        <v/>
      </c>
    </row>
    <row r="8431" spans="20:20" hidden="1">
      <c r="T8431" t="str">
        <f>IF(C8431="","",UPPER(LEFT(SUBSTITUTE(C8431," ",""),3))&amp;"-"&amp;TEXT(B8431,"AAMMDD")&amp;"-1")</f>
        <v/>
      </c>
    </row>
    <row r="8432" spans="20:20" hidden="1">
      <c r="T8432" t="str">
        <f>IF(C8432="","",UPPER(LEFT(SUBSTITUTE(C8432," ",""),3))&amp;"-"&amp;TEXT(B8432,"AAMMDD")&amp;"-1")</f>
        <v/>
      </c>
    </row>
    <row r="8433" spans="20:20" hidden="1">
      <c r="T8433" t="str">
        <f>IF(C8433="","",UPPER(LEFT(SUBSTITUTE(C8433," ",""),3))&amp;"-"&amp;TEXT(B8433,"AAMMDD")&amp;"-1")</f>
        <v/>
      </c>
    </row>
    <row r="8434" spans="20:20" hidden="1">
      <c r="T8434" t="str">
        <f>IF(C8434="","",UPPER(LEFT(SUBSTITUTE(C8434," ",""),3))&amp;"-"&amp;TEXT(B8434,"AAMMDD")&amp;"-1")</f>
        <v/>
      </c>
    </row>
    <row r="8435" spans="20:20" hidden="1">
      <c r="T8435" t="str">
        <f>IF(C8435="","",UPPER(LEFT(SUBSTITUTE(C8435," ",""),3))&amp;"-"&amp;TEXT(B8435,"AAMMDD")&amp;"-1")</f>
        <v/>
      </c>
    </row>
    <row r="8436" spans="20:20" hidden="1">
      <c r="T8436" t="str">
        <f>IF(C8436="","",UPPER(LEFT(SUBSTITUTE(C8436," ",""),3))&amp;"-"&amp;TEXT(B8436,"AAMMDD")&amp;"-1")</f>
        <v/>
      </c>
    </row>
    <row r="8437" spans="20:20" hidden="1">
      <c r="T8437" t="str">
        <f>IF(C8437="","",UPPER(LEFT(SUBSTITUTE(C8437," ",""),3))&amp;"-"&amp;TEXT(B8437,"AAMMDD")&amp;"-1")</f>
        <v/>
      </c>
    </row>
    <row r="8438" spans="20:20" hidden="1">
      <c r="T8438" t="str">
        <f>IF(C8438="","",UPPER(LEFT(SUBSTITUTE(C8438," ",""),3))&amp;"-"&amp;TEXT(B8438,"AAMMDD")&amp;"-1")</f>
        <v/>
      </c>
    </row>
    <row r="8439" spans="20:20" hidden="1">
      <c r="T8439" t="str">
        <f>IF(C8439="","",UPPER(LEFT(SUBSTITUTE(C8439," ",""),3))&amp;"-"&amp;TEXT(B8439,"AAMMDD")&amp;"-1")</f>
        <v/>
      </c>
    </row>
    <row r="8440" spans="20:20" hidden="1">
      <c r="T8440" t="str">
        <f>IF(C8440="","",UPPER(LEFT(SUBSTITUTE(C8440," ",""),3))&amp;"-"&amp;TEXT(B8440,"AAMMDD")&amp;"-1")</f>
        <v/>
      </c>
    </row>
    <row r="8441" spans="20:20" hidden="1">
      <c r="T8441" t="str">
        <f>IF(C8441="","",UPPER(LEFT(SUBSTITUTE(C8441," ",""),3))&amp;"-"&amp;TEXT(B8441,"AAMMDD")&amp;"-1")</f>
        <v/>
      </c>
    </row>
    <row r="8442" spans="20:20" hidden="1">
      <c r="T8442" t="str">
        <f>IF(C8442="","",UPPER(LEFT(SUBSTITUTE(C8442," ",""),3))&amp;"-"&amp;TEXT(B8442,"AAMMDD")&amp;"-1")</f>
        <v/>
      </c>
    </row>
    <row r="8443" spans="20:20" hidden="1">
      <c r="T8443" t="str">
        <f>IF(C8443="","",UPPER(LEFT(SUBSTITUTE(C8443," ",""),3))&amp;"-"&amp;TEXT(B8443,"AAMMDD")&amp;"-1")</f>
        <v/>
      </c>
    </row>
    <row r="8444" spans="20:20" hidden="1">
      <c r="T8444" t="str">
        <f>IF(C8444="","",UPPER(LEFT(SUBSTITUTE(C8444," ",""),3))&amp;"-"&amp;TEXT(B8444,"AAMMDD")&amp;"-1")</f>
        <v/>
      </c>
    </row>
    <row r="8445" spans="20:20" hidden="1">
      <c r="T8445" t="str">
        <f>IF(C8445="","",UPPER(LEFT(SUBSTITUTE(C8445," ",""),3))&amp;"-"&amp;TEXT(B8445,"AAMMDD")&amp;"-1")</f>
        <v/>
      </c>
    </row>
    <row r="8446" spans="20:20" hidden="1">
      <c r="T8446" t="str">
        <f>IF(C8446="","",UPPER(LEFT(SUBSTITUTE(C8446," ",""),3))&amp;"-"&amp;TEXT(B8446,"AAMMDD")&amp;"-1")</f>
        <v/>
      </c>
    </row>
    <row r="8447" spans="20:20" hidden="1">
      <c r="T8447" t="str">
        <f>IF(C8447="","",UPPER(LEFT(SUBSTITUTE(C8447," ",""),3))&amp;"-"&amp;TEXT(B8447,"AAMMDD")&amp;"-1")</f>
        <v/>
      </c>
    </row>
    <row r="8448" spans="20:20" hidden="1">
      <c r="T8448" t="str">
        <f>IF(C8448="","",UPPER(LEFT(SUBSTITUTE(C8448," ",""),3))&amp;"-"&amp;TEXT(B8448,"AAMMDD")&amp;"-1")</f>
        <v/>
      </c>
    </row>
    <row r="8449" spans="20:20" hidden="1">
      <c r="T8449" t="str">
        <f>IF(C8449="","",UPPER(LEFT(SUBSTITUTE(C8449," ",""),3))&amp;"-"&amp;TEXT(B8449,"AAMMDD")&amp;"-1")</f>
        <v/>
      </c>
    </row>
    <row r="8450" spans="20:20" hidden="1">
      <c r="T8450" t="str">
        <f>IF(C8450="","",UPPER(LEFT(SUBSTITUTE(C8450," ",""),3))&amp;"-"&amp;TEXT(B8450,"AAMMDD")&amp;"-1")</f>
        <v/>
      </c>
    </row>
    <row r="8451" spans="20:20" hidden="1">
      <c r="T8451" t="str">
        <f>IF(C8451="","",UPPER(LEFT(SUBSTITUTE(C8451," ",""),3))&amp;"-"&amp;TEXT(B8451,"AAMMDD")&amp;"-1")</f>
        <v/>
      </c>
    </row>
    <row r="8452" spans="20:20" hidden="1">
      <c r="T8452" t="str">
        <f>IF(C8452="","",UPPER(LEFT(SUBSTITUTE(C8452," ",""),3))&amp;"-"&amp;TEXT(B8452,"AAMMDD")&amp;"-1")</f>
        <v/>
      </c>
    </row>
    <row r="8453" spans="20:20" hidden="1">
      <c r="T8453" t="str">
        <f>IF(C8453="","",UPPER(LEFT(SUBSTITUTE(C8453," ",""),3))&amp;"-"&amp;TEXT(B8453,"AAMMDD")&amp;"-1")</f>
        <v/>
      </c>
    </row>
    <row r="8454" spans="20:20" hidden="1">
      <c r="T8454" t="str">
        <f>IF(C8454="","",UPPER(LEFT(SUBSTITUTE(C8454," ",""),3))&amp;"-"&amp;TEXT(B8454,"AAMMDD")&amp;"-1")</f>
        <v/>
      </c>
    </row>
    <row r="8455" spans="20:20" hidden="1">
      <c r="T8455" t="str">
        <f>IF(C8455="","",UPPER(LEFT(SUBSTITUTE(C8455," ",""),3))&amp;"-"&amp;TEXT(B8455,"AAMMDD")&amp;"-1")</f>
        <v/>
      </c>
    </row>
    <row r="8456" spans="20:20" hidden="1">
      <c r="T8456" t="str">
        <f>IF(C8456="","",UPPER(LEFT(SUBSTITUTE(C8456," ",""),3))&amp;"-"&amp;TEXT(B8456,"AAMMDD")&amp;"-1")</f>
        <v/>
      </c>
    </row>
    <row r="8457" spans="20:20" hidden="1">
      <c r="T8457" t="str">
        <f>IF(C8457="","",UPPER(LEFT(SUBSTITUTE(C8457," ",""),3))&amp;"-"&amp;TEXT(B8457,"AAMMDD")&amp;"-1")</f>
        <v/>
      </c>
    </row>
    <row r="8458" spans="20:20" hidden="1">
      <c r="T8458" t="str">
        <f>IF(C8458="","",UPPER(LEFT(SUBSTITUTE(C8458," ",""),3))&amp;"-"&amp;TEXT(B8458,"AAMMDD")&amp;"-1")</f>
        <v/>
      </c>
    </row>
    <row r="8459" spans="20:20" hidden="1">
      <c r="T8459" t="str">
        <f>IF(C8459="","",UPPER(LEFT(SUBSTITUTE(C8459," ",""),3))&amp;"-"&amp;TEXT(B8459,"AAMMDD")&amp;"-1")</f>
        <v/>
      </c>
    </row>
    <row r="8460" spans="20:20" hidden="1">
      <c r="T8460" t="str">
        <f>IF(C8460="","",UPPER(LEFT(SUBSTITUTE(C8460," ",""),3))&amp;"-"&amp;TEXT(B8460,"AAMMDD")&amp;"-1")</f>
        <v/>
      </c>
    </row>
    <row r="8461" spans="20:20" hidden="1">
      <c r="T8461" t="str">
        <f>IF(C8461="","",UPPER(LEFT(SUBSTITUTE(C8461," ",""),3))&amp;"-"&amp;TEXT(B8461,"AAMMDD")&amp;"-1")</f>
        <v/>
      </c>
    </row>
    <row r="8462" spans="20:20" hidden="1">
      <c r="T8462" t="str">
        <f>IF(C8462="","",UPPER(LEFT(SUBSTITUTE(C8462," ",""),3))&amp;"-"&amp;TEXT(B8462,"AAMMDD")&amp;"-1")</f>
        <v/>
      </c>
    </row>
    <row r="8463" spans="20:20" hidden="1">
      <c r="T8463" t="str">
        <f>IF(C8463="","",UPPER(LEFT(SUBSTITUTE(C8463," ",""),3))&amp;"-"&amp;TEXT(B8463,"AAMMDD")&amp;"-1")</f>
        <v/>
      </c>
    </row>
    <row r="8464" spans="20:20" hidden="1">
      <c r="T8464" t="str">
        <f>IF(C8464="","",UPPER(LEFT(SUBSTITUTE(C8464," ",""),3))&amp;"-"&amp;TEXT(B8464,"AAMMDD")&amp;"-1")</f>
        <v/>
      </c>
    </row>
    <row r="8465" spans="20:20" hidden="1">
      <c r="T8465" t="str">
        <f>IF(C8465="","",UPPER(LEFT(SUBSTITUTE(C8465," ",""),3))&amp;"-"&amp;TEXT(B8465,"AAMMDD")&amp;"-1")</f>
        <v/>
      </c>
    </row>
    <row r="8466" spans="20:20" hidden="1">
      <c r="T8466" t="str">
        <f>IF(C8466="","",UPPER(LEFT(SUBSTITUTE(C8466," ",""),3))&amp;"-"&amp;TEXT(B8466,"AAMMDD")&amp;"-1")</f>
        <v/>
      </c>
    </row>
    <row r="8467" spans="20:20" hidden="1">
      <c r="T8467" t="str">
        <f>IF(C8467="","",UPPER(LEFT(SUBSTITUTE(C8467," ",""),3))&amp;"-"&amp;TEXT(B8467,"AAMMDD")&amp;"-1")</f>
        <v/>
      </c>
    </row>
    <row r="8468" spans="20:20" hidden="1">
      <c r="T8468" t="str">
        <f>IF(C8468="","",UPPER(LEFT(SUBSTITUTE(C8468," ",""),3))&amp;"-"&amp;TEXT(B8468,"AAMMDD")&amp;"-1")</f>
        <v/>
      </c>
    </row>
    <row r="8469" spans="20:20" hidden="1">
      <c r="T8469" t="str">
        <f>IF(C8469="","",UPPER(LEFT(SUBSTITUTE(C8469," ",""),3))&amp;"-"&amp;TEXT(B8469,"AAMMDD")&amp;"-1")</f>
        <v/>
      </c>
    </row>
    <row r="8470" spans="20:20" hidden="1">
      <c r="T8470" t="str">
        <f>IF(C8470="","",UPPER(LEFT(SUBSTITUTE(C8470," ",""),3))&amp;"-"&amp;TEXT(B8470,"AAMMDD")&amp;"-1")</f>
        <v/>
      </c>
    </row>
    <row r="8471" spans="20:20" hidden="1">
      <c r="T8471" t="str">
        <f>IF(C8471="","",UPPER(LEFT(SUBSTITUTE(C8471," ",""),3))&amp;"-"&amp;TEXT(B8471,"AAMMDD")&amp;"-1")</f>
        <v/>
      </c>
    </row>
    <row r="8472" spans="20:20" hidden="1">
      <c r="T8472" t="str">
        <f>IF(C8472="","",UPPER(LEFT(SUBSTITUTE(C8472," ",""),3))&amp;"-"&amp;TEXT(B8472,"AAMMDD")&amp;"-1")</f>
        <v/>
      </c>
    </row>
    <row r="8473" spans="20:20" hidden="1">
      <c r="T8473" t="str">
        <f>IF(C8473="","",UPPER(LEFT(SUBSTITUTE(C8473," ",""),3))&amp;"-"&amp;TEXT(B8473,"AAMMDD")&amp;"-1")</f>
        <v/>
      </c>
    </row>
    <row r="8474" spans="20:20" hidden="1">
      <c r="T8474" t="str">
        <f>IF(C8474="","",UPPER(LEFT(SUBSTITUTE(C8474," ",""),3))&amp;"-"&amp;TEXT(B8474,"AAMMDD")&amp;"-1")</f>
        <v/>
      </c>
    </row>
    <row r="8475" spans="20:20" hidden="1">
      <c r="T8475" t="str">
        <f>IF(C8475="","",UPPER(LEFT(SUBSTITUTE(C8475," ",""),3))&amp;"-"&amp;TEXT(B8475,"AAMMDD")&amp;"-1")</f>
        <v/>
      </c>
    </row>
    <row r="8476" spans="20:20" hidden="1">
      <c r="T8476" t="str">
        <f>IF(C8476="","",UPPER(LEFT(SUBSTITUTE(C8476," ",""),3))&amp;"-"&amp;TEXT(B8476,"AAMMDD")&amp;"-1")</f>
        <v/>
      </c>
    </row>
    <row r="8477" spans="20:20" hidden="1">
      <c r="T8477" t="str">
        <f>IF(C8477="","",UPPER(LEFT(SUBSTITUTE(C8477," ",""),3))&amp;"-"&amp;TEXT(B8477,"AAMMDD")&amp;"-1")</f>
        <v/>
      </c>
    </row>
    <row r="8478" spans="20:20" hidden="1">
      <c r="T8478" t="str">
        <f>IF(C8478="","",UPPER(LEFT(SUBSTITUTE(C8478," ",""),3))&amp;"-"&amp;TEXT(B8478,"AAMMDD")&amp;"-1")</f>
        <v/>
      </c>
    </row>
    <row r="8479" spans="20:20" hidden="1">
      <c r="T8479" t="str">
        <f>IF(C8479="","",UPPER(LEFT(SUBSTITUTE(C8479," ",""),3))&amp;"-"&amp;TEXT(B8479,"AAMMDD")&amp;"-1")</f>
        <v/>
      </c>
    </row>
    <row r="8480" spans="20:20" hidden="1">
      <c r="T8480" t="str">
        <f>IF(C8480="","",UPPER(LEFT(SUBSTITUTE(C8480," ",""),3))&amp;"-"&amp;TEXT(B8480,"AAMMDD")&amp;"-1")</f>
        <v/>
      </c>
    </row>
    <row r="8481" spans="20:20" hidden="1">
      <c r="T8481" t="str">
        <f>IF(C8481="","",UPPER(LEFT(SUBSTITUTE(C8481," ",""),3))&amp;"-"&amp;TEXT(B8481,"AAMMDD")&amp;"-1")</f>
        <v/>
      </c>
    </row>
    <row r="8482" spans="20:20" hidden="1">
      <c r="T8482" t="str">
        <f>IF(C8482="","",UPPER(LEFT(SUBSTITUTE(C8482," ",""),3))&amp;"-"&amp;TEXT(B8482,"AAMMDD")&amp;"-1")</f>
        <v/>
      </c>
    </row>
    <row r="8483" spans="20:20" hidden="1">
      <c r="T8483" t="str">
        <f>IF(C8483="","",UPPER(LEFT(SUBSTITUTE(C8483," ",""),3))&amp;"-"&amp;TEXT(B8483,"AAMMDD")&amp;"-1")</f>
        <v/>
      </c>
    </row>
    <row r="8484" spans="20:20" hidden="1">
      <c r="T8484" t="str">
        <f>IF(C8484="","",UPPER(LEFT(SUBSTITUTE(C8484," ",""),3))&amp;"-"&amp;TEXT(B8484,"AAMMDD")&amp;"-1")</f>
        <v/>
      </c>
    </row>
    <row r="8485" spans="20:20" hidden="1">
      <c r="T8485" t="str">
        <f>IF(C8485="","",UPPER(LEFT(SUBSTITUTE(C8485," ",""),3))&amp;"-"&amp;TEXT(B8485,"AAMMDD")&amp;"-1")</f>
        <v/>
      </c>
    </row>
    <row r="8486" spans="20:20" hidden="1">
      <c r="T8486" t="str">
        <f>IF(C8486="","",UPPER(LEFT(SUBSTITUTE(C8486," ",""),3))&amp;"-"&amp;TEXT(B8486,"AAMMDD")&amp;"-1")</f>
        <v/>
      </c>
    </row>
    <row r="8487" spans="20:20" hidden="1">
      <c r="T8487" t="str">
        <f>IF(C8487="","",UPPER(LEFT(SUBSTITUTE(C8487," ",""),3))&amp;"-"&amp;TEXT(B8487,"AAMMDD")&amp;"-1")</f>
        <v/>
      </c>
    </row>
    <row r="8488" spans="20:20" hidden="1">
      <c r="T8488" t="str">
        <f>IF(C8488="","",UPPER(LEFT(SUBSTITUTE(C8488," ",""),3))&amp;"-"&amp;TEXT(B8488,"AAMMDD")&amp;"-1")</f>
        <v/>
      </c>
    </row>
    <row r="8489" spans="20:20" hidden="1">
      <c r="T8489" t="str">
        <f>IF(C8489="","",UPPER(LEFT(SUBSTITUTE(C8489," ",""),3))&amp;"-"&amp;TEXT(B8489,"AAMMDD")&amp;"-1")</f>
        <v/>
      </c>
    </row>
    <row r="8490" spans="20:20" hidden="1">
      <c r="T8490" t="str">
        <f>IF(C8490="","",UPPER(LEFT(SUBSTITUTE(C8490," ",""),3))&amp;"-"&amp;TEXT(B8490,"AAMMDD")&amp;"-1")</f>
        <v/>
      </c>
    </row>
    <row r="8491" spans="20:20" hidden="1">
      <c r="T8491" t="str">
        <f>IF(C8491="","",UPPER(LEFT(SUBSTITUTE(C8491," ",""),3))&amp;"-"&amp;TEXT(B8491,"AAMMDD")&amp;"-1")</f>
        <v/>
      </c>
    </row>
    <row r="8492" spans="20:20" hidden="1">
      <c r="T8492" t="str">
        <f>IF(C8492="","",UPPER(LEFT(SUBSTITUTE(C8492," ",""),3))&amp;"-"&amp;TEXT(B8492,"AAMMDD")&amp;"-1")</f>
        <v/>
      </c>
    </row>
    <row r="8493" spans="20:20" hidden="1">
      <c r="T8493" t="str">
        <f>IF(C8493="","",UPPER(LEFT(SUBSTITUTE(C8493," ",""),3))&amp;"-"&amp;TEXT(B8493,"AAMMDD")&amp;"-1")</f>
        <v/>
      </c>
    </row>
    <row r="8494" spans="20:20" hidden="1">
      <c r="T8494" t="str">
        <f>IF(C8494="","",UPPER(LEFT(SUBSTITUTE(C8494," ",""),3))&amp;"-"&amp;TEXT(B8494,"AAMMDD")&amp;"-1")</f>
        <v/>
      </c>
    </row>
    <row r="8495" spans="20:20" hidden="1">
      <c r="T8495" t="str">
        <f>IF(C8495="","",UPPER(LEFT(SUBSTITUTE(C8495," ",""),3))&amp;"-"&amp;TEXT(B8495,"AAMMDD")&amp;"-1")</f>
        <v/>
      </c>
    </row>
    <row r="8496" spans="20:20" hidden="1">
      <c r="T8496" t="str">
        <f>IF(C8496="","",UPPER(LEFT(SUBSTITUTE(C8496," ",""),3))&amp;"-"&amp;TEXT(B8496,"AAMMDD")&amp;"-1")</f>
        <v/>
      </c>
    </row>
    <row r="8497" spans="20:20" hidden="1">
      <c r="T8497" t="str">
        <f>IF(C8497="","",UPPER(LEFT(SUBSTITUTE(C8497," ",""),3))&amp;"-"&amp;TEXT(B8497,"AAMMDD")&amp;"-1")</f>
        <v/>
      </c>
    </row>
    <row r="8498" spans="20:20" hidden="1">
      <c r="T8498" t="str">
        <f>IF(C8498="","",UPPER(LEFT(SUBSTITUTE(C8498," ",""),3))&amp;"-"&amp;TEXT(B8498,"AAMMDD")&amp;"-1")</f>
        <v/>
      </c>
    </row>
    <row r="8499" spans="20:20" hidden="1">
      <c r="T8499" t="str">
        <f>IF(C8499="","",UPPER(LEFT(SUBSTITUTE(C8499," ",""),3))&amp;"-"&amp;TEXT(B8499,"AAMMDD")&amp;"-1")</f>
        <v/>
      </c>
    </row>
    <row r="8500" spans="20:20" hidden="1">
      <c r="T8500" t="str">
        <f>IF(C8500="","",UPPER(LEFT(SUBSTITUTE(C8500," ",""),3))&amp;"-"&amp;TEXT(B8500,"AAMMDD")&amp;"-1")</f>
        <v/>
      </c>
    </row>
    <row r="8501" spans="20:20" hidden="1">
      <c r="T8501" t="str">
        <f>IF(C8501="","",UPPER(LEFT(SUBSTITUTE(C8501," ",""),3))&amp;"-"&amp;TEXT(B8501,"AAMMDD")&amp;"-1")</f>
        <v/>
      </c>
    </row>
    <row r="8502" spans="20:20" hidden="1">
      <c r="T8502" t="str">
        <f>IF(C8502="","",UPPER(LEFT(SUBSTITUTE(C8502," ",""),3))&amp;"-"&amp;TEXT(B8502,"AAMMDD")&amp;"-1")</f>
        <v/>
      </c>
    </row>
    <row r="8503" spans="20:20" hidden="1">
      <c r="T8503" t="str">
        <f>IF(C8503="","",UPPER(LEFT(SUBSTITUTE(C8503," ",""),3))&amp;"-"&amp;TEXT(B8503,"AAMMDD")&amp;"-1")</f>
        <v/>
      </c>
    </row>
    <row r="8504" spans="20:20" hidden="1">
      <c r="T8504" t="str">
        <f>IF(C8504="","",UPPER(LEFT(SUBSTITUTE(C8504," ",""),3))&amp;"-"&amp;TEXT(B8504,"AAMMDD")&amp;"-1")</f>
        <v/>
      </c>
    </row>
    <row r="8505" spans="20:20" hidden="1">
      <c r="T8505" t="str">
        <f>IF(C8505="","",UPPER(LEFT(SUBSTITUTE(C8505," ",""),3))&amp;"-"&amp;TEXT(B8505,"AAMMDD")&amp;"-1")</f>
        <v/>
      </c>
    </row>
    <row r="8506" spans="20:20" hidden="1">
      <c r="T8506" t="str">
        <f>IF(C8506="","",UPPER(LEFT(SUBSTITUTE(C8506," ",""),3))&amp;"-"&amp;TEXT(B8506,"AAMMDD")&amp;"-1")</f>
        <v/>
      </c>
    </row>
    <row r="8507" spans="20:20" hidden="1">
      <c r="T8507" t="str">
        <f>IF(C8507="","",UPPER(LEFT(SUBSTITUTE(C8507," ",""),3))&amp;"-"&amp;TEXT(B8507,"AAMMDD")&amp;"-1")</f>
        <v/>
      </c>
    </row>
    <row r="8508" spans="20:20" hidden="1">
      <c r="T8508" t="str">
        <f>IF(C8508="","",UPPER(LEFT(SUBSTITUTE(C8508," ",""),3))&amp;"-"&amp;TEXT(B8508,"AAMMDD")&amp;"-1")</f>
        <v/>
      </c>
    </row>
    <row r="8509" spans="20:20" hidden="1">
      <c r="T8509" t="str">
        <f>IF(C8509="","",UPPER(LEFT(SUBSTITUTE(C8509," ",""),3))&amp;"-"&amp;TEXT(B8509,"AAMMDD")&amp;"-1")</f>
        <v/>
      </c>
    </row>
    <row r="8510" spans="20:20" hidden="1">
      <c r="T8510" t="str">
        <f>IF(C8510="","",UPPER(LEFT(SUBSTITUTE(C8510," ",""),3))&amp;"-"&amp;TEXT(B8510,"AAMMDD")&amp;"-1")</f>
        <v/>
      </c>
    </row>
    <row r="8511" spans="20:20" hidden="1">
      <c r="T8511" t="str">
        <f>IF(C8511="","",UPPER(LEFT(SUBSTITUTE(C8511," ",""),3))&amp;"-"&amp;TEXT(B8511,"AAMMDD")&amp;"-1")</f>
        <v/>
      </c>
    </row>
    <row r="8512" spans="20:20" hidden="1">
      <c r="T8512" t="str">
        <f>IF(C8512="","",UPPER(LEFT(SUBSTITUTE(C8512," ",""),3))&amp;"-"&amp;TEXT(B8512,"AAMMDD")&amp;"-1")</f>
        <v/>
      </c>
    </row>
    <row r="8513" spans="20:20" hidden="1">
      <c r="T8513" t="str">
        <f>IF(C8513="","",UPPER(LEFT(SUBSTITUTE(C8513," ",""),3))&amp;"-"&amp;TEXT(B8513,"AAMMDD")&amp;"-1")</f>
        <v/>
      </c>
    </row>
    <row r="8514" spans="20:20" hidden="1">
      <c r="T8514" t="str">
        <f>IF(C8514="","",UPPER(LEFT(SUBSTITUTE(C8514," ",""),3))&amp;"-"&amp;TEXT(B8514,"AAMMDD")&amp;"-1")</f>
        <v/>
      </c>
    </row>
    <row r="8515" spans="20:20" hidden="1">
      <c r="T8515" t="str">
        <f>IF(C8515="","",UPPER(LEFT(SUBSTITUTE(C8515," ",""),3))&amp;"-"&amp;TEXT(B8515,"AAMMDD")&amp;"-1")</f>
        <v/>
      </c>
    </row>
    <row r="8516" spans="20:20" hidden="1">
      <c r="T8516" t="str">
        <f>IF(C8516="","",UPPER(LEFT(SUBSTITUTE(C8516," ",""),3))&amp;"-"&amp;TEXT(B8516,"AAMMDD")&amp;"-1")</f>
        <v/>
      </c>
    </row>
    <row r="8517" spans="20:20" hidden="1">
      <c r="T8517" t="str">
        <f>IF(C8517="","",UPPER(LEFT(SUBSTITUTE(C8517," ",""),3))&amp;"-"&amp;TEXT(B8517,"AAMMDD")&amp;"-1")</f>
        <v/>
      </c>
    </row>
    <row r="8518" spans="20:20" hidden="1">
      <c r="T8518" t="str">
        <f>IF(C8518="","",UPPER(LEFT(SUBSTITUTE(C8518," ",""),3))&amp;"-"&amp;TEXT(B8518,"AAMMDD")&amp;"-1")</f>
        <v/>
      </c>
    </row>
    <row r="8519" spans="20:20" hidden="1">
      <c r="T8519" t="str">
        <f>IF(C8519="","",UPPER(LEFT(SUBSTITUTE(C8519," ",""),3))&amp;"-"&amp;TEXT(B8519,"AAMMDD")&amp;"-1")</f>
        <v/>
      </c>
    </row>
    <row r="8520" spans="20:20" hidden="1">
      <c r="T8520" t="str">
        <f>IF(C8520="","",UPPER(LEFT(SUBSTITUTE(C8520," ",""),3))&amp;"-"&amp;TEXT(B8520,"AAMMDD")&amp;"-1")</f>
        <v/>
      </c>
    </row>
    <row r="8521" spans="20:20" hidden="1">
      <c r="T8521" t="str">
        <f>IF(C8521="","",UPPER(LEFT(SUBSTITUTE(C8521," ",""),3))&amp;"-"&amp;TEXT(B8521,"AAMMDD")&amp;"-1")</f>
        <v/>
      </c>
    </row>
    <row r="8522" spans="20:20" hidden="1">
      <c r="T8522" t="str">
        <f>IF(C8522="","",UPPER(LEFT(SUBSTITUTE(C8522," ",""),3))&amp;"-"&amp;TEXT(B8522,"AAMMDD")&amp;"-1")</f>
        <v/>
      </c>
    </row>
    <row r="8523" spans="20:20" hidden="1">
      <c r="T8523" t="str">
        <f>IF(C8523="","",UPPER(LEFT(SUBSTITUTE(C8523," ",""),3))&amp;"-"&amp;TEXT(B8523,"AAMMDD")&amp;"-1")</f>
        <v/>
      </c>
    </row>
    <row r="8524" spans="20:20" hidden="1">
      <c r="T8524" t="str">
        <f>IF(C8524="","",UPPER(LEFT(SUBSTITUTE(C8524," ",""),3))&amp;"-"&amp;TEXT(B8524,"AAMMDD")&amp;"-1")</f>
        <v/>
      </c>
    </row>
    <row r="8525" spans="20:20" hidden="1">
      <c r="T8525" t="str">
        <f>IF(C8525="","",UPPER(LEFT(SUBSTITUTE(C8525," ",""),3))&amp;"-"&amp;TEXT(B8525,"AAMMDD")&amp;"-1")</f>
        <v/>
      </c>
    </row>
    <row r="8526" spans="20:20" hidden="1">
      <c r="T8526" t="str">
        <f>IF(C8526="","",UPPER(LEFT(SUBSTITUTE(C8526," ",""),3))&amp;"-"&amp;TEXT(B8526,"AAMMDD")&amp;"-1")</f>
        <v/>
      </c>
    </row>
    <row r="8527" spans="20:20" hidden="1">
      <c r="T8527" t="str">
        <f>IF(C8527="","",UPPER(LEFT(SUBSTITUTE(C8527," ",""),3))&amp;"-"&amp;TEXT(B8527,"AAMMDD")&amp;"-1")</f>
        <v/>
      </c>
    </row>
    <row r="8528" spans="20:20" hidden="1">
      <c r="T8528" t="str">
        <f>IF(C8528="","",UPPER(LEFT(SUBSTITUTE(C8528," ",""),3))&amp;"-"&amp;TEXT(B8528,"AAMMDD")&amp;"-1")</f>
        <v/>
      </c>
    </row>
    <row r="8529" spans="20:20" hidden="1">
      <c r="T8529" t="str">
        <f>IF(C8529="","",UPPER(LEFT(SUBSTITUTE(C8529," ",""),3))&amp;"-"&amp;TEXT(B8529,"AAMMDD")&amp;"-1")</f>
        <v/>
      </c>
    </row>
    <row r="8530" spans="20:20" hidden="1">
      <c r="T8530" t="str">
        <f>IF(C8530="","",UPPER(LEFT(SUBSTITUTE(C8530," ",""),3))&amp;"-"&amp;TEXT(B8530,"AAMMDD")&amp;"-1")</f>
        <v/>
      </c>
    </row>
    <row r="8531" spans="20:20" hidden="1">
      <c r="T8531" t="str">
        <f>IF(C8531="","",UPPER(LEFT(SUBSTITUTE(C8531," ",""),3))&amp;"-"&amp;TEXT(B8531,"AAMMDD")&amp;"-1")</f>
        <v/>
      </c>
    </row>
    <row r="8532" spans="20:20" hidden="1">
      <c r="T8532" t="str">
        <f>IF(C8532="","",UPPER(LEFT(SUBSTITUTE(C8532," ",""),3))&amp;"-"&amp;TEXT(B8532,"AAMMDD")&amp;"-1")</f>
        <v/>
      </c>
    </row>
    <row r="8533" spans="20:20" hidden="1">
      <c r="T8533" t="str">
        <f>IF(C8533="","",UPPER(LEFT(SUBSTITUTE(C8533," ",""),3))&amp;"-"&amp;TEXT(B8533,"AAMMDD")&amp;"-1")</f>
        <v/>
      </c>
    </row>
    <row r="8534" spans="20:20" hidden="1">
      <c r="T8534" t="str">
        <f>IF(C8534="","",UPPER(LEFT(SUBSTITUTE(C8534," ",""),3))&amp;"-"&amp;TEXT(B8534,"AAMMDD")&amp;"-1")</f>
        <v/>
      </c>
    </row>
    <row r="8535" spans="20:20" hidden="1">
      <c r="T8535" t="str">
        <f>IF(C8535="","",UPPER(LEFT(SUBSTITUTE(C8535," ",""),3))&amp;"-"&amp;TEXT(B8535,"AAMMDD")&amp;"-1")</f>
        <v/>
      </c>
    </row>
    <row r="8536" spans="20:20" hidden="1">
      <c r="T8536" t="str">
        <f>IF(C8536="","",UPPER(LEFT(SUBSTITUTE(C8536," ",""),3))&amp;"-"&amp;TEXT(B8536,"AAMMDD")&amp;"-1")</f>
        <v/>
      </c>
    </row>
    <row r="8537" spans="20:20" hidden="1">
      <c r="T8537" t="str">
        <f>IF(C8537="","",UPPER(LEFT(SUBSTITUTE(C8537," ",""),3))&amp;"-"&amp;TEXT(B8537,"AAMMDD")&amp;"-1")</f>
        <v/>
      </c>
    </row>
    <row r="8538" spans="20:20" hidden="1">
      <c r="T8538" t="str">
        <f>IF(C8538="","",UPPER(LEFT(SUBSTITUTE(C8538," ",""),3))&amp;"-"&amp;TEXT(B8538,"AAMMDD")&amp;"-1")</f>
        <v/>
      </c>
    </row>
    <row r="8539" spans="20:20" hidden="1">
      <c r="T8539" t="str">
        <f>IF(C8539="","",UPPER(LEFT(SUBSTITUTE(C8539," ",""),3))&amp;"-"&amp;TEXT(B8539,"AAMMDD")&amp;"-1")</f>
        <v/>
      </c>
    </row>
    <row r="8540" spans="20:20" hidden="1">
      <c r="T8540" t="str">
        <f>IF(C8540="","",UPPER(LEFT(SUBSTITUTE(C8540," ",""),3))&amp;"-"&amp;TEXT(B8540,"AAMMDD")&amp;"-1")</f>
        <v/>
      </c>
    </row>
    <row r="8541" spans="20:20" hidden="1">
      <c r="T8541" t="str">
        <f>IF(C8541="","",UPPER(LEFT(SUBSTITUTE(C8541," ",""),3))&amp;"-"&amp;TEXT(B8541,"AAMMDD")&amp;"-1")</f>
        <v/>
      </c>
    </row>
    <row r="8542" spans="20:20" hidden="1">
      <c r="T8542" t="str">
        <f>IF(C8542="","",UPPER(LEFT(SUBSTITUTE(C8542," ",""),3))&amp;"-"&amp;TEXT(B8542,"AAMMDD")&amp;"-1")</f>
        <v/>
      </c>
    </row>
    <row r="8543" spans="20:20" hidden="1">
      <c r="T8543" t="str">
        <f>IF(C8543="","",UPPER(LEFT(SUBSTITUTE(C8543," ",""),3))&amp;"-"&amp;TEXT(B8543,"AAMMDD")&amp;"-1")</f>
        <v/>
      </c>
    </row>
    <row r="8544" spans="20:20" hidden="1">
      <c r="T8544" t="str">
        <f>IF(C8544="","",UPPER(LEFT(SUBSTITUTE(C8544," ",""),3))&amp;"-"&amp;TEXT(B8544,"AAMMDD")&amp;"-1")</f>
        <v/>
      </c>
    </row>
    <row r="8545" spans="20:20" hidden="1">
      <c r="T8545" t="str">
        <f>IF(C8545="","",UPPER(LEFT(SUBSTITUTE(C8545," ",""),3))&amp;"-"&amp;TEXT(B8545,"AAMMDD")&amp;"-1")</f>
        <v/>
      </c>
    </row>
    <row r="8546" spans="20:20" hidden="1">
      <c r="T8546" t="str">
        <f>IF(C8546="","",UPPER(LEFT(SUBSTITUTE(C8546," ",""),3))&amp;"-"&amp;TEXT(B8546,"AAMMDD")&amp;"-1")</f>
        <v/>
      </c>
    </row>
    <row r="8547" spans="20:20" hidden="1">
      <c r="T8547" t="str">
        <f>IF(C8547="","",UPPER(LEFT(SUBSTITUTE(C8547," ",""),3))&amp;"-"&amp;TEXT(B8547,"AAMMDD")&amp;"-1")</f>
        <v/>
      </c>
    </row>
    <row r="8548" spans="20:20" hidden="1">
      <c r="T8548" t="str">
        <f>IF(C8548="","",UPPER(LEFT(SUBSTITUTE(C8548," ",""),3))&amp;"-"&amp;TEXT(B8548,"AAMMDD")&amp;"-1")</f>
        <v/>
      </c>
    </row>
    <row r="8549" spans="20:20" hidden="1">
      <c r="T8549" t="str">
        <f>IF(C8549="","",UPPER(LEFT(SUBSTITUTE(C8549," ",""),3))&amp;"-"&amp;TEXT(B8549,"AAMMDD")&amp;"-1")</f>
        <v/>
      </c>
    </row>
    <row r="8550" spans="20:20" hidden="1">
      <c r="T8550" t="str">
        <f>IF(C8550="","",UPPER(LEFT(SUBSTITUTE(C8550," ",""),3))&amp;"-"&amp;TEXT(B8550,"AAMMDD")&amp;"-1")</f>
        <v/>
      </c>
    </row>
    <row r="8551" spans="20:20" hidden="1">
      <c r="T8551" t="str">
        <f>IF(C8551="","",UPPER(LEFT(SUBSTITUTE(C8551," ",""),3))&amp;"-"&amp;TEXT(B8551,"AAMMDD")&amp;"-1")</f>
        <v/>
      </c>
    </row>
    <row r="8552" spans="20:20" hidden="1">
      <c r="T8552" t="str">
        <f>IF(C8552="","",UPPER(LEFT(SUBSTITUTE(C8552," ",""),3))&amp;"-"&amp;TEXT(B8552,"AAMMDD")&amp;"-1")</f>
        <v/>
      </c>
    </row>
    <row r="8553" spans="20:20" hidden="1">
      <c r="T8553" t="str">
        <f>IF(C8553="","",UPPER(LEFT(SUBSTITUTE(C8553," ",""),3))&amp;"-"&amp;TEXT(B8553,"AAMMDD")&amp;"-1")</f>
        <v/>
      </c>
    </row>
    <row r="8554" spans="20:20" hidden="1">
      <c r="T8554" t="str">
        <f>IF(C8554="","",UPPER(LEFT(SUBSTITUTE(C8554," ",""),3))&amp;"-"&amp;TEXT(B8554,"AAMMDD")&amp;"-1")</f>
        <v/>
      </c>
    </row>
    <row r="8555" spans="20:20" hidden="1">
      <c r="T8555" t="str">
        <f>IF(C8555="","",UPPER(LEFT(SUBSTITUTE(C8555," ",""),3))&amp;"-"&amp;TEXT(B8555,"AAMMDD")&amp;"-1")</f>
        <v/>
      </c>
    </row>
    <row r="8556" spans="20:20" hidden="1">
      <c r="T8556" t="str">
        <f>IF(C8556="","",UPPER(LEFT(SUBSTITUTE(C8556," ",""),3))&amp;"-"&amp;TEXT(B8556,"AAMMDD")&amp;"-1")</f>
        <v/>
      </c>
    </row>
    <row r="8557" spans="20:20" hidden="1">
      <c r="T8557" t="str">
        <f>IF(C8557="","",UPPER(LEFT(SUBSTITUTE(C8557," ",""),3))&amp;"-"&amp;TEXT(B8557,"AAMMDD")&amp;"-1")</f>
        <v/>
      </c>
    </row>
    <row r="8558" spans="20:20" hidden="1">
      <c r="T8558" t="str">
        <f>IF(C8558="","",UPPER(LEFT(SUBSTITUTE(C8558," ",""),3))&amp;"-"&amp;TEXT(B8558,"AAMMDD")&amp;"-1")</f>
        <v/>
      </c>
    </row>
    <row r="8559" spans="20:20" hidden="1">
      <c r="T8559" t="str">
        <f>IF(C8559="","",UPPER(LEFT(SUBSTITUTE(C8559," ",""),3))&amp;"-"&amp;TEXT(B8559,"AAMMDD")&amp;"-1")</f>
        <v/>
      </c>
    </row>
    <row r="8560" spans="20:20" hidden="1">
      <c r="T8560" t="str">
        <f>IF(C8560="","",UPPER(LEFT(SUBSTITUTE(C8560," ",""),3))&amp;"-"&amp;TEXT(B8560,"AAMMDD")&amp;"-1")</f>
        <v/>
      </c>
    </row>
    <row r="8561" spans="20:20" hidden="1">
      <c r="T8561" t="str">
        <f>IF(C8561="","",UPPER(LEFT(SUBSTITUTE(C8561," ",""),3))&amp;"-"&amp;TEXT(B8561,"AAMMDD")&amp;"-1")</f>
        <v/>
      </c>
    </row>
    <row r="8562" spans="20:20" hidden="1">
      <c r="T8562" t="str">
        <f>IF(C8562="","",UPPER(LEFT(SUBSTITUTE(C8562," ",""),3))&amp;"-"&amp;TEXT(B8562,"AAMMDD")&amp;"-1")</f>
        <v/>
      </c>
    </row>
    <row r="8563" spans="20:20" hidden="1">
      <c r="T8563" t="str">
        <f>IF(C8563="","",UPPER(LEFT(SUBSTITUTE(C8563," ",""),3))&amp;"-"&amp;TEXT(B8563,"AAMMDD")&amp;"-1")</f>
        <v/>
      </c>
    </row>
    <row r="8564" spans="20:20" hidden="1">
      <c r="T8564" t="str">
        <f>IF(C8564="","",UPPER(LEFT(SUBSTITUTE(C8564," ",""),3))&amp;"-"&amp;TEXT(B8564,"AAMMDD")&amp;"-1")</f>
        <v/>
      </c>
    </row>
    <row r="8565" spans="20:20" hidden="1">
      <c r="T8565" t="str">
        <f>IF(C8565="","",UPPER(LEFT(SUBSTITUTE(C8565," ",""),3))&amp;"-"&amp;TEXT(B8565,"AAMMDD")&amp;"-1")</f>
        <v/>
      </c>
    </row>
    <row r="8566" spans="20:20" hidden="1">
      <c r="T8566" t="str">
        <f>IF(C8566="","",UPPER(LEFT(SUBSTITUTE(C8566," ",""),3))&amp;"-"&amp;TEXT(B8566,"AAMMDD")&amp;"-1")</f>
        <v/>
      </c>
    </row>
    <row r="8567" spans="20:20" hidden="1">
      <c r="T8567" t="str">
        <f>IF(C8567="","",UPPER(LEFT(SUBSTITUTE(C8567," ",""),3))&amp;"-"&amp;TEXT(B8567,"AAMMDD")&amp;"-1")</f>
        <v/>
      </c>
    </row>
    <row r="8568" spans="20:20" hidden="1">
      <c r="T8568" t="str">
        <f>IF(C8568="","",UPPER(LEFT(SUBSTITUTE(C8568," ",""),3))&amp;"-"&amp;TEXT(B8568,"AAMMDD")&amp;"-1")</f>
        <v/>
      </c>
    </row>
    <row r="8569" spans="20:20" hidden="1">
      <c r="T8569" t="str">
        <f>IF(C8569="","",UPPER(LEFT(SUBSTITUTE(C8569," ",""),3))&amp;"-"&amp;TEXT(B8569,"AAMMDD")&amp;"-1")</f>
        <v/>
      </c>
    </row>
    <row r="8570" spans="20:20" hidden="1">
      <c r="T8570" t="str">
        <f>IF(C8570="","",UPPER(LEFT(SUBSTITUTE(C8570," ",""),3))&amp;"-"&amp;TEXT(B8570,"AAMMDD")&amp;"-1")</f>
        <v/>
      </c>
    </row>
    <row r="8571" spans="20:20" hidden="1">
      <c r="T8571" t="str">
        <f>IF(C8571="","",UPPER(LEFT(SUBSTITUTE(C8571," ",""),3))&amp;"-"&amp;TEXT(B8571,"AAMMDD")&amp;"-1")</f>
        <v/>
      </c>
    </row>
    <row r="8572" spans="20:20" hidden="1">
      <c r="T8572" t="str">
        <f>IF(C8572="","",UPPER(LEFT(SUBSTITUTE(C8572," ",""),3))&amp;"-"&amp;TEXT(B8572,"AAMMDD")&amp;"-1")</f>
        <v/>
      </c>
    </row>
    <row r="8573" spans="20:20" hidden="1">
      <c r="T8573" t="str">
        <f>IF(C8573="","",UPPER(LEFT(SUBSTITUTE(C8573," ",""),3))&amp;"-"&amp;TEXT(B8573,"AAMMDD")&amp;"-1")</f>
        <v/>
      </c>
    </row>
    <row r="8574" spans="20:20" hidden="1">
      <c r="T8574" t="str">
        <f>IF(C8574="","",UPPER(LEFT(SUBSTITUTE(C8574," ",""),3))&amp;"-"&amp;TEXT(B8574,"AAMMDD")&amp;"-1")</f>
        <v/>
      </c>
    </row>
    <row r="8575" spans="20:20" hidden="1">
      <c r="T8575" t="str">
        <f>IF(C8575="","",UPPER(LEFT(SUBSTITUTE(C8575," ",""),3))&amp;"-"&amp;TEXT(B8575,"AAMMDD")&amp;"-1")</f>
        <v/>
      </c>
    </row>
    <row r="8576" spans="20:20" hidden="1">
      <c r="T8576" t="str">
        <f>IF(C8576="","",UPPER(LEFT(SUBSTITUTE(C8576," ",""),3))&amp;"-"&amp;TEXT(B8576,"AAMMDD")&amp;"-1")</f>
        <v/>
      </c>
    </row>
    <row r="8577" spans="20:20" hidden="1">
      <c r="T8577" t="str">
        <f>IF(C8577="","",UPPER(LEFT(SUBSTITUTE(C8577," ",""),3))&amp;"-"&amp;TEXT(B8577,"AAMMDD")&amp;"-1")</f>
        <v/>
      </c>
    </row>
    <row r="8578" spans="20:20" hidden="1">
      <c r="T8578" t="str">
        <f>IF(C8578="","",UPPER(LEFT(SUBSTITUTE(C8578," ",""),3))&amp;"-"&amp;TEXT(B8578,"AAMMDD")&amp;"-1")</f>
        <v/>
      </c>
    </row>
    <row r="8579" spans="20:20" hidden="1">
      <c r="T8579" t="str">
        <f>IF(C8579="","",UPPER(LEFT(SUBSTITUTE(C8579," ",""),3))&amp;"-"&amp;TEXT(B8579,"AAMMDD")&amp;"-1")</f>
        <v/>
      </c>
    </row>
    <row r="8580" spans="20:20" hidden="1">
      <c r="T8580" t="str">
        <f>IF(C8580="","",UPPER(LEFT(SUBSTITUTE(C8580," ",""),3))&amp;"-"&amp;TEXT(B8580,"AAMMDD")&amp;"-1")</f>
        <v/>
      </c>
    </row>
    <row r="8581" spans="20:20" hidden="1">
      <c r="T8581" t="str">
        <f>IF(C8581="","",UPPER(LEFT(SUBSTITUTE(C8581," ",""),3))&amp;"-"&amp;TEXT(B8581,"AAMMDD")&amp;"-1")</f>
        <v/>
      </c>
    </row>
    <row r="8582" spans="20:20" hidden="1">
      <c r="T8582" t="str">
        <f>IF(C8582="","",UPPER(LEFT(SUBSTITUTE(C8582," ",""),3))&amp;"-"&amp;TEXT(B8582,"AAMMDD")&amp;"-1")</f>
        <v/>
      </c>
    </row>
    <row r="8583" spans="20:20" hidden="1">
      <c r="T8583" t="str">
        <f>IF(C8583="","",UPPER(LEFT(SUBSTITUTE(C8583," ",""),3))&amp;"-"&amp;TEXT(B8583,"AAMMDD")&amp;"-1")</f>
        <v/>
      </c>
    </row>
    <row r="8584" spans="20:20" hidden="1">
      <c r="T8584" t="str">
        <f>IF(C8584="","",UPPER(LEFT(SUBSTITUTE(C8584," ",""),3))&amp;"-"&amp;TEXT(B8584,"AAMMDD")&amp;"-1")</f>
        <v/>
      </c>
    </row>
    <row r="8585" spans="20:20" hidden="1">
      <c r="T8585" t="str">
        <f>IF(C8585="","",UPPER(LEFT(SUBSTITUTE(C8585," ",""),3))&amp;"-"&amp;TEXT(B8585,"AAMMDD")&amp;"-1")</f>
        <v/>
      </c>
    </row>
    <row r="8586" spans="20:20" hidden="1">
      <c r="T8586" t="str">
        <f>IF(C8586="","",UPPER(LEFT(SUBSTITUTE(C8586," ",""),3))&amp;"-"&amp;TEXT(B8586,"AAMMDD")&amp;"-1")</f>
        <v/>
      </c>
    </row>
    <row r="8587" spans="20:20" hidden="1">
      <c r="T8587" t="str">
        <f>IF(C8587="","",UPPER(LEFT(SUBSTITUTE(C8587," ",""),3))&amp;"-"&amp;TEXT(B8587,"AAMMDD")&amp;"-1")</f>
        <v/>
      </c>
    </row>
    <row r="8588" spans="20:20" hidden="1">
      <c r="T8588" t="str">
        <f>IF(C8588="","",UPPER(LEFT(SUBSTITUTE(C8588," ",""),3))&amp;"-"&amp;TEXT(B8588,"AAMMDD")&amp;"-1")</f>
        <v/>
      </c>
    </row>
    <row r="8589" spans="20:20" hidden="1">
      <c r="T8589" t="str">
        <f>IF(C8589="","",UPPER(LEFT(SUBSTITUTE(C8589," ",""),3))&amp;"-"&amp;TEXT(B8589,"AAMMDD")&amp;"-1")</f>
        <v/>
      </c>
    </row>
    <row r="8590" spans="20:20" hidden="1">
      <c r="T8590" t="str">
        <f>IF(C8590="","",UPPER(LEFT(SUBSTITUTE(C8590," ",""),3))&amp;"-"&amp;TEXT(B8590,"AAMMDD")&amp;"-1")</f>
        <v/>
      </c>
    </row>
    <row r="8591" spans="20:20" hidden="1">
      <c r="T8591" t="str">
        <f>IF(C8591="","",UPPER(LEFT(SUBSTITUTE(C8591," ",""),3))&amp;"-"&amp;TEXT(B8591,"AAMMDD")&amp;"-1")</f>
        <v/>
      </c>
    </row>
    <row r="8592" spans="20:20" hidden="1">
      <c r="T8592" t="str">
        <f>IF(C8592="","",UPPER(LEFT(SUBSTITUTE(C8592," ",""),3))&amp;"-"&amp;TEXT(B8592,"AAMMDD")&amp;"-1")</f>
        <v/>
      </c>
    </row>
    <row r="8593" spans="20:20" hidden="1">
      <c r="T8593" t="str">
        <f>IF(C8593="","",UPPER(LEFT(SUBSTITUTE(C8593," ",""),3))&amp;"-"&amp;TEXT(B8593,"AAMMDD")&amp;"-1")</f>
        <v/>
      </c>
    </row>
    <row r="8594" spans="20:20" hidden="1">
      <c r="T8594" t="str">
        <f>IF(C8594="","",UPPER(LEFT(SUBSTITUTE(C8594," ",""),3))&amp;"-"&amp;TEXT(B8594,"AAMMDD")&amp;"-1")</f>
        <v/>
      </c>
    </row>
    <row r="8595" spans="20:20" hidden="1">
      <c r="T8595" t="str">
        <f>IF(C8595="","",UPPER(LEFT(SUBSTITUTE(C8595," ",""),3))&amp;"-"&amp;TEXT(B8595,"AAMMDD")&amp;"-1")</f>
        <v/>
      </c>
    </row>
    <row r="8596" spans="20:20" hidden="1">
      <c r="T8596" t="str">
        <f>IF(C8596="","",UPPER(LEFT(SUBSTITUTE(C8596," ",""),3))&amp;"-"&amp;TEXT(B8596,"AAMMDD")&amp;"-1")</f>
        <v/>
      </c>
    </row>
    <row r="8597" spans="20:20" hidden="1">
      <c r="T8597" t="str">
        <f>IF(C8597="","",UPPER(LEFT(SUBSTITUTE(C8597," ",""),3))&amp;"-"&amp;TEXT(B8597,"AAMMDD")&amp;"-1")</f>
        <v/>
      </c>
    </row>
    <row r="8598" spans="20:20" hidden="1">
      <c r="T8598" t="str">
        <f>IF(C8598="","",UPPER(LEFT(SUBSTITUTE(C8598," ",""),3))&amp;"-"&amp;TEXT(B8598,"AAMMDD")&amp;"-1")</f>
        <v/>
      </c>
    </row>
    <row r="8599" spans="20:20" hidden="1">
      <c r="T8599" t="str">
        <f>IF(C8599="","",UPPER(LEFT(SUBSTITUTE(C8599," ",""),3))&amp;"-"&amp;TEXT(B8599,"AAMMDD")&amp;"-1")</f>
        <v/>
      </c>
    </row>
    <row r="8600" spans="20:20" hidden="1">
      <c r="T8600" t="str">
        <f>IF(C8600="","",UPPER(LEFT(SUBSTITUTE(C8600," ",""),3))&amp;"-"&amp;TEXT(B8600,"AAMMDD")&amp;"-1")</f>
        <v/>
      </c>
    </row>
    <row r="8601" spans="20:20" hidden="1">
      <c r="T8601" t="str">
        <f>IF(C8601="","",UPPER(LEFT(SUBSTITUTE(C8601," ",""),3))&amp;"-"&amp;TEXT(B8601,"AAMMDD")&amp;"-1")</f>
        <v/>
      </c>
    </row>
    <row r="8602" spans="20:20" hidden="1">
      <c r="T8602" t="str">
        <f>IF(C8602="","",UPPER(LEFT(SUBSTITUTE(C8602," ",""),3))&amp;"-"&amp;TEXT(B8602,"AAMMDD")&amp;"-1")</f>
        <v/>
      </c>
    </row>
    <row r="8603" spans="20:20" hidden="1">
      <c r="T8603" t="str">
        <f>IF(C8603="","",UPPER(LEFT(SUBSTITUTE(C8603," ",""),3))&amp;"-"&amp;TEXT(B8603,"AAMMDD")&amp;"-1")</f>
        <v/>
      </c>
    </row>
    <row r="8604" spans="20:20" hidden="1">
      <c r="T8604" t="str">
        <f>IF(C8604="","",UPPER(LEFT(SUBSTITUTE(C8604," ",""),3))&amp;"-"&amp;TEXT(B8604,"AAMMDD")&amp;"-1")</f>
        <v/>
      </c>
    </row>
    <row r="8605" spans="20:20" hidden="1">
      <c r="T8605" t="str">
        <f>IF(C8605="","",UPPER(LEFT(SUBSTITUTE(C8605," ",""),3))&amp;"-"&amp;TEXT(B8605,"AAMMDD")&amp;"-1")</f>
        <v/>
      </c>
    </row>
    <row r="8606" spans="20:20" hidden="1">
      <c r="T8606" t="str">
        <f>IF(C8606="","",UPPER(LEFT(SUBSTITUTE(C8606," ",""),3))&amp;"-"&amp;TEXT(B8606,"AAMMDD")&amp;"-1")</f>
        <v/>
      </c>
    </row>
    <row r="8607" spans="20:20" hidden="1">
      <c r="T8607" t="str">
        <f>IF(C8607="","",UPPER(LEFT(SUBSTITUTE(C8607," ",""),3))&amp;"-"&amp;TEXT(B8607,"AAMMDD")&amp;"-1")</f>
        <v/>
      </c>
    </row>
    <row r="8608" spans="20:20" hidden="1">
      <c r="T8608" t="str">
        <f>IF(C8608="","",UPPER(LEFT(SUBSTITUTE(C8608," ",""),3))&amp;"-"&amp;TEXT(B8608,"AAMMDD")&amp;"-1")</f>
        <v/>
      </c>
    </row>
    <row r="8609" spans="20:20" hidden="1">
      <c r="T8609" t="str">
        <f>IF(C8609="","",UPPER(LEFT(SUBSTITUTE(C8609," ",""),3))&amp;"-"&amp;TEXT(B8609,"AAMMDD")&amp;"-1")</f>
        <v/>
      </c>
    </row>
    <row r="8610" spans="20:20" hidden="1">
      <c r="T8610" t="str">
        <f>IF(C8610="","",UPPER(LEFT(SUBSTITUTE(C8610," ",""),3))&amp;"-"&amp;TEXT(B8610,"AAMMDD")&amp;"-1")</f>
        <v/>
      </c>
    </row>
    <row r="8611" spans="20:20" hidden="1">
      <c r="T8611" t="str">
        <f>IF(C8611="","",UPPER(LEFT(SUBSTITUTE(C8611," ",""),3))&amp;"-"&amp;TEXT(B8611,"AAMMDD")&amp;"-1")</f>
        <v/>
      </c>
    </row>
    <row r="8612" spans="20:20" hidden="1">
      <c r="T8612" t="str">
        <f>IF(C8612="","",UPPER(LEFT(SUBSTITUTE(C8612," ",""),3))&amp;"-"&amp;TEXT(B8612,"AAMMDD")&amp;"-1")</f>
        <v/>
      </c>
    </row>
    <row r="8613" spans="20:20" hidden="1">
      <c r="T8613" t="str">
        <f>IF(C8613="","",UPPER(LEFT(SUBSTITUTE(C8613," ",""),3))&amp;"-"&amp;TEXT(B8613,"AAMMDD")&amp;"-1")</f>
        <v/>
      </c>
    </row>
    <row r="8614" spans="20:20" hidden="1">
      <c r="T8614" t="str">
        <f>IF(C8614="","",UPPER(LEFT(SUBSTITUTE(C8614," ",""),3))&amp;"-"&amp;TEXT(B8614,"AAMMDD")&amp;"-1")</f>
        <v/>
      </c>
    </row>
    <row r="8615" spans="20:20" hidden="1">
      <c r="T8615" t="str">
        <f>IF(C8615="","",UPPER(LEFT(SUBSTITUTE(C8615," ",""),3))&amp;"-"&amp;TEXT(B8615,"AAMMDD")&amp;"-1")</f>
        <v/>
      </c>
    </row>
    <row r="8616" spans="20:20" hidden="1">
      <c r="T8616" t="str">
        <f>IF(C8616="","",UPPER(LEFT(SUBSTITUTE(C8616," ",""),3))&amp;"-"&amp;TEXT(B8616,"AAMMDD")&amp;"-1")</f>
        <v/>
      </c>
    </row>
    <row r="8617" spans="20:20" hidden="1">
      <c r="T8617" t="str">
        <f>IF(C8617="","",UPPER(LEFT(SUBSTITUTE(C8617," ",""),3))&amp;"-"&amp;TEXT(B8617,"AAMMDD")&amp;"-1")</f>
        <v/>
      </c>
    </row>
    <row r="8618" spans="20:20" hidden="1">
      <c r="T8618" t="str">
        <f>IF(C8618="","",UPPER(LEFT(SUBSTITUTE(C8618," ",""),3))&amp;"-"&amp;TEXT(B8618,"AAMMDD")&amp;"-1")</f>
        <v/>
      </c>
    </row>
    <row r="8619" spans="20:20" hidden="1">
      <c r="T8619" t="str">
        <f>IF(C8619="","",UPPER(LEFT(SUBSTITUTE(C8619," ",""),3))&amp;"-"&amp;TEXT(B8619,"AAMMDD")&amp;"-1")</f>
        <v/>
      </c>
    </row>
    <row r="8620" spans="20:20" hidden="1">
      <c r="T8620" t="str">
        <f>IF(C8620="","",UPPER(LEFT(SUBSTITUTE(C8620," ",""),3))&amp;"-"&amp;TEXT(B8620,"AAMMDD")&amp;"-1")</f>
        <v/>
      </c>
    </row>
    <row r="8621" spans="20:20" hidden="1">
      <c r="T8621" t="str">
        <f>IF(C8621="","",UPPER(LEFT(SUBSTITUTE(C8621," ",""),3))&amp;"-"&amp;TEXT(B8621,"AAMMDD")&amp;"-1")</f>
        <v/>
      </c>
    </row>
    <row r="8622" spans="20:20" hidden="1">
      <c r="T8622" t="str">
        <f>IF(C8622="","",UPPER(LEFT(SUBSTITUTE(C8622," ",""),3))&amp;"-"&amp;TEXT(B8622,"AAMMDD")&amp;"-1")</f>
        <v/>
      </c>
    </row>
    <row r="8623" spans="20:20" hidden="1">
      <c r="T8623" t="str">
        <f>IF(C8623="","",UPPER(LEFT(SUBSTITUTE(C8623," ",""),3))&amp;"-"&amp;TEXT(B8623,"AAMMDD")&amp;"-1")</f>
        <v/>
      </c>
    </row>
    <row r="8624" spans="20:20" hidden="1">
      <c r="T8624" t="str">
        <f>IF(C8624="","",UPPER(LEFT(SUBSTITUTE(C8624," ",""),3))&amp;"-"&amp;TEXT(B8624,"AAMMDD")&amp;"-1")</f>
        <v/>
      </c>
    </row>
    <row r="8625" spans="20:20" hidden="1">
      <c r="T8625" t="str">
        <f>IF(C8625="","",UPPER(LEFT(SUBSTITUTE(C8625," ",""),3))&amp;"-"&amp;TEXT(B8625,"AAMMDD")&amp;"-1")</f>
        <v/>
      </c>
    </row>
    <row r="8626" spans="20:20" hidden="1">
      <c r="T8626" t="str">
        <f>IF(C8626="","",UPPER(LEFT(SUBSTITUTE(C8626," ",""),3))&amp;"-"&amp;TEXT(B8626,"AAMMDD")&amp;"-1")</f>
        <v/>
      </c>
    </row>
    <row r="8627" spans="20:20" hidden="1">
      <c r="T8627" t="str">
        <f>IF(C8627="","",UPPER(LEFT(SUBSTITUTE(C8627," ",""),3))&amp;"-"&amp;TEXT(B8627,"AAMMDD")&amp;"-1")</f>
        <v/>
      </c>
    </row>
    <row r="8628" spans="20:20" hidden="1">
      <c r="T8628" t="str">
        <f>IF(C8628="","",UPPER(LEFT(SUBSTITUTE(C8628," ",""),3))&amp;"-"&amp;TEXT(B8628,"AAMMDD")&amp;"-1")</f>
        <v/>
      </c>
    </row>
    <row r="8629" spans="20:20" hidden="1">
      <c r="T8629" t="str">
        <f>IF(C8629="","",UPPER(LEFT(SUBSTITUTE(C8629," ",""),3))&amp;"-"&amp;TEXT(B8629,"AAMMDD")&amp;"-1")</f>
        <v/>
      </c>
    </row>
    <row r="8630" spans="20:20" hidden="1">
      <c r="T8630" t="str">
        <f>IF(C8630="","",UPPER(LEFT(SUBSTITUTE(C8630," ",""),3))&amp;"-"&amp;TEXT(B8630,"AAMMDD")&amp;"-1")</f>
        <v/>
      </c>
    </row>
    <row r="8631" spans="20:20" hidden="1">
      <c r="T8631" t="str">
        <f>IF(C8631="","",UPPER(LEFT(SUBSTITUTE(C8631," ",""),3))&amp;"-"&amp;TEXT(B8631,"AAMMDD")&amp;"-1")</f>
        <v/>
      </c>
    </row>
    <row r="8632" spans="20:20" hidden="1">
      <c r="T8632" t="str">
        <f>IF(C8632="","",UPPER(LEFT(SUBSTITUTE(C8632," ",""),3))&amp;"-"&amp;TEXT(B8632,"AAMMDD")&amp;"-1")</f>
        <v/>
      </c>
    </row>
    <row r="8633" spans="20:20" hidden="1">
      <c r="T8633" t="str">
        <f>IF(C8633="","",UPPER(LEFT(SUBSTITUTE(C8633," ",""),3))&amp;"-"&amp;TEXT(B8633,"AAMMDD")&amp;"-1")</f>
        <v/>
      </c>
    </row>
    <row r="8634" spans="20:20" hidden="1">
      <c r="T8634" t="str">
        <f>IF(C8634="","",UPPER(LEFT(SUBSTITUTE(C8634," ",""),3))&amp;"-"&amp;TEXT(B8634,"AAMMDD")&amp;"-1")</f>
        <v/>
      </c>
    </row>
    <row r="8635" spans="20:20" hidden="1">
      <c r="T8635" t="str">
        <f>IF(C8635="","",UPPER(LEFT(SUBSTITUTE(C8635," ",""),3))&amp;"-"&amp;TEXT(B8635,"AAMMDD")&amp;"-1")</f>
        <v/>
      </c>
    </row>
    <row r="8636" spans="20:20" hidden="1">
      <c r="T8636" t="str">
        <f>IF(C8636="","",UPPER(LEFT(SUBSTITUTE(C8636," ",""),3))&amp;"-"&amp;TEXT(B8636,"AAMMDD")&amp;"-1")</f>
        <v/>
      </c>
    </row>
    <row r="8637" spans="20:20" hidden="1">
      <c r="T8637" t="str">
        <f>IF(C8637="","",UPPER(LEFT(SUBSTITUTE(C8637," ",""),3))&amp;"-"&amp;TEXT(B8637,"AAMMDD")&amp;"-1")</f>
        <v/>
      </c>
    </row>
    <row r="8638" spans="20:20" hidden="1">
      <c r="T8638" t="str">
        <f>IF(C8638="","",UPPER(LEFT(SUBSTITUTE(C8638," ",""),3))&amp;"-"&amp;TEXT(B8638,"AAMMDD")&amp;"-1")</f>
        <v/>
      </c>
    </row>
    <row r="8639" spans="20:20" hidden="1">
      <c r="T8639" t="str">
        <f>IF(C8639="","",UPPER(LEFT(SUBSTITUTE(C8639," ",""),3))&amp;"-"&amp;TEXT(B8639,"AAMMDD")&amp;"-1")</f>
        <v/>
      </c>
    </row>
    <row r="8640" spans="20:20" hidden="1">
      <c r="T8640" t="str">
        <f>IF(C8640="","",UPPER(LEFT(SUBSTITUTE(C8640," ",""),3))&amp;"-"&amp;TEXT(B8640,"AAMMDD")&amp;"-1")</f>
        <v/>
      </c>
    </row>
    <row r="8641" spans="20:20" hidden="1">
      <c r="T8641" t="str">
        <f>IF(C8641="","",UPPER(LEFT(SUBSTITUTE(C8641," ",""),3))&amp;"-"&amp;TEXT(B8641,"AAMMDD")&amp;"-1")</f>
        <v/>
      </c>
    </row>
    <row r="8642" spans="20:20" hidden="1">
      <c r="T8642" t="str">
        <f>IF(C8642="","",UPPER(LEFT(SUBSTITUTE(C8642," ",""),3))&amp;"-"&amp;TEXT(B8642,"AAMMDD")&amp;"-1")</f>
        <v/>
      </c>
    </row>
    <row r="8643" spans="20:20" hidden="1">
      <c r="T8643" t="str">
        <f>IF(C8643="","",UPPER(LEFT(SUBSTITUTE(C8643," ",""),3))&amp;"-"&amp;TEXT(B8643,"AAMMDD")&amp;"-1")</f>
        <v/>
      </c>
    </row>
    <row r="8644" spans="20:20" hidden="1">
      <c r="T8644" t="str">
        <f>IF(C8644="","",UPPER(LEFT(SUBSTITUTE(C8644," ",""),3))&amp;"-"&amp;TEXT(B8644,"AAMMDD")&amp;"-1")</f>
        <v/>
      </c>
    </row>
    <row r="8645" spans="20:20" hidden="1">
      <c r="T8645" t="str">
        <f>IF(C8645="","",UPPER(LEFT(SUBSTITUTE(C8645," ",""),3))&amp;"-"&amp;TEXT(B8645,"AAMMDD")&amp;"-1")</f>
        <v/>
      </c>
    </row>
    <row r="8646" spans="20:20" hidden="1">
      <c r="T8646" t="str">
        <f>IF(C8646="","",UPPER(LEFT(SUBSTITUTE(C8646," ",""),3))&amp;"-"&amp;TEXT(B8646,"AAMMDD")&amp;"-1")</f>
        <v/>
      </c>
    </row>
    <row r="8647" spans="20:20" hidden="1">
      <c r="T8647" t="str">
        <f>IF(C8647="","",UPPER(LEFT(SUBSTITUTE(C8647," ",""),3))&amp;"-"&amp;TEXT(B8647,"AAMMDD")&amp;"-1")</f>
        <v/>
      </c>
    </row>
    <row r="8648" spans="20:20" hidden="1">
      <c r="T8648" t="str">
        <f>IF(C8648="","",UPPER(LEFT(SUBSTITUTE(C8648," ",""),3))&amp;"-"&amp;TEXT(B8648,"AAMMDD")&amp;"-1")</f>
        <v/>
      </c>
    </row>
    <row r="8649" spans="20:20" hidden="1">
      <c r="T8649" t="str">
        <f>IF(C8649="","",UPPER(LEFT(SUBSTITUTE(C8649," ",""),3))&amp;"-"&amp;TEXT(B8649,"AAMMDD")&amp;"-1")</f>
        <v/>
      </c>
    </row>
    <row r="8650" spans="20:20" hidden="1">
      <c r="T8650" t="str">
        <f>IF(C8650="","",UPPER(LEFT(SUBSTITUTE(C8650," ",""),3))&amp;"-"&amp;TEXT(B8650,"AAMMDD")&amp;"-1")</f>
        <v/>
      </c>
    </row>
    <row r="8651" spans="20:20" hidden="1">
      <c r="T8651" t="str">
        <f>IF(C8651="","",UPPER(LEFT(SUBSTITUTE(C8651," ",""),3))&amp;"-"&amp;TEXT(B8651,"AAMMDD")&amp;"-1")</f>
        <v/>
      </c>
    </row>
    <row r="8652" spans="20:20" hidden="1">
      <c r="T8652" t="str">
        <f>IF(C8652="","",UPPER(LEFT(SUBSTITUTE(C8652," ",""),3))&amp;"-"&amp;TEXT(B8652,"AAMMDD")&amp;"-1")</f>
        <v/>
      </c>
    </row>
    <row r="8653" spans="20:20" hidden="1">
      <c r="T8653" t="str">
        <f>IF(C8653="","",UPPER(LEFT(SUBSTITUTE(C8653," ",""),3))&amp;"-"&amp;TEXT(B8653,"AAMMDD")&amp;"-1")</f>
        <v/>
      </c>
    </row>
    <row r="8654" spans="20:20" hidden="1">
      <c r="T8654" t="str">
        <f>IF(C8654="","",UPPER(LEFT(SUBSTITUTE(C8654," ",""),3))&amp;"-"&amp;TEXT(B8654,"AAMMDD")&amp;"-1")</f>
        <v/>
      </c>
    </row>
    <row r="8655" spans="20:20" hidden="1">
      <c r="T8655" t="str">
        <f>IF(C8655="","",UPPER(LEFT(SUBSTITUTE(C8655," ",""),3))&amp;"-"&amp;TEXT(B8655,"AAMMDD")&amp;"-1")</f>
        <v/>
      </c>
    </row>
    <row r="8656" spans="20:20" hidden="1">
      <c r="T8656" t="str">
        <f>IF(C8656="","",UPPER(LEFT(SUBSTITUTE(C8656," ",""),3))&amp;"-"&amp;TEXT(B8656,"AAMMDD")&amp;"-1")</f>
        <v/>
      </c>
    </row>
    <row r="8657" spans="20:20" hidden="1">
      <c r="T8657" t="str">
        <f>IF(C8657="","",UPPER(LEFT(SUBSTITUTE(C8657," ",""),3))&amp;"-"&amp;TEXT(B8657,"AAMMDD")&amp;"-1")</f>
        <v/>
      </c>
    </row>
    <row r="8658" spans="20:20" hidden="1">
      <c r="T8658" t="str">
        <f>IF(C8658="","",UPPER(LEFT(SUBSTITUTE(C8658," ",""),3))&amp;"-"&amp;TEXT(B8658,"AAMMDD")&amp;"-1")</f>
        <v/>
      </c>
    </row>
    <row r="8659" spans="20:20" hidden="1">
      <c r="T8659" t="str">
        <f>IF(C8659="","",UPPER(LEFT(SUBSTITUTE(C8659," ",""),3))&amp;"-"&amp;TEXT(B8659,"AAMMDD")&amp;"-1")</f>
        <v/>
      </c>
    </row>
    <row r="8660" spans="20:20" hidden="1">
      <c r="T8660" t="str">
        <f>IF(C8660="","",UPPER(LEFT(SUBSTITUTE(C8660," ",""),3))&amp;"-"&amp;TEXT(B8660,"AAMMDD")&amp;"-1")</f>
        <v/>
      </c>
    </row>
    <row r="8661" spans="20:20" hidden="1">
      <c r="T8661" t="str">
        <f>IF(C8661="","",UPPER(LEFT(SUBSTITUTE(C8661," ",""),3))&amp;"-"&amp;TEXT(B8661,"AAMMDD")&amp;"-1")</f>
        <v/>
      </c>
    </row>
    <row r="8662" spans="20:20" hidden="1">
      <c r="T8662" t="str">
        <f>IF(C8662="","",UPPER(LEFT(SUBSTITUTE(C8662," ",""),3))&amp;"-"&amp;TEXT(B8662,"AAMMDD")&amp;"-1")</f>
        <v/>
      </c>
    </row>
    <row r="8663" spans="20:20" hidden="1">
      <c r="T8663" t="str">
        <f>IF(C8663="","",UPPER(LEFT(SUBSTITUTE(C8663," ",""),3))&amp;"-"&amp;TEXT(B8663,"AAMMDD")&amp;"-1")</f>
        <v/>
      </c>
    </row>
    <row r="8664" spans="20:20" hidden="1">
      <c r="T8664" t="str">
        <f>IF(C8664="","",UPPER(LEFT(SUBSTITUTE(C8664," ",""),3))&amp;"-"&amp;TEXT(B8664,"AAMMDD")&amp;"-1")</f>
        <v/>
      </c>
    </row>
    <row r="8665" spans="20:20" hidden="1">
      <c r="T8665" t="str">
        <f>IF(C8665="","",UPPER(LEFT(SUBSTITUTE(C8665," ",""),3))&amp;"-"&amp;TEXT(B8665,"AAMMDD")&amp;"-1")</f>
        <v/>
      </c>
    </row>
    <row r="8666" spans="20:20" hidden="1">
      <c r="T8666" t="str">
        <f>IF(C8666="","",UPPER(LEFT(SUBSTITUTE(C8666," ",""),3))&amp;"-"&amp;TEXT(B8666,"AAMMDD")&amp;"-1")</f>
        <v/>
      </c>
    </row>
    <row r="8667" spans="20:20" hidden="1">
      <c r="T8667" t="str">
        <f>IF(C8667="","",UPPER(LEFT(SUBSTITUTE(C8667," ",""),3))&amp;"-"&amp;TEXT(B8667,"AAMMDD")&amp;"-1")</f>
        <v/>
      </c>
    </row>
    <row r="8668" spans="20:20" hidden="1">
      <c r="T8668" t="str">
        <f>IF(C8668="","",UPPER(LEFT(SUBSTITUTE(C8668," ",""),3))&amp;"-"&amp;TEXT(B8668,"AAMMDD")&amp;"-1")</f>
        <v/>
      </c>
    </row>
    <row r="8669" spans="20:20" hidden="1">
      <c r="T8669" t="str">
        <f>IF(C8669="","",UPPER(LEFT(SUBSTITUTE(C8669," ",""),3))&amp;"-"&amp;TEXT(B8669,"AAMMDD")&amp;"-1")</f>
        <v/>
      </c>
    </row>
    <row r="8670" spans="20:20" hidden="1">
      <c r="T8670" t="str">
        <f>IF(C8670="","",UPPER(LEFT(SUBSTITUTE(C8670," ",""),3))&amp;"-"&amp;TEXT(B8670,"AAMMDD")&amp;"-1")</f>
        <v/>
      </c>
    </row>
    <row r="8671" spans="20:20" hidden="1">
      <c r="T8671" t="str">
        <f>IF(C8671="","",UPPER(LEFT(SUBSTITUTE(C8671," ",""),3))&amp;"-"&amp;TEXT(B8671,"AAMMDD")&amp;"-1")</f>
        <v/>
      </c>
    </row>
    <row r="8672" spans="20:20" hidden="1">
      <c r="T8672" t="str">
        <f>IF(C8672="","",UPPER(LEFT(SUBSTITUTE(C8672," ",""),3))&amp;"-"&amp;TEXT(B8672,"AAMMDD")&amp;"-1")</f>
        <v/>
      </c>
    </row>
    <row r="8673" spans="20:20" hidden="1">
      <c r="T8673" t="str">
        <f>IF(C8673="","",UPPER(LEFT(SUBSTITUTE(C8673," ",""),3))&amp;"-"&amp;TEXT(B8673,"AAMMDD")&amp;"-1")</f>
        <v/>
      </c>
    </row>
    <row r="8674" spans="20:20" hidden="1">
      <c r="T8674" t="str">
        <f>IF(C8674="","",UPPER(LEFT(SUBSTITUTE(C8674," ",""),3))&amp;"-"&amp;TEXT(B8674,"AAMMDD")&amp;"-1")</f>
        <v/>
      </c>
    </row>
    <row r="8675" spans="20:20" hidden="1">
      <c r="T8675" t="str">
        <f>IF(C8675="","",UPPER(LEFT(SUBSTITUTE(C8675," ",""),3))&amp;"-"&amp;TEXT(B8675,"AAMMDD")&amp;"-1")</f>
        <v/>
      </c>
    </row>
    <row r="8676" spans="20:20" hidden="1">
      <c r="T8676" t="str">
        <f>IF(C8676="","",UPPER(LEFT(SUBSTITUTE(C8676," ",""),3))&amp;"-"&amp;TEXT(B8676,"AAMMDD")&amp;"-1")</f>
        <v/>
      </c>
    </row>
    <row r="8677" spans="20:20" hidden="1">
      <c r="T8677" t="str">
        <f>IF(C8677="","",UPPER(LEFT(SUBSTITUTE(C8677," ",""),3))&amp;"-"&amp;TEXT(B8677,"AAMMDD")&amp;"-1")</f>
        <v/>
      </c>
    </row>
    <row r="8678" spans="20:20" hidden="1">
      <c r="T8678" t="str">
        <f>IF(C8678="","",UPPER(LEFT(SUBSTITUTE(C8678," ",""),3))&amp;"-"&amp;TEXT(B8678,"AAMMDD")&amp;"-1")</f>
        <v/>
      </c>
    </row>
    <row r="8679" spans="20:20" hidden="1">
      <c r="T8679" t="str">
        <f>IF(C8679="","",UPPER(LEFT(SUBSTITUTE(C8679," ",""),3))&amp;"-"&amp;TEXT(B8679,"AAMMDD")&amp;"-1")</f>
        <v/>
      </c>
    </row>
    <row r="8680" spans="20:20" hidden="1">
      <c r="T8680" t="str">
        <f>IF(C8680="","",UPPER(LEFT(SUBSTITUTE(C8680," ",""),3))&amp;"-"&amp;TEXT(B8680,"AAMMDD")&amp;"-1")</f>
        <v/>
      </c>
    </row>
    <row r="8681" spans="20:20" hidden="1">
      <c r="T8681" t="str">
        <f>IF(C8681="","",UPPER(LEFT(SUBSTITUTE(C8681," ",""),3))&amp;"-"&amp;TEXT(B8681,"AAMMDD")&amp;"-1")</f>
        <v/>
      </c>
    </row>
    <row r="8682" spans="20:20" hidden="1">
      <c r="T8682" t="str">
        <f>IF(C8682="","",UPPER(LEFT(SUBSTITUTE(C8682," ",""),3))&amp;"-"&amp;TEXT(B8682,"AAMMDD")&amp;"-1")</f>
        <v/>
      </c>
    </row>
    <row r="8683" spans="20:20" hidden="1">
      <c r="T8683" t="str">
        <f>IF(C8683="","",UPPER(LEFT(SUBSTITUTE(C8683," ",""),3))&amp;"-"&amp;TEXT(B8683,"AAMMDD")&amp;"-1")</f>
        <v/>
      </c>
    </row>
    <row r="8684" spans="20:20" hidden="1">
      <c r="T8684" t="str">
        <f>IF(C8684="","",UPPER(LEFT(SUBSTITUTE(C8684," ",""),3))&amp;"-"&amp;TEXT(B8684,"AAMMDD")&amp;"-1")</f>
        <v/>
      </c>
    </row>
    <row r="8685" spans="20:20" hidden="1">
      <c r="T8685" t="str">
        <f>IF(C8685="","",UPPER(LEFT(SUBSTITUTE(C8685," ",""),3))&amp;"-"&amp;TEXT(B8685,"AAMMDD")&amp;"-1")</f>
        <v/>
      </c>
    </row>
    <row r="8686" spans="20:20" hidden="1">
      <c r="T8686" t="str">
        <f>IF(C8686="","",UPPER(LEFT(SUBSTITUTE(C8686," ",""),3))&amp;"-"&amp;TEXT(B8686,"AAMMDD")&amp;"-1")</f>
        <v/>
      </c>
    </row>
    <row r="8687" spans="20:20" hidden="1">
      <c r="T8687" t="str">
        <f>IF(C8687="","",UPPER(LEFT(SUBSTITUTE(C8687," ",""),3))&amp;"-"&amp;TEXT(B8687,"AAMMDD")&amp;"-1")</f>
        <v/>
      </c>
    </row>
    <row r="8688" spans="20:20" hidden="1">
      <c r="T8688" t="str">
        <f>IF(C8688="","",UPPER(LEFT(SUBSTITUTE(C8688," ",""),3))&amp;"-"&amp;TEXT(B8688,"AAMMDD")&amp;"-1")</f>
        <v/>
      </c>
    </row>
    <row r="8689" spans="20:20" hidden="1">
      <c r="T8689" t="str">
        <f>IF(C8689="","",UPPER(LEFT(SUBSTITUTE(C8689," ",""),3))&amp;"-"&amp;TEXT(B8689,"AAMMDD")&amp;"-1")</f>
        <v/>
      </c>
    </row>
    <row r="8690" spans="20:20" hidden="1">
      <c r="T8690" t="str">
        <f>IF(C8690="","",UPPER(LEFT(SUBSTITUTE(C8690," ",""),3))&amp;"-"&amp;TEXT(B8690,"AAMMDD")&amp;"-1")</f>
        <v/>
      </c>
    </row>
    <row r="8691" spans="20:20" hidden="1">
      <c r="T8691" t="str">
        <f>IF(C8691="","",UPPER(LEFT(SUBSTITUTE(C8691," ",""),3))&amp;"-"&amp;TEXT(B8691,"AAMMDD")&amp;"-1")</f>
        <v/>
      </c>
    </row>
    <row r="8692" spans="20:20" hidden="1">
      <c r="T8692" t="str">
        <f>IF(C8692="","",UPPER(LEFT(SUBSTITUTE(C8692," ",""),3))&amp;"-"&amp;TEXT(B8692,"AAMMDD")&amp;"-1")</f>
        <v/>
      </c>
    </row>
    <row r="8693" spans="20:20" hidden="1">
      <c r="T8693" t="str">
        <f>IF(C8693="","",UPPER(LEFT(SUBSTITUTE(C8693," ",""),3))&amp;"-"&amp;TEXT(B8693,"AAMMDD")&amp;"-1")</f>
        <v/>
      </c>
    </row>
    <row r="8694" spans="20:20" hidden="1">
      <c r="T8694" t="str">
        <f>IF(C8694="","",UPPER(LEFT(SUBSTITUTE(C8694," ",""),3))&amp;"-"&amp;TEXT(B8694,"AAMMDD")&amp;"-1")</f>
        <v/>
      </c>
    </row>
    <row r="8695" spans="20:20" hidden="1">
      <c r="T8695" t="str">
        <f>IF(C8695="","",UPPER(LEFT(SUBSTITUTE(C8695," ",""),3))&amp;"-"&amp;TEXT(B8695,"AAMMDD")&amp;"-1")</f>
        <v/>
      </c>
    </row>
    <row r="8696" spans="20:20" hidden="1">
      <c r="T8696" t="str">
        <f>IF(C8696="","",UPPER(LEFT(SUBSTITUTE(C8696," ",""),3))&amp;"-"&amp;TEXT(B8696,"AAMMDD")&amp;"-1")</f>
        <v/>
      </c>
    </row>
    <row r="8697" spans="20:20" hidden="1">
      <c r="T8697" t="str">
        <f>IF(C8697="","",UPPER(LEFT(SUBSTITUTE(C8697," ",""),3))&amp;"-"&amp;TEXT(B8697,"AAMMDD")&amp;"-1")</f>
        <v/>
      </c>
    </row>
    <row r="8698" spans="20:20" hidden="1">
      <c r="T8698" t="str">
        <f>IF(C8698="","",UPPER(LEFT(SUBSTITUTE(C8698," ",""),3))&amp;"-"&amp;TEXT(B8698,"AAMMDD")&amp;"-1")</f>
        <v/>
      </c>
    </row>
    <row r="8699" spans="20:20" hidden="1">
      <c r="T8699" t="str">
        <f>IF(C8699="","",UPPER(LEFT(SUBSTITUTE(C8699," ",""),3))&amp;"-"&amp;TEXT(B8699,"AAMMDD")&amp;"-1")</f>
        <v/>
      </c>
    </row>
    <row r="8700" spans="20:20" hidden="1">
      <c r="T8700" t="str">
        <f>IF(C8700="","",UPPER(LEFT(SUBSTITUTE(C8700," ",""),3))&amp;"-"&amp;TEXT(B8700,"AAMMDD")&amp;"-1")</f>
        <v/>
      </c>
    </row>
    <row r="8701" spans="20:20" hidden="1">
      <c r="T8701" t="str">
        <f>IF(C8701="","",UPPER(LEFT(SUBSTITUTE(C8701," ",""),3))&amp;"-"&amp;TEXT(B8701,"AAMMDD")&amp;"-1")</f>
        <v/>
      </c>
    </row>
    <row r="8702" spans="20:20" hidden="1">
      <c r="T8702" t="str">
        <f>IF(C8702="","",UPPER(LEFT(SUBSTITUTE(C8702," ",""),3))&amp;"-"&amp;TEXT(B8702,"AAMMDD")&amp;"-1")</f>
        <v/>
      </c>
    </row>
    <row r="8703" spans="20:20" hidden="1">
      <c r="T8703" t="str">
        <f>IF(C8703="","",UPPER(LEFT(SUBSTITUTE(C8703," ",""),3))&amp;"-"&amp;TEXT(B8703,"AAMMDD")&amp;"-1")</f>
        <v/>
      </c>
    </row>
    <row r="8704" spans="20:20" hidden="1">
      <c r="T8704" t="str">
        <f>IF(C8704="","",UPPER(LEFT(SUBSTITUTE(C8704," ",""),3))&amp;"-"&amp;TEXT(B8704,"AAMMDD")&amp;"-1")</f>
        <v/>
      </c>
    </row>
    <row r="8705" spans="20:20" hidden="1">
      <c r="T8705" t="str">
        <f>IF(C8705="","",UPPER(LEFT(SUBSTITUTE(C8705," ",""),3))&amp;"-"&amp;TEXT(B8705,"AAMMDD")&amp;"-1")</f>
        <v/>
      </c>
    </row>
    <row r="8706" spans="20:20" hidden="1">
      <c r="T8706" t="str">
        <f>IF(C8706="","",UPPER(LEFT(SUBSTITUTE(C8706," ",""),3))&amp;"-"&amp;TEXT(B8706,"AAMMDD")&amp;"-1")</f>
        <v/>
      </c>
    </row>
    <row r="8707" spans="20:20" hidden="1">
      <c r="T8707" t="str">
        <f>IF(C8707="","",UPPER(LEFT(SUBSTITUTE(C8707," ",""),3))&amp;"-"&amp;TEXT(B8707,"AAMMDD")&amp;"-1")</f>
        <v/>
      </c>
    </row>
    <row r="8708" spans="20:20" hidden="1">
      <c r="T8708" t="str">
        <f>IF(C8708="","",UPPER(LEFT(SUBSTITUTE(C8708," ",""),3))&amp;"-"&amp;TEXT(B8708,"AAMMDD")&amp;"-1")</f>
        <v/>
      </c>
    </row>
    <row r="8709" spans="20:20" hidden="1">
      <c r="T8709" t="str">
        <f>IF(C8709="","",UPPER(LEFT(SUBSTITUTE(C8709," ",""),3))&amp;"-"&amp;TEXT(B8709,"AAMMDD")&amp;"-1")</f>
        <v/>
      </c>
    </row>
    <row r="8710" spans="20:20" hidden="1">
      <c r="T8710" t="str">
        <f>IF(C8710="","",UPPER(LEFT(SUBSTITUTE(C8710," ",""),3))&amp;"-"&amp;TEXT(B8710,"AAMMDD")&amp;"-1")</f>
        <v/>
      </c>
    </row>
    <row r="8711" spans="20:20" hidden="1">
      <c r="T8711" t="str">
        <f>IF(C8711="","",UPPER(LEFT(SUBSTITUTE(C8711," ",""),3))&amp;"-"&amp;TEXT(B8711,"AAMMDD")&amp;"-1")</f>
        <v/>
      </c>
    </row>
    <row r="8712" spans="20:20" hidden="1">
      <c r="T8712" t="str">
        <f>IF(C8712="","",UPPER(LEFT(SUBSTITUTE(C8712," ",""),3))&amp;"-"&amp;TEXT(B8712,"AAMMDD")&amp;"-1")</f>
        <v/>
      </c>
    </row>
    <row r="8713" spans="20:20" hidden="1">
      <c r="T8713" t="str">
        <f>IF(C8713="","",UPPER(LEFT(SUBSTITUTE(C8713," ",""),3))&amp;"-"&amp;TEXT(B8713,"AAMMDD")&amp;"-1")</f>
        <v/>
      </c>
    </row>
    <row r="8714" spans="20:20" hidden="1">
      <c r="T8714" t="str">
        <f>IF(C8714="","",UPPER(LEFT(SUBSTITUTE(C8714," ",""),3))&amp;"-"&amp;TEXT(B8714,"AAMMDD")&amp;"-1")</f>
        <v/>
      </c>
    </row>
    <row r="8715" spans="20:20" hidden="1">
      <c r="T8715" t="str">
        <f>IF(C8715="","",UPPER(LEFT(SUBSTITUTE(C8715," ",""),3))&amp;"-"&amp;TEXT(B8715,"AAMMDD")&amp;"-1")</f>
        <v/>
      </c>
    </row>
    <row r="8716" spans="20:20" hidden="1">
      <c r="T8716" t="str">
        <f>IF(C8716="","",UPPER(LEFT(SUBSTITUTE(C8716," ",""),3))&amp;"-"&amp;TEXT(B8716,"AAMMDD")&amp;"-1")</f>
        <v/>
      </c>
    </row>
    <row r="8717" spans="20:20" hidden="1">
      <c r="T8717" t="str">
        <f>IF(C8717="","",UPPER(LEFT(SUBSTITUTE(C8717," ",""),3))&amp;"-"&amp;TEXT(B8717,"AAMMDD")&amp;"-1")</f>
        <v/>
      </c>
    </row>
    <row r="8718" spans="20:20" hidden="1">
      <c r="T8718" t="str">
        <f>IF(C8718="","",UPPER(LEFT(SUBSTITUTE(C8718," ",""),3))&amp;"-"&amp;TEXT(B8718,"AAMMDD")&amp;"-1")</f>
        <v/>
      </c>
    </row>
    <row r="8719" spans="20:20" hidden="1">
      <c r="T8719" t="str">
        <f>IF(C8719="","",UPPER(LEFT(SUBSTITUTE(C8719," ",""),3))&amp;"-"&amp;TEXT(B8719,"AAMMDD")&amp;"-1")</f>
        <v/>
      </c>
    </row>
    <row r="8720" spans="20:20" hidden="1">
      <c r="T8720" t="str">
        <f>IF(C8720="","",UPPER(LEFT(SUBSTITUTE(C8720," ",""),3))&amp;"-"&amp;TEXT(B8720,"AAMMDD")&amp;"-1")</f>
        <v/>
      </c>
    </row>
    <row r="8721" spans="20:20" hidden="1">
      <c r="T8721" t="str">
        <f>IF(C8721="","",UPPER(LEFT(SUBSTITUTE(C8721," ",""),3))&amp;"-"&amp;TEXT(B8721,"AAMMDD")&amp;"-1")</f>
        <v/>
      </c>
    </row>
    <row r="8722" spans="20:20" hidden="1">
      <c r="T8722" t="str">
        <f>IF(C8722="","",UPPER(LEFT(SUBSTITUTE(C8722," ",""),3))&amp;"-"&amp;TEXT(B8722,"AAMMDD")&amp;"-1")</f>
        <v/>
      </c>
    </row>
    <row r="8723" spans="20:20" hidden="1">
      <c r="T8723" t="str">
        <f>IF(C8723="","",UPPER(LEFT(SUBSTITUTE(C8723," ",""),3))&amp;"-"&amp;TEXT(B8723,"AAMMDD")&amp;"-1")</f>
        <v/>
      </c>
    </row>
    <row r="8724" spans="20:20" hidden="1">
      <c r="T8724" t="str">
        <f>IF(C8724="","",UPPER(LEFT(SUBSTITUTE(C8724," ",""),3))&amp;"-"&amp;TEXT(B8724,"AAMMDD")&amp;"-1")</f>
        <v/>
      </c>
    </row>
    <row r="8725" spans="20:20" hidden="1">
      <c r="T8725" t="str">
        <f>IF(C8725="","",UPPER(LEFT(SUBSTITUTE(C8725," ",""),3))&amp;"-"&amp;TEXT(B8725,"AAMMDD")&amp;"-1")</f>
        <v/>
      </c>
    </row>
    <row r="8726" spans="20:20" hidden="1">
      <c r="T8726" t="str">
        <f>IF(C8726="","",UPPER(LEFT(SUBSTITUTE(C8726," ",""),3))&amp;"-"&amp;TEXT(B8726,"AAMMDD")&amp;"-1")</f>
        <v/>
      </c>
    </row>
    <row r="8727" spans="20:20" hidden="1">
      <c r="T8727" t="str">
        <f>IF(C8727="","",UPPER(LEFT(SUBSTITUTE(C8727," ",""),3))&amp;"-"&amp;TEXT(B8727,"AAMMDD")&amp;"-1")</f>
        <v/>
      </c>
    </row>
    <row r="8728" spans="20:20" hidden="1">
      <c r="T8728" t="str">
        <f>IF(C8728="","",UPPER(LEFT(SUBSTITUTE(C8728," ",""),3))&amp;"-"&amp;TEXT(B8728,"AAMMDD")&amp;"-1")</f>
        <v/>
      </c>
    </row>
    <row r="8729" spans="20:20" hidden="1">
      <c r="T8729" t="str">
        <f>IF(C8729="","",UPPER(LEFT(SUBSTITUTE(C8729," ",""),3))&amp;"-"&amp;TEXT(B8729,"AAMMDD")&amp;"-1")</f>
        <v/>
      </c>
    </row>
    <row r="8730" spans="20:20" hidden="1">
      <c r="T8730" t="str">
        <f>IF(C8730="","",UPPER(LEFT(SUBSTITUTE(C8730," ",""),3))&amp;"-"&amp;TEXT(B8730,"AAMMDD")&amp;"-1")</f>
        <v/>
      </c>
    </row>
    <row r="8731" spans="20:20" hidden="1">
      <c r="T8731" t="str">
        <f>IF(C8731="","",UPPER(LEFT(SUBSTITUTE(C8731," ",""),3))&amp;"-"&amp;TEXT(B8731,"AAMMDD")&amp;"-1")</f>
        <v/>
      </c>
    </row>
    <row r="8732" spans="20:20" hidden="1">
      <c r="T8732" t="str">
        <f>IF(C8732="","",UPPER(LEFT(SUBSTITUTE(C8732," ",""),3))&amp;"-"&amp;TEXT(B8732,"AAMMDD")&amp;"-1")</f>
        <v/>
      </c>
    </row>
    <row r="8733" spans="20:20" hidden="1">
      <c r="T8733" t="str">
        <f>IF(C8733="","",UPPER(LEFT(SUBSTITUTE(C8733," ",""),3))&amp;"-"&amp;TEXT(B8733,"AAMMDD")&amp;"-1")</f>
        <v/>
      </c>
    </row>
    <row r="8734" spans="20:20" hidden="1">
      <c r="T8734" t="str">
        <f>IF(C8734="","",UPPER(LEFT(SUBSTITUTE(C8734," ",""),3))&amp;"-"&amp;TEXT(B8734,"AAMMDD")&amp;"-1")</f>
        <v/>
      </c>
    </row>
    <row r="8735" spans="20:20" hidden="1">
      <c r="T8735" t="str">
        <f>IF(C8735="","",UPPER(LEFT(SUBSTITUTE(C8735," ",""),3))&amp;"-"&amp;TEXT(B8735,"AAMMDD")&amp;"-1")</f>
        <v/>
      </c>
    </row>
    <row r="8736" spans="20:20" hidden="1">
      <c r="T8736" t="str">
        <f>IF(C8736="","",UPPER(LEFT(SUBSTITUTE(C8736," ",""),3))&amp;"-"&amp;TEXT(B8736,"AAMMDD")&amp;"-1")</f>
        <v/>
      </c>
    </row>
    <row r="8737" spans="20:20" hidden="1">
      <c r="T8737" t="str">
        <f>IF(C8737="","",UPPER(LEFT(SUBSTITUTE(C8737," ",""),3))&amp;"-"&amp;TEXT(B8737,"AAMMDD")&amp;"-1")</f>
        <v/>
      </c>
    </row>
    <row r="8738" spans="20:20" hidden="1">
      <c r="T8738" t="str">
        <f>IF(C8738="","",UPPER(LEFT(SUBSTITUTE(C8738," ",""),3))&amp;"-"&amp;TEXT(B8738,"AAMMDD")&amp;"-1")</f>
        <v/>
      </c>
    </row>
    <row r="8739" spans="20:20" hidden="1">
      <c r="T8739" t="str">
        <f>IF(C8739="","",UPPER(LEFT(SUBSTITUTE(C8739," ",""),3))&amp;"-"&amp;TEXT(B8739,"AAMMDD")&amp;"-1")</f>
        <v/>
      </c>
    </row>
    <row r="8740" spans="20:20" hidden="1">
      <c r="T8740" t="str">
        <f>IF(C8740="","",UPPER(LEFT(SUBSTITUTE(C8740," ",""),3))&amp;"-"&amp;TEXT(B8740,"AAMMDD")&amp;"-1")</f>
        <v/>
      </c>
    </row>
    <row r="8741" spans="20:20" hidden="1">
      <c r="T8741" t="str">
        <f>IF(C8741="","",UPPER(LEFT(SUBSTITUTE(C8741," ",""),3))&amp;"-"&amp;TEXT(B8741,"AAMMDD")&amp;"-1")</f>
        <v/>
      </c>
    </row>
    <row r="8742" spans="20:20" hidden="1">
      <c r="T8742" t="str">
        <f>IF(C8742="","",UPPER(LEFT(SUBSTITUTE(C8742," ",""),3))&amp;"-"&amp;TEXT(B8742,"AAMMDD")&amp;"-1")</f>
        <v/>
      </c>
    </row>
    <row r="8743" spans="20:20" hidden="1">
      <c r="T8743" t="str">
        <f>IF(C8743="","",UPPER(LEFT(SUBSTITUTE(C8743," ",""),3))&amp;"-"&amp;TEXT(B8743,"AAMMDD")&amp;"-1")</f>
        <v/>
      </c>
    </row>
    <row r="8744" spans="20:20" hidden="1">
      <c r="T8744" t="str">
        <f>IF(C8744="","",UPPER(LEFT(SUBSTITUTE(C8744," ",""),3))&amp;"-"&amp;TEXT(B8744,"AAMMDD")&amp;"-1")</f>
        <v/>
      </c>
    </row>
    <row r="8745" spans="20:20" hidden="1">
      <c r="T8745" t="str">
        <f>IF(C8745="","",UPPER(LEFT(SUBSTITUTE(C8745," ",""),3))&amp;"-"&amp;TEXT(B8745,"AAMMDD")&amp;"-1")</f>
        <v/>
      </c>
    </row>
    <row r="8746" spans="20:20" hidden="1">
      <c r="T8746" t="str">
        <f>IF(C8746="","",UPPER(LEFT(SUBSTITUTE(C8746," ",""),3))&amp;"-"&amp;TEXT(B8746,"AAMMDD")&amp;"-1")</f>
        <v/>
      </c>
    </row>
    <row r="8747" spans="20:20" hidden="1">
      <c r="T8747" t="str">
        <f>IF(C8747="","",UPPER(LEFT(SUBSTITUTE(C8747," ",""),3))&amp;"-"&amp;TEXT(B8747,"AAMMDD")&amp;"-1")</f>
        <v/>
      </c>
    </row>
    <row r="8748" spans="20:20" hidden="1">
      <c r="T8748" t="str">
        <f>IF(C8748="","",UPPER(LEFT(SUBSTITUTE(C8748," ",""),3))&amp;"-"&amp;TEXT(B8748,"AAMMDD")&amp;"-1")</f>
        <v/>
      </c>
    </row>
    <row r="8749" spans="20:20" hidden="1">
      <c r="T8749" t="str">
        <f>IF(C8749="","",UPPER(LEFT(SUBSTITUTE(C8749," ",""),3))&amp;"-"&amp;TEXT(B8749,"AAMMDD")&amp;"-1")</f>
        <v/>
      </c>
    </row>
    <row r="8750" spans="20:20" hidden="1">
      <c r="T8750" t="str">
        <f>IF(C8750="","",UPPER(LEFT(SUBSTITUTE(C8750," ",""),3))&amp;"-"&amp;TEXT(B8750,"AAMMDD")&amp;"-1")</f>
        <v/>
      </c>
    </row>
    <row r="8751" spans="20:20" hidden="1">
      <c r="T8751" t="str">
        <f>IF(C8751="","",UPPER(LEFT(SUBSTITUTE(C8751," ",""),3))&amp;"-"&amp;TEXT(B8751,"AAMMDD")&amp;"-1")</f>
        <v/>
      </c>
    </row>
    <row r="8752" spans="20:20" hidden="1">
      <c r="T8752" t="str">
        <f>IF(C8752="","",UPPER(LEFT(SUBSTITUTE(C8752," ",""),3))&amp;"-"&amp;TEXT(B8752,"AAMMDD")&amp;"-1")</f>
        <v/>
      </c>
    </row>
    <row r="8753" spans="20:20" hidden="1">
      <c r="T8753" t="str">
        <f>IF(C8753="","",UPPER(LEFT(SUBSTITUTE(C8753," ",""),3))&amp;"-"&amp;TEXT(B8753,"AAMMDD")&amp;"-1")</f>
        <v/>
      </c>
    </row>
    <row r="8754" spans="20:20" hidden="1">
      <c r="T8754" t="str">
        <f>IF(C8754="","",UPPER(LEFT(SUBSTITUTE(C8754," ",""),3))&amp;"-"&amp;TEXT(B8754,"AAMMDD")&amp;"-1")</f>
        <v/>
      </c>
    </row>
    <row r="8755" spans="20:20" hidden="1">
      <c r="T8755" t="str">
        <f>IF(C8755="","",UPPER(LEFT(SUBSTITUTE(C8755," ",""),3))&amp;"-"&amp;TEXT(B8755,"AAMMDD")&amp;"-1")</f>
        <v/>
      </c>
    </row>
    <row r="8756" spans="20:20" hidden="1">
      <c r="T8756" t="str">
        <f>IF(C8756="","",UPPER(LEFT(SUBSTITUTE(C8756," ",""),3))&amp;"-"&amp;TEXT(B8756,"AAMMDD")&amp;"-1")</f>
        <v/>
      </c>
    </row>
    <row r="8757" spans="20:20" hidden="1">
      <c r="T8757" t="str">
        <f>IF(C8757="","",UPPER(LEFT(SUBSTITUTE(C8757," ",""),3))&amp;"-"&amp;TEXT(B8757,"AAMMDD")&amp;"-1")</f>
        <v/>
      </c>
    </row>
    <row r="8758" spans="20:20" hidden="1">
      <c r="T8758" t="str">
        <f>IF(C8758="","",UPPER(LEFT(SUBSTITUTE(C8758," ",""),3))&amp;"-"&amp;TEXT(B8758,"AAMMDD")&amp;"-1")</f>
        <v/>
      </c>
    </row>
    <row r="8759" spans="20:20" hidden="1">
      <c r="T8759" t="str">
        <f>IF(C8759="","",UPPER(LEFT(SUBSTITUTE(C8759," ",""),3))&amp;"-"&amp;TEXT(B8759,"AAMMDD")&amp;"-1")</f>
        <v/>
      </c>
    </row>
    <row r="8760" spans="20:20" hidden="1">
      <c r="T8760" t="str">
        <f>IF(C8760="","",UPPER(LEFT(SUBSTITUTE(C8760," ",""),3))&amp;"-"&amp;TEXT(B8760,"AAMMDD")&amp;"-1")</f>
        <v/>
      </c>
    </row>
    <row r="8761" spans="20:20" hidden="1">
      <c r="T8761" t="str">
        <f>IF(C8761="","",UPPER(LEFT(SUBSTITUTE(C8761," ",""),3))&amp;"-"&amp;TEXT(B8761,"AAMMDD")&amp;"-1")</f>
        <v/>
      </c>
    </row>
    <row r="8762" spans="20:20" hidden="1">
      <c r="T8762" t="str">
        <f>IF(C8762="","",UPPER(LEFT(SUBSTITUTE(C8762," ",""),3))&amp;"-"&amp;TEXT(B8762,"AAMMDD")&amp;"-1")</f>
        <v/>
      </c>
    </row>
    <row r="8763" spans="20:20" hidden="1">
      <c r="T8763" t="str">
        <f>IF(C8763="","",UPPER(LEFT(SUBSTITUTE(C8763," ",""),3))&amp;"-"&amp;TEXT(B8763,"AAMMDD")&amp;"-1")</f>
        <v/>
      </c>
    </row>
    <row r="8764" spans="20:20" hidden="1">
      <c r="T8764" t="str">
        <f>IF(C8764="","",UPPER(LEFT(SUBSTITUTE(C8764," ",""),3))&amp;"-"&amp;TEXT(B8764,"AAMMDD")&amp;"-1")</f>
        <v/>
      </c>
    </row>
    <row r="8765" spans="20:20" hidden="1">
      <c r="T8765" t="str">
        <f>IF(C8765="","",UPPER(LEFT(SUBSTITUTE(C8765," ",""),3))&amp;"-"&amp;TEXT(B8765,"AAMMDD")&amp;"-1")</f>
        <v/>
      </c>
    </row>
    <row r="8766" spans="20:20" hidden="1">
      <c r="T8766" t="str">
        <f>IF(C8766="","",UPPER(LEFT(SUBSTITUTE(C8766," ",""),3))&amp;"-"&amp;TEXT(B8766,"AAMMDD")&amp;"-1")</f>
        <v/>
      </c>
    </row>
    <row r="8767" spans="20:20" hidden="1">
      <c r="T8767" t="str">
        <f>IF(C8767="","",UPPER(LEFT(SUBSTITUTE(C8767," ",""),3))&amp;"-"&amp;TEXT(B8767,"AAMMDD")&amp;"-1")</f>
        <v/>
      </c>
    </row>
    <row r="8768" spans="20:20" hidden="1">
      <c r="T8768" t="str">
        <f>IF(C8768="","",UPPER(LEFT(SUBSTITUTE(C8768," ",""),3))&amp;"-"&amp;TEXT(B8768,"AAMMDD")&amp;"-1")</f>
        <v/>
      </c>
    </row>
    <row r="8769" spans="20:20" hidden="1">
      <c r="T8769" t="str">
        <f>IF(C8769="","",UPPER(LEFT(SUBSTITUTE(C8769," ",""),3))&amp;"-"&amp;TEXT(B8769,"AAMMDD")&amp;"-1")</f>
        <v/>
      </c>
    </row>
    <row r="8770" spans="20:20" hidden="1">
      <c r="T8770" t="str">
        <f>IF(C8770="","",UPPER(LEFT(SUBSTITUTE(C8770," ",""),3))&amp;"-"&amp;TEXT(B8770,"AAMMDD")&amp;"-1")</f>
        <v/>
      </c>
    </row>
    <row r="8771" spans="20:20" hidden="1">
      <c r="T8771" t="str">
        <f>IF(C8771="","",UPPER(LEFT(SUBSTITUTE(C8771," ",""),3))&amp;"-"&amp;TEXT(B8771,"AAMMDD")&amp;"-1")</f>
        <v/>
      </c>
    </row>
    <row r="8772" spans="20:20" hidden="1">
      <c r="T8772" t="str">
        <f>IF(C8772="","",UPPER(LEFT(SUBSTITUTE(C8772," ",""),3))&amp;"-"&amp;TEXT(B8772,"AAMMDD")&amp;"-1")</f>
        <v/>
      </c>
    </row>
    <row r="8773" spans="20:20" hidden="1">
      <c r="T8773" t="str">
        <f>IF(C8773="","",UPPER(LEFT(SUBSTITUTE(C8773," ",""),3))&amp;"-"&amp;TEXT(B8773,"AAMMDD")&amp;"-1")</f>
        <v/>
      </c>
    </row>
    <row r="8774" spans="20:20" hidden="1">
      <c r="T8774" t="str">
        <f>IF(C8774="","",UPPER(LEFT(SUBSTITUTE(C8774," ",""),3))&amp;"-"&amp;TEXT(B8774,"AAMMDD")&amp;"-1")</f>
        <v/>
      </c>
    </row>
    <row r="8775" spans="20:20" hidden="1">
      <c r="T8775" t="str">
        <f>IF(C8775="","",UPPER(LEFT(SUBSTITUTE(C8775," ",""),3))&amp;"-"&amp;TEXT(B8775,"AAMMDD")&amp;"-1")</f>
        <v/>
      </c>
    </row>
    <row r="8776" spans="20:20" hidden="1">
      <c r="T8776" t="str">
        <f>IF(C8776="","",UPPER(LEFT(SUBSTITUTE(C8776," ",""),3))&amp;"-"&amp;TEXT(B8776,"AAMMDD")&amp;"-1")</f>
        <v/>
      </c>
    </row>
    <row r="8777" spans="20:20" hidden="1">
      <c r="T8777" t="str">
        <f>IF(C8777="","",UPPER(LEFT(SUBSTITUTE(C8777," ",""),3))&amp;"-"&amp;TEXT(B8777,"AAMMDD")&amp;"-1")</f>
        <v/>
      </c>
    </row>
    <row r="8778" spans="20:20" hidden="1">
      <c r="T8778" t="str">
        <f>IF(C8778="","",UPPER(LEFT(SUBSTITUTE(C8778," ",""),3))&amp;"-"&amp;TEXT(B8778,"AAMMDD")&amp;"-1")</f>
        <v/>
      </c>
    </row>
    <row r="8779" spans="20:20" hidden="1">
      <c r="T8779" t="str">
        <f>IF(C8779="","",UPPER(LEFT(SUBSTITUTE(C8779," ",""),3))&amp;"-"&amp;TEXT(B8779,"AAMMDD")&amp;"-1")</f>
        <v/>
      </c>
    </row>
    <row r="8780" spans="20:20" hidden="1">
      <c r="T8780" t="str">
        <f>IF(C8780="","",UPPER(LEFT(SUBSTITUTE(C8780," ",""),3))&amp;"-"&amp;TEXT(B8780,"AAMMDD")&amp;"-1")</f>
        <v/>
      </c>
    </row>
    <row r="8781" spans="20:20" hidden="1">
      <c r="T8781" t="str">
        <f>IF(C8781="","",UPPER(LEFT(SUBSTITUTE(C8781," ",""),3))&amp;"-"&amp;TEXT(B8781,"AAMMDD")&amp;"-1")</f>
        <v/>
      </c>
    </row>
    <row r="8782" spans="20:20" hidden="1">
      <c r="T8782" t="str">
        <f>IF(C8782="","",UPPER(LEFT(SUBSTITUTE(C8782," ",""),3))&amp;"-"&amp;TEXT(B8782,"AAMMDD")&amp;"-1")</f>
        <v/>
      </c>
    </row>
    <row r="8783" spans="20:20" hidden="1">
      <c r="T8783" t="str">
        <f>IF(C8783="","",UPPER(LEFT(SUBSTITUTE(C8783," ",""),3))&amp;"-"&amp;TEXT(B8783,"AAMMDD")&amp;"-1")</f>
        <v/>
      </c>
    </row>
    <row r="8784" spans="20:20" hidden="1">
      <c r="T8784" t="str">
        <f>IF(C8784="","",UPPER(LEFT(SUBSTITUTE(C8784," ",""),3))&amp;"-"&amp;TEXT(B8784,"AAMMDD")&amp;"-1")</f>
        <v/>
      </c>
    </row>
    <row r="8785" spans="20:20" hidden="1">
      <c r="T8785" t="str">
        <f>IF(C8785="","",UPPER(LEFT(SUBSTITUTE(C8785," ",""),3))&amp;"-"&amp;TEXT(B8785,"AAMMDD")&amp;"-1")</f>
        <v/>
      </c>
    </row>
    <row r="8786" spans="20:20" hidden="1">
      <c r="T8786" t="str">
        <f>IF(C8786="","",UPPER(LEFT(SUBSTITUTE(C8786," ",""),3))&amp;"-"&amp;TEXT(B8786,"AAMMDD")&amp;"-1")</f>
        <v/>
      </c>
    </row>
    <row r="8787" spans="20:20" hidden="1">
      <c r="T8787" t="str">
        <f>IF(C8787="","",UPPER(LEFT(SUBSTITUTE(C8787," ",""),3))&amp;"-"&amp;TEXT(B8787,"AAMMDD")&amp;"-1")</f>
        <v/>
      </c>
    </row>
    <row r="8788" spans="20:20" hidden="1">
      <c r="T8788" t="str">
        <f>IF(C8788="","",UPPER(LEFT(SUBSTITUTE(C8788," ",""),3))&amp;"-"&amp;TEXT(B8788,"AAMMDD")&amp;"-1")</f>
        <v/>
      </c>
    </row>
    <row r="8789" spans="20:20" hidden="1">
      <c r="T8789" t="str">
        <f>IF(C8789="","",UPPER(LEFT(SUBSTITUTE(C8789," ",""),3))&amp;"-"&amp;TEXT(B8789,"AAMMDD")&amp;"-1")</f>
        <v/>
      </c>
    </row>
    <row r="8790" spans="20:20" hidden="1">
      <c r="T8790" t="str">
        <f>IF(C8790="","",UPPER(LEFT(SUBSTITUTE(C8790," ",""),3))&amp;"-"&amp;TEXT(B8790,"AAMMDD")&amp;"-1")</f>
        <v/>
      </c>
    </row>
    <row r="8791" spans="20:20" hidden="1">
      <c r="T8791" t="str">
        <f>IF(C8791="","",UPPER(LEFT(SUBSTITUTE(C8791," ",""),3))&amp;"-"&amp;TEXT(B8791,"AAMMDD")&amp;"-1")</f>
        <v/>
      </c>
    </row>
    <row r="8792" spans="20:20" hidden="1">
      <c r="T8792" t="str">
        <f>IF(C8792="","",UPPER(LEFT(SUBSTITUTE(C8792," ",""),3))&amp;"-"&amp;TEXT(B8792,"AAMMDD")&amp;"-1")</f>
        <v/>
      </c>
    </row>
    <row r="8793" spans="20:20" hidden="1">
      <c r="T8793" t="str">
        <f>IF(C8793="","",UPPER(LEFT(SUBSTITUTE(C8793," ",""),3))&amp;"-"&amp;TEXT(B8793,"AAMMDD")&amp;"-1")</f>
        <v/>
      </c>
    </row>
    <row r="8794" spans="20:20" hidden="1">
      <c r="T8794" t="str">
        <f>IF(C8794="","",UPPER(LEFT(SUBSTITUTE(C8794," ",""),3))&amp;"-"&amp;TEXT(B8794,"AAMMDD")&amp;"-1")</f>
        <v/>
      </c>
    </row>
    <row r="8795" spans="20:20" hidden="1">
      <c r="T8795" t="str">
        <f>IF(C8795="","",UPPER(LEFT(SUBSTITUTE(C8795," ",""),3))&amp;"-"&amp;TEXT(B8795,"AAMMDD")&amp;"-1")</f>
        <v/>
      </c>
    </row>
    <row r="8796" spans="20:20" hidden="1">
      <c r="T8796" t="str">
        <f>IF(C8796="","",UPPER(LEFT(SUBSTITUTE(C8796," ",""),3))&amp;"-"&amp;TEXT(B8796,"AAMMDD")&amp;"-1")</f>
        <v/>
      </c>
    </row>
    <row r="8797" spans="20:20" hidden="1">
      <c r="T8797" t="str">
        <f>IF(C8797="","",UPPER(LEFT(SUBSTITUTE(C8797," ",""),3))&amp;"-"&amp;TEXT(B8797,"AAMMDD")&amp;"-1")</f>
        <v/>
      </c>
    </row>
    <row r="8798" spans="20:20" hidden="1">
      <c r="T8798" t="str">
        <f>IF(C8798="","",UPPER(LEFT(SUBSTITUTE(C8798," ",""),3))&amp;"-"&amp;TEXT(B8798,"AAMMDD")&amp;"-1")</f>
        <v/>
      </c>
    </row>
    <row r="8799" spans="20:20" hidden="1">
      <c r="T8799" t="str">
        <f>IF(C8799="","",UPPER(LEFT(SUBSTITUTE(C8799," ",""),3))&amp;"-"&amp;TEXT(B8799,"AAMMDD")&amp;"-1")</f>
        <v/>
      </c>
    </row>
    <row r="8800" spans="20:20" hidden="1">
      <c r="T8800" t="str">
        <f>IF(C8800="","",UPPER(LEFT(SUBSTITUTE(C8800," ",""),3))&amp;"-"&amp;TEXT(B8800,"AAMMDD")&amp;"-1")</f>
        <v/>
      </c>
    </row>
    <row r="8801" spans="20:20" hidden="1">
      <c r="T8801" t="str">
        <f>IF(C8801="","",UPPER(LEFT(SUBSTITUTE(C8801," ",""),3))&amp;"-"&amp;TEXT(B8801,"AAMMDD")&amp;"-1")</f>
        <v/>
      </c>
    </row>
    <row r="8802" spans="20:20" hidden="1">
      <c r="T8802" t="str">
        <f>IF(C8802="","",UPPER(LEFT(SUBSTITUTE(C8802," ",""),3))&amp;"-"&amp;TEXT(B8802,"AAMMDD")&amp;"-1")</f>
        <v/>
      </c>
    </row>
    <row r="8803" spans="20:20" hidden="1">
      <c r="T8803" t="str">
        <f>IF(C8803="","",UPPER(LEFT(SUBSTITUTE(C8803," ",""),3))&amp;"-"&amp;TEXT(B8803,"AAMMDD")&amp;"-1")</f>
        <v/>
      </c>
    </row>
    <row r="8804" spans="20:20" hidden="1">
      <c r="T8804" t="str">
        <f>IF(C8804="","",UPPER(LEFT(SUBSTITUTE(C8804," ",""),3))&amp;"-"&amp;TEXT(B8804,"AAMMDD")&amp;"-1")</f>
        <v/>
      </c>
    </row>
    <row r="8805" spans="20:20" hidden="1">
      <c r="T8805" t="str">
        <f>IF(C8805="","",UPPER(LEFT(SUBSTITUTE(C8805," ",""),3))&amp;"-"&amp;TEXT(B8805,"AAMMDD")&amp;"-1")</f>
        <v/>
      </c>
    </row>
    <row r="8806" spans="20:20" hidden="1">
      <c r="T8806" t="str">
        <f>IF(C8806="","",UPPER(LEFT(SUBSTITUTE(C8806," ",""),3))&amp;"-"&amp;TEXT(B8806,"AAMMDD")&amp;"-1")</f>
        <v/>
      </c>
    </row>
    <row r="8807" spans="20:20" hidden="1">
      <c r="T8807" t="str">
        <f>IF(C8807="","",UPPER(LEFT(SUBSTITUTE(C8807," ",""),3))&amp;"-"&amp;TEXT(B8807,"AAMMDD")&amp;"-1")</f>
        <v/>
      </c>
    </row>
    <row r="8808" spans="20:20" hidden="1">
      <c r="T8808" t="str">
        <f>IF(C8808="","",UPPER(LEFT(SUBSTITUTE(C8808," ",""),3))&amp;"-"&amp;TEXT(B8808,"AAMMDD")&amp;"-1")</f>
        <v/>
      </c>
    </row>
    <row r="8809" spans="20:20" hidden="1">
      <c r="T8809" t="str">
        <f>IF(C8809="","",UPPER(LEFT(SUBSTITUTE(C8809," ",""),3))&amp;"-"&amp;TEXT(B8809,"AAMMDD")&amp;"-1")</f>
        <v/>
      </c>
    </row>
    <row r="8810" spans="20:20" hidden="1">
      <c r="T8810" t="str">
        <f>IF(C8810="","",UPPER(LEFT(SUBSTITUTE(C8810," ",""),3))&amp;"-"&amp;TEXT(B8810,"AAMMDD")&amp;"-1")</f>
        <v/>
      </c>
    </row>
    <row r="8811" spans="20:20" hidden="1">
      <c r="T8811" t="str">
        <f>IF(C8811="","",UPPER(LEFT(SUBSTITUTE(C8811," ",""),3))&amp;"-"&amp;TEXT(B8811,"AAMMDD")&amp;"-1")</f>
        <v/>
      </c>
    </row>
    <row r="8812" spans="20:20" hidden="1">
      <c r="T8812" t="str">
        <f>IF(C8812="","",UPPER(LEFT(SUBSTITUTE(C8812," ",""),3))&amp;"-"&amp;TEXT(B8812,"AAMMDD")&amp;"-1")</f>
        <v/>
      </c>
    </row>
    <row r="8813" spans="20:20" hidden="1">
      <c r="T8813" t="str">
        <f>IF(C8813="","",UPPER(LEFT(SUBSTITUTE(C8813," ",""),3))&amp;"-"&amp;TEXT(B8813,"AAMMDD")&amp;"-1")</f>
        <v/>
      </c>
    </row>
    <row r="8814" spans="20:20" hidden="1">
      <c r="T8814" t="str">
        <f>IF(C8814="","",UPPER(LEFT(SUBSTITUTE(C8814," ",""),3))&amp;"-"&amp;TEXT(B8814,"AAMMDD")&amp;"-1")</f>
        <v/>
      </c>
    </row>
    <row r="8815" spans="20:20" hidden="1">
      <c r="T8815" t="str">
        <f>IF(C8815="","",UPPER(LEFT(SUBSTITUTE(C8815," ",""),3))&amp;"-"&amp;TEXT(B8815,"AAMMDD")&amp;"-1")</f>
        <v/>
      </c>
    </row>
    <row r="8816" spans="20:20" hidden="1">
      <c r="T8816" t="str">
        <f>IF(C8816="","",UPPER(LEFT(SUBSTITUTE(C8816," ",""),3))&amp;"-"&amp;TEXT(B8816,"AAMMDD")&amp;"-1")</f>
        <v/>
      </c>
    </row>
    <row r="8817" spans="20:20" hidden="1">
      <c r="T8817" t="str">
        <f>IF(C8817="","",UPPER(LEFT(SUBSTITUTE(C8817," ",""),3))&amp;"-"&amp;TEXT(B8817,"AAMMDD")&amp;"-1")</f>
        <v/>
      </c>
    </row>
    <row r="8818" spans="20:20" hidden="1">
      <c r="T8818" t="str">
        <f>IF(C8818="","",UPPER(LEFT(SUBSTITUTE(C8818," ",""),3))&amp;"-"&amp;TEXT(B8818,"AAMMDD")&amp;"-1")</f>
        <v/>
      </c>
    </row>
    <row r="8819" spans="20:20" hidden="1">
      <c r="T8819" t="str">
        <f>IF(C8819="","",UPPER(LEFT(SUBSTITUTE(C8819," ",""),3))&amp;"-"&amp;TEXT(B8819,"AAMMDD")&amp;"-1")</f>
        <v/>
      </c>
    </row>
    <row r="8820" spans="20:20" hidden="1">
      <c r="T8820" t="str">
        <f>IF(C8820="","",UPPER(LEFT(SUBSTITUTE(C8820," ",""),3))&amp;"-"&amp;TEXT(B8820,"AAMMDD")&amp;"-1")</f>
        <v/>
      </c>
    </row>
    <row r="8821" spans="20:20" hidden="1">
      <c r="T8821" t="str">
        <f>IF(C8821="","",UPPER(LEFT(SUBSTITUTE(C8821," ",""),3))&amp;"-"&amp;TEXT(B8821,"AAMMDD")&amp;"-1")</f>
        <v/>
      </c>
    </row>
    <row r="8822" spans="20:20" hidden="1">
      <c r="T8822" t="str">
        <f>IF(C8822="","",UPPER(LEFT(SUBSTITUTE(C8822," ",""),3))&amp;"-"&amp;TEXT(B8822,"AAMMDD")&amp;"-1")</f>
        <v/>
      </c>
    </row>
    <row r="8823" spans="20:20" hidden="1">
      <c r="T8823" t="str">
        <f>IF(C8823="","",UPPER(LEFT(SUBSTITUTE(C8823," ",""),3))&amp;"-"&amp;TEXT(B8823,"AAMMDD")&amp;"-1")</f>
        <v/>
      </c>
    </row>
    <row r="8824" spans="20:20" hidden="1">
      <c r="T8824" t="str">
        <f>IF(C8824="","",UPPER(LEFT(SUBSTITUTE(C8824," ",""),3))&amp;"-"&amp;TEXT(B8824,"AAMMDD")&amp;"-1")</f>
        <v/>
      </c>
    </row>
    <row r="8825" spans="20:20" hidden="1">
      <c r="T8825" t="str">
        <f>IF(C8825="","",UPPER(LEFT(SUBSTITUTE(C8825," ",""),3))&amp;"-"&amp;TEXT(B8825,"AAMMDD")&amp;"-1")</f>
        <v/>
      </c>
    </row>
    <row r="8826" spans="20:20" hidden="1">
      <c r="T8826" t="str">
        <f>IF(C8826="","",UPPER(LEFT(SUBSTITUTE(C8826," ",""),3))&amp;"-"&amp;TEXT(B8826,"AAMMDD")&amp;"-1")</f>
        <v/>
      </c>
    </row>
    <row r="8827" spans="20:20" hidden="1">
      <c r="T8827" t="str">
        <f>IF(C8827="","",UPPER(LEFT(SUBSTITUTE(C8827," ",""),3))&amp;"-"&amp;TEXT(B8827,"AAMMDD")&amp;"-1")</f>
        <v/>
      </c>
    </row>
    <row r="8828" spans="20:20" hidden="1">
      <c r="T8828" t="str">
        <f>IF(C8828="","",UPPER(LEFT(SUBSTITUTE(C8828," ",""),3))&amp;"-"&amp;TEXT(B8828,"AAMMDD")&amp;"-1")</f>
        <v/>
      </c>
    </row>
    <row r="8829" spans="20:20" hidden="1">
      <c r="T8829" t="str">
        <f>IF(C8829="","",UPPER(LEFT(SUBSTITUTE(C8829," ",""),3))&amp;"-"&amp;TEXT(B8829,"AAMMDD")&amp;"-1")</f>
        <v/>
      </c>
    </row>
    <row r="8830" spans="20:20" hidden="1">
      <c r="T8830" t="str">
        <f>IF(C8830="","",UPPER(LEFT(SUBSTITUTE(C8830," ",""),3))&amp;"-"&amp;TEXT(B8830,"AAMMDD")&amp;"-1")</f>
        <v/>
      </c>
    </row>
    <row r="8831" spans="20:20" hidden="1">
      <c r="T8831" t="str">
        <f>IF(C8831="","",UPPER(LEFT(SUBSTITUTE(C8831," ",""),3))&amp;"-"&amp;TEXT(B8831,"AAMMDD")&amp;"-1")</f>
        <v/>
      </c>
    </row>
    <row r="8832" spans="20:20" hidden="1">
      <c r="T8832" t="str">
        <f>IF(C8832="","",UPPER(LEFT(SUBSTITUTE(C8832," ",""),3))&amp;"-"&amp;TEXT(B8832,"AAMMDD")&amp;"-1")</f>
        <v/>
      </c>
    </row>
    <row r="8833" spans="20:20" hidden="1">
      <c r="T8833" t="str">
        <f>IF(C8833="","",UPPER(LEFT(SUBSTITUTE(C8833," ",""),3))&amp;"-"&amp;TEXT(B8833,"AAMMDD")&amp;"-1")</f>
        <v/>
      </c>
    </row>
    <row r="8834" spans="20:20" hidden="1">
      <c r="T8834" t="str">
        <f>IF(C8834="","",UPPER(LEFT(SUBSTITUTE(C8834," ",""),3))&amp;"-"&amp;TEXT(B8834,"AAMMDD")&amp;"-1")</f>
        <v/>
      </c>
    </row>
    <row r="8835" spans="20:20" hidden="1">
      <c r="T8835" t="str">
        <f>IF(C8835="","",UPPER(LEFT(SUBSTITUTE(C8835," ",""),3))&amp;"-"&amp;TEXT(B8835,"AAMMDD")&amp;"-1")</f>
        <v/>
      </c>
    </row>
    <row r="8836" spans="20:20" hidden="1">
      <c r="T8836" t="str">
        <f>IF(C8836="","",UPPER(LEFT(SUBSTITUTE(C8836," ",""),3))&amp;"-"&amp;TEXT(B8836,"AAMMDD")&amp;"-1")</f>
        <v/>
      </c>
    </row>
    <row r="8837" spans="20:20" hidden="1">
      <c r="T8837" t="str">
        <f>IF(C8837="","",UPPER(LEFT(SUBSTITUTE(C8837," ",""),3))&amp;"-"&amp;TEXT(B8837,"AAMMDD")&amp;"-1")</f>
        <v/>
      </c>
    </row>
    <row r="8838" spans="20:20" hidden="1">
      <c r="T8838" t="str">
        <f>IF(C8838="","",UPPER(LEFT(SUBSTITUTE(C8838," ",""),3))&amp;"-"&amp;TEXT(B8838,"AAMMDD")&amp;"-1")</f>
        <v/>
      </c>
    </row>
    <row r="8839" spans="20:20" hidden="1">
      <c r="T8839" t="str">
        <f>IF(C8839="","",UPPER(LEFT(SUBSTITUTE(C8839," ",""),3))&amp;"-"&amp;TEXT(B8839,"AAMMDD")&amp;"-1")</f>
        <v/>
      </c>
    </row>
    <row r="8840" spans="20:20" hidden="1">
      <c r="T8840" t="str">
        <f>IF(C8840="","",UPPER(LEFT(SUBSTITUTE(C8840," ",""),3))&amp;"-"&amp;TEXT(B8840,"AAMMDD")&amp;"-1")</f>
        <v/>
      </c>
    </row>
    <row r="8841" spans="20:20" hidden="1">
      <c r="T8841" t="str">
        <f>IF(C8841="","",UPPER(LEFT(SUBSTITUTE(C8841," ",""),3))&amp;"-"&amp;TEXT(B8841,"AAMMDD")&amp;"-1")</f>
        <v/>
      </c>
    </row>
    <row r="8842" spans="20:20" hidden="1">
      <c r="T8842" t="str">
        <f>IF(C8842="","",UPPER(LEFT(SUBSTITUTE(C8842," ",""),3))&amp;"-"&amp;TEXT(B8842,"AAMMDD")&amp;"-1")</f>
        <v/>
      </c>
    </row>
    <row r="8843" spans="20:20" hidden="1">
      <c r="T8843" t="str">
        <f>IF(C8843="","",UPPER(LEFT(SUBSTITUTE(C8843," ",""),3))&amp;"-"&amp;TEXT(B8843,"AAMMDD")&amp;"-1")</f>
        <v/>
      </c>
    </row>
    <row r="8844" spans="20:20" hidden="1">
      <c r="T8844" t="str">
        <f>IF(C8844="","",UPPER(LEFT(SUBSTITUTE(C8844," ",""),3))&amp;"-"&amp;TEXT(B8844,"AAMMDD")&amp;"-1")</f>
        <v/>
      </c>
    </row>
    <row r="8845" spans="20:20" hidden="1">
      <c r="T8845" t="str">
        <f>IF(C8845="","",UPPER(LEFT(SUBSTITUTE(C8845," ",""),3))&amp;"-"&amp;TEXT(B8845,"AAMMDD")&amp;"-1")</f>
        <v/>
      </c>
    </row>
    <row r="8846" spans="20:20" hidden="1">
      <c r="T8846" t="str">
        <f>IF(C8846="","",UPPER(LEFT(SUBSTITUTE(C8846," ",""),3))&amp;"-"&amp;TEXT(B8846,"AAMMDD")&amp;"-1")</f>
        <v/>
      </c>
    </row>
    <row r="8847" spans="20:20" hidden="1">
      <c r="T8847" t="str">
        <f>IF(C8847="","",UPPER(LEFT(SUBSTITUTE(C8847," ",""),3))&amp;"-"&amp;TEXT(B8847,"AAMMDD")&amp;"-1")</f>
        <v/>
      </c>
    </row>
    <row r="8848" spans="20:20" hidden="1">
      <c r="T8848" t="str">
        <f>IF(C8848="","",UPPER(LEFT(SUBSTITUTE(C8848," ",""),3))&amp;"-"&amp;TEXT(B8848,"AAMMDD")&amp;"-1")</f>
        <v/>
      </c>
    </row>
    <row r="8849" spans="20:20" hidden="1">
      <c r="T8849" t="str">
        <f>IF(C8849="","",UPPER(LEFT(SUBSTITUTE(C8849," ",""),3))&amp;"-"&amp;TEXT(B8849,"AAMMDD")&amp;"-1")</f>
        <v/>
      </c>
    </row>
    <row r="8850" spans="20:20" hidden="1">
      <c r="T8850" t="str">
        <f>IF(C8850="","",UPPER(LEFT(SUBSTITUTE(C8850," ",""),3))&amp;"-"&amp;TEXT(B8850,"AAMMDD")&amp;"-1")</f>
        <v/>
      </c>
    </row>
    <row r="8851" spans="20:20" hidden="1">
      <c r="T8851" t="str">
        <f>IF(C8851="","",UPPER(LEFT(SUBSTITUTE(C8851," ",""),3))&amp;"-"&amp;TEXT(B8851,"AAMMDD")&amp;"-1")</f>
        <v/>
      </c>
    </row>
    <row r="8852" spans="20:20" hidden="1">
      <c r="T8852" t="str">
        <f>IF(C8852="","",UPPER(LEFT(SUBSTITUTE(C8852," ",""),3))&amp;"-"&amp;TEXT(B8852,"AAMMDD")&amp;"-1")</f>
        <v/>
      </c>
    </row>
    <row r="8853" spans="20:20" hidden="1">
      <c r="T8853" t="str">
        <f>IF(C8853="","",UPPER(LEFT(SUBSTITUTE(C8853," ",""),3))&amp;"-"&amp;TEXT(B8853,"AAMMDD")&amp;"-1")</f>
        <v/>
      </c>
    </row>
    <row r="8854" spans="20:20" hidden="1">
      <c r="T8854" t="str">
        <f>IF(C8854="","",UPPER(LEFT(SUBSTITUTE(C8854," ",""),3))&amp;"-"&amp;TEXT(B8854,"AAMMDD")&amp;"-1")</f>
        <v/>
      </c>
    </row>
    <row r="8855" spans="20:20" hidden="1">
      <c r="T8855" t="str">
        <f>IF(C8855="","",UPPER(LEFT(SUBSTITUTE(C8855," ",""),3))&amp;"-"&amp;TEXT(B8855,"AAMMDD")&amp;"-1")</f>
        <v/>
      </c>
    </row>
    <row r="8856" spans="20:20" hidden="1">
      <c r="T8856" t="str">
        <f>IF(C8856="","",UPPER(LEFT(SUBSTITUTE(C8856," ",""),3))&amp;"-"&amp;TEXT(B8856,"AAMMDD")&amp;"-1")</f>
        <v/>
      </c>
    </row>
    <row r="8857" spans="20:20" hidden="1">
      <c r="T8857" t="str">
        <f>IF(C8857="","",UPPER(LEFT(SUBSTITUTE(C8857," ",""),3))&amp;"-"&amp;TEXT(B8857,"AAMMDD")&amp;"-1")</f>
        <v/>
      </c>
    </row>
    <row r="8858" spans="20:20" hidden="1">
      <c r="T8858" t="str">
        <f>IF(C8858="","",UPPER(LEFT(SUBSTITUTE(C8858," ",""),3))&amp;"-"&amp;TEXT(B8858,"AAMMDD")&amp;"-1")</f>
        <v/>
      </c>
    </row>
    <row r="8859" spans="20:20" hidden="1">
      <c r="T8859" t="str">
        <f>IF(C8859="","",UPPER(LEFT(SUBSTITUTE(C8859," ",""),3))&amp;"-"&amp;TEXT(B8859,"AAMMDD")&amp;"-1")</f>
        <v/>
      </c>
    </row>
    <row r="8860" spans="20:20" hidden="1">
      <c r="T8860" t="str">
        <f>IF(C8860="","",UPPER(LEFT(SUBSTITUTE(C8860," ",""),3))&amp;"-"&amp;TEXT(B8860,"AAMMDD")&amp;"-1")</f>
        <v/>
      </c>
    </row>
    <row r="8861" spans="20:20" hidden="1">
      <c r="T8861" t="str">
        <f>IF(C8861="","",UPPER(LEFT(SUBSTITUTE(C8861," ",""),3))&amp;"-"&amp;TEXT(B8861,"AAMMDD")&amp;"-1")</f>
        <v/>
      </c>
    </row>
    <row r="8862" spans="20:20" hidden="1">
      <c r="T8862" t="str">
        <f>IF(C8862="","",UPPER(LEFT(SUBSTITUTE(C8862," ",""),3))&amp;"-"&amp;TEXT(B8862,"AAMMDD")&amp;"-1")</f>
        <v/>
      </c>
    </row>
    <row r="8863" spans="20:20" hidden="1">
      <c r="T8863" t="str">
        <f>IF(C8863="","",UPPER(LEFT(SUBSTITUTE(C8863," ",""),3))&amp;"-"&amp;TEXT(B8863,"AAMMDD")&amp;"-1")</f>
        <v/>
      </c>
    </row>
    <row r="8864" spans="20:20" hidden="1">
      <c r="T8864" t="str">
        <f>IF(C8864="","",UPPER(LEFT(SUBSTITUTE(C8864," ",""),3))&amp;"-"&amp;TEXT(B8864,"AAMMDD")&amp;"-1")</f>
        <v/>
      </c>
    </row>
    <row r="8865" spans="20:20" hidden="1">
      <c r="T8865" t="str">
        <f>IF(C8865="","",UPPER(LEFT(SUBSTITUTE(C8865," ",""),3))&amp;"-"&amp;TEXT(B8865,"AAMMDD")&amp;"-1")</f>
        <v/>
      </c>
    </row>
    <row r="8866" spans="20:20" hidden="1">
      <c r="T8866" t="str">
        <f>IF(C8866="","",UPPER(LEFT(SUBSTITUTE(C8866," ",""),3))&amp;"-"&amp;TEXT(B8866,"AAMMDD")&amp;"-1")</f>
        <v/>
      </c>
    </row>
    <row r="8867" spans="20:20" hidden="1">
      <c r="T8867" t="str">
        <f>IF(C8867="","",UPPER(LEFT(SUBSTITUTE(C8867," ",""),3))&amp;"-"&amp;TEXT(B8867,"AAMMDD")&amp;"-1")</f>
        <v/>
      </c>
    </row>
    <row r="8868" spans="20:20" hidden="1">
      <c r="T8868" t="str">
        <f>IF(C8868="","",UPPER(LEFT(SUBSTITUTE(C8868," ",""),3))&amp;"-"&amp;TEXT(B8868,"AAMMDD")&amp;"-1")</f>
        <v/>
      </c>
    </row>
    <row r="8869" spans="20:20" hidden="1">
      <c r="T8869" t="str">
        <f>IF(C8869="","",UPPER(LEFT(SUBSTITUTE(C8869," ",""),3))&amp;"-"&amp;TEXT(B8869,"AAMMDD")&amp;"-1")</f>
        <v/>
      </c>
    </row>
    <row r="8870" spans="20:20" hidden="1">
      <c r="T8870" t="str">
        <f>IF(C8870="","",UPPER(LEFT(SUBSTITUTE(C8870," ",""),3))&amp;"-"&amp;TEXT(B8870,"AAMMDD")&amp;"-1")</f>
        <v/>
      </c>
    </row>
    <row r="8871" spans="20:20" hidden="1">
      <c r="T8871" t="str">
        <f>IF(C8871="","",UPPER(LEFT(SUBSTITUTE(C8871," ",""),3))&amp;"-"&amp;TEXT(B8871,"AAMMDD")&amp;"-1")</f>
        <v/>
      </c>
    </row>
    <row r="8872" spans="20:20" hidden="1">
      <c r="T8872" t="str">
        <f>IF(C8872="","",UPPER(LEFT(SUBSTITUTE(C8872," ",""),3))&amp;"-"&amp;TEXT(B8872,"AAMMDD")&amp;"-1")</f>
        <v/>
      </c>
    </row>
    <row r="8873" spans="20:20" hidden="1">
      <c r="T8873" t="str">
        <f>IF(C8873="","",UPPER(LEFT(SUBSTITUTE(C8873," ",""),3))&amp;"-"&amp;TEXT(B8873,"AAMMDD")&amp;"-1")</f>
        <v/>
      </c>
    </row>
    <row r="8874" spans="20:20" hidden="1">
      <c r="T8874" t="str">
        <f>IF(C8874="","",UPPER(LEFT(SUBSTITUTE(C8874," ",""),3))&amp;"-"&amp;TEXT(B8874,"AAMMDD")&amp;"-1")</f>
        <v/>
      </c>
    </row>
    <row r="8875" spans="20:20" hidden="1">
      <c r="T8875" t="str">
        <f>IF(C8875="","",UPPER(LEFT(SUBSTITUTE(C8875," ",""),3))&amp;"-"&amp;TEXT(B8875,"AAMMDD")&amp;"-1")</f>
        <v/>
      </c>
    </row>
    <row r="8876" spans="20:20" hidden="1">
      <c r="T8876" t="str">
        <f>IF(C8876="","",UPPER(LEFT(SUBSTITUTE(C8876," ",""),3))&amp;"-"&amp;TEXT(B8876,"AAMMDD")&amp;"-1")</f>
        <v/>
      </c>
    </row>
    <row r="8877" spans="20:20" hidden="1">
      <c r="T8877" t="str">
        <f>IF(C8877="","",UPPER(LEFT(SUBSTITUTE(C8877," ",""),3))&amp;"-"&amp;TEXT(B8877,"AAMMDD")&amp;"-1")</f>
        <v/>
      </c>
    </row>
    <row r="8878" spans="20:20" hidden="1">
      <c r="T8878" t="str">
        <f>IF(C8878="","",UPPER(LEFT(SUBSTITUTE(C8878," ",""),3))&amp;"-"&amp;TEXT(B8878,"AAMMDD")&amp;"-1")</f>
        <v/>
      </c>
    </row>
    <row r="8879" spans="20:20" hidden="1">
      <c r="T8879" t="str">
        <f>IF(C8879="","",UPPER(LEFT(SUBSTITUTE(C8879," ",""),3))&amp;"-"&amp;TEXT(B8879,"AAMMDD")&amp;"-1")</f>
        <v/>
      </c>
    </row>
    <row r="8880" spans="20:20" hidden="1">
      <c r="T8880" t="str">
        <f>IF(C8880="","",UPPER(LEFT(SUBSTITUTE(C8880," ",""),3))&amp;"-"&amp;TEXT(B8880,"AAMMDD")&amp;"-1")</f>
        <v/>
      </c>
    </row>
    <row r="8881" spans="20:20" hidden="1">
      <c r="T8881" t="str">
        <f>IF(C8881="","",UPPER(LEFT(SUBSTITUTE(C8881," ",""),3))&amp;"-"&amp;TEXT(B8881,"AAMMDD")&amp;"-1")</f>
        <v/>
      </c>
    </row>
    <row r="8882" spans="20:20" hidden="1">
      <c r="T8882" t="str">
        <f>IF(C8882="","",UPPER(LEFT(SUBSTITUTE(C8882," ",""),3))&amp;"-"&amp;TEXT(B8882,"AAMMDD")&amp;"-1")</f>
        <v/>
      </c>
    </row>
    <row r="8883" spans="20:20" hidden="1">
      <c r="T8883" t="str">
        <f>IF(C8883="","",UPPER(LEFT(SUBSTITUTE(C8883," ",""),3))&amp;"-"&amp;TEXT(B8883,"AAMMDD")&amp;"-1")</f>
        <v/>
      </c>
    </row>
    <row r="8884" spans="20:20" hidden="1">
      <c r="T8884" t="str">
        <f>IF(C8884="","",UPPER(LEFT(SUBSTITUTE(C8884," ",""),3))&amp;"-"&amp;TEXT(B8884,"AAMMDD")&amp;"-1")</f>
        <v/>
      </c>
    </row>
    <row r="8885" spans="20:20" hidden="1">
      <c r="T8885" t="str">
        <f>IF(C8885="","",UPPER(LEFT(SUBSTITUTE(C8885," ",""),3))&amp;"-"&amp;TEXT(B8885,"AAMMDD")&amp;"-1")</f>
        <v/>
      </c>
    </row>
    <row r="8886" spans="20:20" hidden="1">
      <c r="T8886" t="str">
        <f>IF(C8886="","",UPPER(LEFT(SUBSTITUTE(C8886," ",""),3))&amp;"-"&amp;TEXT(B8886,"AAMMDD")&amp;"-1")</f>
        <v/>
      </c>
    </row>
    <row r="8887" spans="20:20" hidden="1">
      <c r="T8887" t="str">
        <f>IF(C8887="","",UPPER(LEFT(SUBSTITUTE(C8887," ",""),3))&amp;"-"&amp;TEXT(B8887,"AAMMDD")&amp;"-1")</f>
        <v/>
      </c>
    </row>
    <row r="8888" spans="20:20" hidden="1">
      <c r="T8888" t="str">
        <f>IF(C8888="","",UPPER(LEFT(SUBSTITUTE(C8888," ",""),3))&amp;"-"&amp;TEXT(B8888,"AAMMDD")&amp;"-1")</f>
        <v/>
      </c>
    </row>
    <row r="8889" spans="20:20" hidden="1">
      <c r="T8889" t="str">
        <f>IF(C8889="","",UPPER(LEFT(SUBSTITUTE(C8889," ",""),3))&amp;"-"&amp;TEXT(B8889,"AAMMDD")&amp;"-1")</f>
        <v/>
      </c>
    </row>
    <row r="8890" spans="20:20" hidden="1">
      <c r="T8890" t="str">
        <f>IF(C8890="","",UPPER(LEFT(SUBSTITUTE(C8890," ",""),3))&amp;"-"&amp;TEXT(B8890,"AAMMDD")&amp;"-1")</f>
        <v/>
      </c>
    </row>
    <row r="8891" spans="20:20" hidden="1">
      <c r="T8891" t="str">
        <f>IF(C8891="","",UPPER(LEFT(SUBSTITUTE(C8891," ",""),3))&amp;"-"&amp;TEXT(B8891,"AAMMDD")&amp;"-1")</f>
        <v/>
      </c>
    </row>
    <row r="8892" spans="20:20" hidden="1">
      <c r="T8892" t="str">
        <f>IF(C8892="","",UPPER(LEFT(SUBSTITUTE(C8892," ",""),3))&amp;"-"&amp;TEXT(B8892,"AAMMDD")&amp;"-1")</f>
        <v/>
      </c>
    </row>
    <row r="8893" spans="20:20" hidden="1">
      <c r="T8893" t="str">
        <f>IF(C8893="","",UPPER(LEFT(SUBSTITUTE(C8893," ",""),3))&amp;"-"&amp;TEXT(B8893,"AAMMDD")&amp;"-1")</f>
        <v/>
      </c>
    </row>
    <row r="8894" spans="20:20" hidden="1">
      <c r="T8894" t="str">
        <f>IF(C8894="","",UPPER(LEFT(SUBSTITUTE(C8894," ",""),3))&amp;"-"&amp;TEXT(B8894,"AAMMDD")&amp;"-1")</f>
        <v/>
      </c>
    </row>
    <row r="8895" spans="20:20" hidden="1">
      <c r="T8895" t="str">
        <f>IF(C8895="","",UPPER(LEFT(SUBSTITUTE(C8895," ",""),3))&amp;"-"&amp;TEXT(B8895,"AAMMDD")&amp;"-1")</f>
        <v/>
      </c>
    </row>
    <row r="8896" spans="20:20" hidden="1">
      <c r="T8896" t="str">
        <f>IF(C8896="","",UPPER(LEFT(SUBSTITUTE(C8896," ",""),3))&amp;"-"&amp;TEXT(B8896,"AAMMDD")&amp;"-1")</f>
        <v/>
      </c>
    </row>
    <row r="8897" spans="20:20" hidden="1">
      <c r="T8897" t="str">
        <f>IF(C8897="","",UPPER(LEFT(SUBSTITUTE(C8897," ",""),3))&amp;"-"&amp;TEXT(B8897,"AAMMDD")&amp;"-1")</f>
        <v/>
      </c>
    </row>
    <row r="8898" spans="20:20" hidden="1">
      <c r="T8898" t="str">
        <f>IF(C8898="","",UPPER(LEFT(SUBSTITUTE(C8898," ",""),3))&amp;"-"&amp;TEXT(B8898,"AAMMDD")&amp;"-1")</f>
        <v/>
      </c>
    </row>
    <row r="8899" spans="20:20" hidden="1">
      <c r="T8899" t="str">
        <f>IF(C8899="","",UPPER(LEFT(SUBSTITUTE(C8899," ",""),3))&amp;"-"&amp;TEXT(B8899,"AAMMDD")&amp;"-1")</f>
        <v/>
      </c>
    </row>
    <row r="8900" spans="20:20" hidden="1">
      <c r="T8900" t="str">
        <f>IF(C8900="","",UPPER(LEFT(SUBSTITUTE(C8900," ",""),3))&amp;"-"&amp;TEXT(B8900,"AAMMDD")&amp;"-1")</f>
        <v/>
      </c>
    </row>
    <row r="8901" spans="20:20" hidden="1">
      <c r="T8901" t="str">
        <f>IF(C8901="","",UPPER(LEFT(SUBSTITUTE(C8901," ",""),3))&amp;"-"&amp;TEXT(B8901,"AAMMDD")&amp;"-1")</f>
        <v/>
      </c>
    </row>
    <row r="8902" spans="20:20" hidden="1">
      <c r="T8902" t="str">
        <f>IF(C8902="","",UPPER(LEFT(SUBSTITUTE(C8902," ",""),3))&amp;"-"&amp;TEXT(B8902,"AAMMDD")&amp;"-1")</f>
        <v/>
      </c>
    </row>
    <row r="8903" spans="20:20" hidden="1">
      <c r="T8903" t="str">
        <f>IF(C8903="","",UPPER(LEFT(SUBSTITUTE(C8903," ",""),3))&amp;"-"&amp;TEXT(B8903,"AAMMDD")&amp;"-1")</f>
        <v/>
      </c>
    </row>
    <row r="8904" spans="20:20" hidden="1">
      <c r="T8904" t="str">
        <f>IF(C8904="","",UPPER(LEFT(SUBSTITUTE(C8904," ",""),3))&amp;"-"&amp;TEXT(B8904,"AAMMDD")&amp;"-1")</f>
        <v/>
      </c>
    </row>
    <row r="8905" spans="20:20" hidden="1">
      <c r="T8905" t="str">
        <f>IF(C8905="","",UPPER(LEFT(SUBSTITUTE(C8905," ",""),3))&amp;"-"&amp;TEXT(B8905,"AAMMDD")&amp;"-1")</f>
        <v/>
      </c>
    </row>
    <row r="8906" spans="20:20" hidden="1">
      <c r="T8906" t="str">
        <f>IF(C8906="","",UPPER(LEFT(SUBSTITUTE(C8906," ",""),3))&amp;"-"&amp;TEXT(B8906,"AAMMDD")&amp;"-1")</f>
        <v/>
      </c>
    </row>
    <row r="8907" spans="20:20" hidden="1">
      <c r="T8907" t="str">
        <f>IF(C8907="","",UPPER(LEFT(SUBSTITUTE(C8907," ",""),3))&amp;"-"&amp;TEXT(B8907,"AAMMDD")&amp;"-1")</f>
        <v/>
      </c>
    </row>
    <row r="8908" spans="20:20" hidden="1">
      <c r="T8908" t="str">
        <f>IF(C8908="","",UPPER(LEFT(SUBSTITUTE(C8908," ",""),3))&amp;"-"&amp;TEXT(B8908,"AAMMDD")&amp;"-1")</f>
        <v/>
      </c>
    </row>
    <row r="8909" spans="20:20" hidden="1">
      <c r="T8909" t="str">
        <f>IF(C8909="","",UPPER(LEFT(SUBSTITUTE(C8909," ",""),3))&amp;"-"&amp;TEXT(B8909,"AAMMDD")&amp;"-1")</f>
        <v/>
      </c>
    </row>
    <row r="8910" spans="20:20" hidden="1">
      <c r="T8910" t="str">
        <f>IF(C8910="","",UPPER(LEFT(SUBSTITUTE(C8910," ",""),3))&amp;"-"&amp;TEXT(B8910,"AAMMDD")&amp;"-1")</f>
        <v/>
      </c>
    </row>
    <row r="8911" spans="20:20" hidden="1">
      <c r="T8911" t="str">
        <f>IF(C8911="","",UPPER(LEFT(SUBSTITUTE(C8911," ",""),3))&amp;"-"&amp;TEXT(B8911,"AAMMDD")&amp;"-1")</f>
        <v/>
      </c>
    </row>
    <row r="8912" spans="20:20" hidden="1">
      <c r="T8912" t="str">
        <f>IF(C8912="","",UPPER(LEFT(SUBSTITUTE(C8912," ",""),3))&amp;"-"&amp;TEXT(B8912,"AAMMDD")&amp;"-1")</f>
        <v/>
      </c>
    </row>
    <row r="8913" spans="20:20" hidden="1">
      <c r="T8913" t="str">
        <f>IF(C8913="","",UPPER(LEFT(SUBSTITUTE(C8913," ",""),3))&amp;"-"&amp;TEXT(B8913,"AAMMDD")&amp;"-1")</f>
        <v/>
      </c>
    </row>
    <row r="8914" spans="20:20" hidden="1">
      <c r="T8914" t="str">
        <f>IF(C8914="","",UPPER(LEFT(SUBSTITUTE(C8914," ",""),3))&amp;"-"&amp;TEXT(B8914,"AAMMDD")&amp;"-1")</f>
        <v/>
      </c>
    </row>
    <row r="8915" spans="20:20" hidden="1">
      <c r="T8915" t="str">
        <f>IF(C8915="","",UPPER(LEFT(SUBSTITUTE(C8915," ",""),3))&amp;"-"&amp;TEXT(B8915,"AAMMDD")&amp;"-1")</f>
        <v/>
      </c>
    </row>
    <row r="8916" spans="20:20" hidden="1">
      <c r="T8916" t="str">
        <f>IF(C8916="","",UPPER(LEFT(SUBSTITUTE(C8916," ",""),3))&amp;"-"&amp;TEXT(B8916,"AAMMDD")&amp;"-1")</f>
        <v/>
      </c>
    </row>
    <row r="8917" spans="20:20" hidden="1">
      <c r="T8917" t="str">
        <f>IF(C8917="","",UPPER(LEFT(SUBSTITUTE(C8917," ",""),3))&amp;"-"&amp;TEXT(B8917,"AAMMDD")&amp;"-1")</f>
        <v/>
      </c>
    </row>
    <row r="8918" spans="20:20" hidden="1">
      <c r="T8918" t="str">
        <f>IF(C8918="","",UPPER(LEFT(SUBSTITUTE(C8918," ",""),3))&amp;"-"&amp;TEXT(B8918,"AAMMDD")&amp;"-1")</f>
        <v/>
      </c>
    </row>
    <row r="8919" spans="20:20" hidden="1">
      <c r="T8919" t="str">
        <f>IF(C8919="","",UPPER(LEFT(SUBSTITUTE(C8919," ",""),3))&amp;"-"&amp;TEXT(B8919,"AAMMDD")&amp;"-1")</f>
        <v/>
      </c>
    </row>
    <row r="8920" spans="20:20" hidden="1">
      <c r="T8920" t="str">
        <f>IF(C8920="","",UPPER(LEFT(SUBSTITUTE(C8920," ",""),3))&amp;"-"&amp;TEXT(B8920,"AAMMDD")&amp;"-1")</f>
        <v/>
      </c>
    </row>
    <row r="8921" spans="20:20" hidden="1">
      <c r="T8921" t="str">
        <f>IF(C8921="","",UPPER(LEFT(SUBSTITUTE(C8921," ",""),3))&amp;"-"&amp;TEXT(B8921,"AAMMDD")&amp;"-1")</f>
        <v/>
      </c>
    </row>
    <row r="8922" spans="20:20" hidden="1">
      <c r="T8922" t="str">
        <f>IF(C8922="","",UPPER(LEFT(SUBSTITUTE(C8922," ",""),3))&amp;"-"&amp;TEXT(B8922,"AAMMDD")&amp;"-1")</f>
        <v/>
      </c>
    </row>
    <row r="8923" spans="20:20" hidden="1">
      <c r="T8923" t="str">
        <f>IF(C8923="","",UPPER(LEFT(SUBSTITUTE(C8923," ",""),3))&amp;"-"&amp;TEXT(B8923,"AAMMDD")&amp;"-1")</f>
        <v/>
      </c>
    </row>
    <row r="8924" spans="20:20" hidden="1">
      <c r="T8924" t="str">
        <f>IF(C8924="","",UPPER(LEFT(SUBSTITUTE(C8924," ",""),3))&amp;"-"&amp;TEXT(B8924,"AAMMDD")&amp;"-1")</f>
        <v/>
      </c>
    </row>
    <row r="8925" spans="20:20" hidden="1">
      <c r="T8925" t="str">
        <f>IF(C8925="","",UPPER(LEFT(SUBSTITUTE(C8925," ",""),3))&amp;"-"&amp;TEXT(B8925,"AAMMDD")&amp;"-1")</f>
        <v/>
      </c>
    </row>
    <row r="8926" spans="20:20" hidden="1">
      <c r="T8926" t="str">
        <f>IF(C8926="","",UPPER(LEFT(SUBSTITUTE(C8926," ",""),3))&amp;"-"&amp;TEXT(B8926,"AAMMDD")&amp;"-1")</f>
        <v/>
      </c>
    </row>
    <row r="8927" spans="20:20" hidden="1">
      <c r="T8927" t="str">
        <f>IF(C8927="","",UPPER(LEFT(SUBSTITUTE(C8927," ",""),3))&amp;"-"&amp;TEXT(B8927,"AAMMDD")&amp;"-1")</f>
        <v/>
      </c>
    </row>
    <row r="8928" spans="20:20" hidden="1">
      <c r="T8928" t="str">
        <f>IF(C8928="","",UPPER(LEFT(SUBSTITUTE(C8928," ",""),3))&amp;"-"&amp;TEXT(B8928,"AAMMDD")&amp;"-1")</f>
        <v/>
      </c>
    </row>
    <row r="8929" spans="20:20" hidden="1">
      <c r="T8929" t="str">
        <f>IF(C8929="","",UPPER(LEFT(SUBSTITUTE(C8929," ",""),3))&amp;"-"&amp;TEXT(B8929,"AAMMDD")&amp;"-1")</f>
        <v/>
      </c>
    </row>
    <row r="8930" spans="20:20" hidden="1">
      <c r="T8930" t="str">
        <f>IF(C8930="","",UPPER(LEFT(SUBSTITUTE(C8930," ",""),3))&amp;"-"&amp;TEXT(B8930,"AAMMDD")&amp;"-1")</f>
        <v/>
      </c>
    </row>
    <row r="8931" spans="20:20" hidden="1">
      <c r="T8931" t="str">
        <f>IF(C8931="","",UPPER(LEFT(SUBSTITUTE(C8931," ",""),3))&amp;"-"&amp;TEXT(B8931,"AAMMDD")&amp;"-1")</f>
        <v/>
      </c>
    </row>
    <row r="8932" spans="20:20" hidden="1">
      <c r="T8932" t="str">
        <f>IF(C8932="","",UPPER(LEFT(SUBSTITUTE(C8932," ",""),3))&amp;"-"&amp;TEXT(B8932,"AAMMDD")&amp;"-1")</f>
        <v/>
      </c>
    </row>
    <row r="8933" spans="20:20" hidden="1">
      <c r="T8933" t="str">
        <f>IF(C8933="","",UPPER(LEFT(SUBSTITUTE(C8933," ",""),3))&amp;"-"&amp;TEXT(B8933,"AAMMDD")&amp;"-1")</f>
        <v/>
      </c>
    </row>
    <row r="8934" spans="20:20" hidden="1">
      <c r="T8934" t="str">
        <f>IF(C8934="","",UPPER(LEFT(SUBSTITUTE(C8934," ",""),3))&amp;"-"&amp;TEXT(B8934,"AAMMDD")&amp;"-1")</f>
        <v/>
      </c>
    </row>
    <row r="8935" spans="20:20" hidden="1">
      <c r="T8935" t="str">
        <f>IF(C8935="","",UPPER(LEFT(SUBSTITUTE(C8935," ",""),3))&amp;"-"&amp;TEXT(B8935,"AAMMDD")&amp;"-1")</f>
        <v/>
      </c>
    </row>
    <row r="8936" spans="20:20" hidden="1">
      <c r="T8936" t="str">
        <f>IF(C8936="","",UPPER(LEFT(SUBSTITUTE(C8936," ",""),3))&amp;"-"&amp;TEXT(B8936,"AAMMDD")&amp;"-1")</f>
        <v/>
      </c>
    </row>
    <row r="8937" spans="20:20" hidden="1">
      <c r="T8937" t="str">
        <f>IF(C8937="","",UPPER(LEFT(SUBSTITUTE(C8937," ",""),3))&amp;"-"&amp;TEXT(B8937,"AAMMDD")&amp;"-1")</f>
        <v/>
      </c>
    </row>
    <row r="8938" spans="20:20" hidden="1">
      <c r="T8938" t="str">
        <f>IF(C8938="","",UPPER(LEFT(SUBSTITUTE(C8938," ",""),3))&amp;"-"&amp;TEXT(B8938,"AAMMDD")&amp;"-1")</f>
        <v/>
      </c>
    </row>
    <row r="8939" spans="20:20" hidden="1">
      <c r="T8939" t="str">
        <f>IF(C8939="","",UPPER(LEFT(SUBSTITUTE(C8939," ",""),3))&amp;"-"&amp;TEXT(B8939,"AAMMDD")&amp;"-1")</f>
        <v/>
      </c>
    </row>
    <row r="8940" spans="20:20" hidden="1">
      <c r="T8940" t="str">
        <f>IF(C8940="","",UPPER(LEFT(SUBSTITUTE(C8940," ",""),3))&amp;"-"&amp;TEXT(B8940,"AAMMDD")&amp;"-1")</f>
        <v/>
      </c>
    </row>
    <row r="8941" spans="20:20" hidden="1">
      <c r="T8941" t="str">
        <f>IF(C8941="","",UPPER(LEFT(SUBSTITUTE(C8941," ",""),3))&amp;"-"&amp;TEXT(B8941,"AAMMDD")&amp;"-1")</f>
        <v/>
      </c>
    </row>
    <row r="8942" spans="20:20" hidden="1">
      <c r="T8942" t="str">
        <f>IF(C8942="","",UPPER(LEFT(SUBSTITUTE(C8942," ",""),3))&amp;"-"&amp;TEXT(B8942,"AAMMDD")&amp;"-1")</f>
        <v/>
      </c>
    </row>
    <row r="8943" spans="20:20" hidden="1">
      <c r="T8943" t="str">
        <f>IF(C8943="","",UPPER(LEFT(SUBSTITUTE(C8943," ",""),3))&amp;"-"&amp;TEXT(B8943,"AAMMDD")&amp;"-1")</f>
        <v/>
      </c>
    </row>
    <row r="8944" spans="20:20" hidden="1">
      <c r="T8944" t="str">
        <f>IF(C8944="","",UPPER(LEFT(SUBSTITUTE(C8944," ",""),3))&amp;"-"&amp;TEXT(B8944,"AAMMDD")&amp;"-1")</f>
        <v/>
      </c>
    </row>
    <row r="8945" spans="20:20" hidden="1">
      <c r="T8945" t="str">
        <f>IF(C8945="","",UPPER(LEFT(SUBSTITUTE(C8945," ",""),3))&amp;"-"&amp;TEXT(B8945,"AAMMDD")&amp;"-1")</f>
        <v/>
      </c>
    </row>
    <row r="8946" spans="20:20" hidden="1">
      <c r="T8946" t="str">
        <f>IF(C8946="","",UPPER(LEFT(SUBSTITUTE(C8946," ",""),3))&amp;"-"&amp;TEXT(B8946,"AAMMDD")&amp;"-1")</f>
        <v/>
      </c>
    </row>
    <row r="8947" spans="20:20" hidden="1">
      <c r="T8947" t="str">
        <f>IF(C8947="","",UPPER(LEFT(SUBSTITUTE(C8947," ",""),3))&amp;"-"&amp;TEXT(B8947,"AAMMDD")&amp;"-1")</f>
        <v/>
      </c>
    </row>
    <row r="8948" spans="20:20" hidden="1">
      <c r="T8948" t="str">
        <f>IF(C8948="","",UPPER(LEFT(SUBSTITUTE(C8948," ",""),3))&amp;"-"&amp;TEXT(B8948,"AAMMDD")&amp;"-1")</f>
        <v/>
      </c>
    </row>
    <row r="8949" spans="20:20" hidden="1">
      <c r="T8949" t="str">
        <f>IF(C8949="","",UPPER(LEFT(SUBSTITUTE(C8949," ",""),3))&amp;"-"&amp;TEXT(B8949,"AAMMDD")&amp;"-1")</f>
        <v/>
      </c>
    </row>
    <row r="8950" spans="20:20" hidden="1">
      <c r="T8950" t="str">
        <f>IF(C8950="","",UPPER(LEFT(SUBSTITUTE(C8950," ",""),3))&amp;"-"&amp;TEXT(B8950,"AAMMDD")&amp;"-1")</f>
        <v/>
      </c>
    </row>
    <row r="8951" spans="20:20" hidden="1">
      <c r="T8951" t="str">
        <f>IF(C8951="","",UPPER(LEFT(SUBSTITUTE(C8951," ",""),3))&amp;"-"&amp;TEXT(B8951,"AAMMDD")&amp;"-1")</f>
        <v/>
      </c>
    </row>
    <row r="8952" spans="20:20" hidden="1">
      <c r="T8952" t="str">
        <f>IF(C8952="","",UPPER(LEFT(SUBSTITUTE(C8952," ",""),3))&amp;"-"&amp;TEXT(B8952,"AAMMDD")&amp;"-1")</f>
        <v/>
      </c>
    </row>
    <row r="8953" spans="20:20" hidden="1">
      <c r="T8953" t="str">
        <f>IF(C8953="","",UPPER(LEFT(SUBSTITUTE(C8953," ",""),3))&amp;"-"&amp;TEXT(B8953,"AAMMDD")&amp;"-1")</f>
        <v/>
      </c>
    </row>
    <row r="8954" spans="20:20" hidden="1">
      <c r="T8954" t="str">
        <f>IF(C8954="","",UPPER(LEFT(SUBSTITUTE(C8954," ",""),3))&amp;"-"&amp;TEXT(B8954,"AAMMDD")&amp;"-1")</f>
        <v/>
      </c>
    </row>
    <row r="8955" spans="20:20" hidden="1">
      <c r="T8955" t="str">
        <f>IF(C8955="","",UPPER(LEFT(SUBSTITUTE(C8955," ",""),3))&amp;"-"&amp;TEXT(B8955,"AAMMDD")&amp;"-1")</f>
        <v/>
      </c>
    </row>
    <row r="8956" spans="20:20" hidden="1">
      <c r="T8956" t="str">
        <f>IF(C8956="","",UPPER(LEFT(SUBSTITUTE(C8956," ",""),3))&amp;"-"&amp;TEXT(B8956,"AAMMDD")&amp;"-1")</f>
        <v/>
      </c>
    </row>
    <row r="8957" spans="20:20" hidden="1">
      <c r="T8957" t="str">
        <f>IF(C8957="","",UPPER(LEFT(SUBSTITUTE(C8957," ",""),3))&amp;"-"&amp;TEXT(B8957,"AAMMDD")&amp;"-1")</f>
        <v/>
      </c>
    </row>
    <row r="8958" spans="20:20" hidden="1">
      <c r="T8958" t="str">
        <f>IF(C8958="","",UPPER(LEFT(SUBSTITUTE(C8958," ",""),3))&amp;"-"&amp;TEXT(B8958,"AAMMDD")&amp;"-1")</f>
        <v/>
      </c>
    </row>
    <row r="8959" spans="20:20" hidden="1">
      <c r="T8959" t="str">
        <f>IF(C8959="","",UPPER(LEFT(SUBSTITUTE(C8959," ",""),3))&amp;"-"&amp;TEXT(B8959,"AAMMDD")&amp;"-1")</f>
        <v/>
      </c>
    </row>
    <row r="8960" spans="20:20" hidden="1">
      <c r="T8960" t="str">
        <f>IF(C8960="","",UPPER(LEFT(SUBSTITUTE(C8960," ",""),3))&amp;"-"&amp;TEXT(B8960,"AAMMDD")&amp;"-1")</f>
        <v/>
      </c>
    </row>
    <row r="8961" spans="20:20" hidden="1">
      <c r="T8961" t="str">
        <f>IF(C8961="","",UPPER(LEFT(SUBSTITUTE(C8961," ",""),3))&amp;"-"&amp;TEXT(B8961,"AAMMDD")&amp;"-1")</f>
        <v/>
      </c>
    </row>
    <row r="8962" spans="20:20" hidden="1">
      <c r="T8962" t="str">
        <f>IF(C8962="","",UPPER(LEFT(SUBSTITUTE(C8962," ",""),3))&amp;"-"&amp;TEXT(B8962,"AAMMDD")&amp;"-1")</f>
        <v/>
      </c>
    </row>
    <row r="8963" spans="20:20" hidden="1">
      <c r="T8963" t="str">
        <f>IF(C8963="","",UPPER(LEFT(SUBSTITUTE(C8963," ",""),3))&amp;"-"&amp;TEXT(B8963,"AAMMDD")&amp;"-1")</f>
        <v/>
      </c>
    </row>
    <row r="8964" spans="20:20" hidden="1">
      <c r="T8964" t="str">
        <f>IF(C8964="","",UPPER(LEFT(SUBSTITUTE(C8964," ",""),3))&amp;"-"&amp;TEXT(B8964,"AAMMDD")&amp;"-1")</f>
        <v/>
      </c>
    </row>
    <row r="8965" spans="20:20" hidden="1">
      <c r="T8965" t="str">
        <f>IF(C8965="","",UPPER(LEFT(SUBSTITUTE(C8965," ",""),3))&amp;"-"&amp;TEXT(B8965,"AAMMDD")&amp;"-1")</f>
        <v/>
      </c>
    </row>
    <row r="8966" spans="20:20" hidden="1">
      <c r="T8966" t="str">
        <f>IF(C8966="","",UPPER(LEFT(SUBSTITUTE(C8966," ",""),3))&amp;"-"&amp;TEXT(B8966,"AAMMDD")&amp;"-1")</f>
        <v/>
      </c>
    </row>
    <row r="8967" spans="20:20" hidden="1">
      <c r="T8967" t="str">
        <f>IF(C8967="","",UPPER(LEFT(SUBSTITUTE(C8967," ",""),3))&amp;"-"&amp;TEXT(B8967,"AAMMDD")&amp;"-1")</f>
        <v/>
      </c>
    </row>
    <row r="8968" spans="20:20" hidden="1">
      <c r="T8968" t="str">
        <f>IF(C8968="","",UPPER(LEFT(SUBSTITUTE(C8968," ",""),3))&amp;"-"&amp;TEXT(B8968,"AAMMDD")&amp;"-1")</f>
        <v/>
      </c>
    </row>
    <row r="8969" spans="20:20" hidden="1">
      <c r="T8969" t="str">
        <f>IF(C8969="","",UPPER(LEFT(SUBSTITUTE(C8969," ",""),3))&amp;"-"&amp;TEXT(B8969,"AAMMDD")&amp;"-1")</f>
        <v/>
      </c>
    </row>
    <row r="8970" spans="20:20" hidden="1">
      <c r="T8970" t="str">
        <f>IF(C8970="","",UPPER(LEFT(SUBSTITUTE(C8970," ",""),3))&amp;"-"&amp;TEXT(B8970,"AAMMDD")&amp;"-1")</f>
        <v/>
      </c>
    </row>
    <row r="8971" spans="20:20" hidden="1">
      <c r="T8971" t="str">
        <f>IF(C8971="","",UPPER(LEFT(SUBSTITUTE(C8971," ",""),3))&amp;"-"&amp;TEXT(B8971,"AAMMDD")&amp;"-1")</f>
        <v/>
      </c>
    </row>
    <row r="8972" spans="20:20" hidden="1">
      <c r="T8972" t="str">
        <f>IF(C8972="","",UPPER(LEFT(SUBSTITUTE(C8972," ",""),3))&amp;"-"&amp;TEXT(B8972,"AAMMDD")&amp;"-1")</f>
        <v/>
      </c>
    </row>
    <row r="8973" spans="20:20" hidden="1">
      <c r="T8973" t="str">
        <f>IF(C8973="","",UPPER(LEFT(SUBSTITUTE(C8973," ",""),3))&amp;"-"&amp;TEXT(B8973,"AAMMDD")&amp;"-1")</f>
        <v/>
      </c>
    </row>
    <row r="8974" spans="20:20" hidden="1">
      <c r="T8974" t="str">
        <f>IF(C8974="","",UPPER(LEFT(SUBSTITUTE(C8974," ",""),3))&amp;"-"&amp;TEXT(B8974,"AAMMDD")&amp;"-1")</f>
        <v/>
      </c>
    </row>
    <row r="8975" spans="20:20" hidden="1">
      <c r="T8975" t="str">
        <f>IF(C8975="","",UPPER(LEFT(SUBSTITUTE(C8975," ",""),3))&amp;"-"&amp;TEXT(B8975,"AAMMDD")&amp;"-1")</f>
        <v/>
      </c>
    </row>
    <row r="8976" spans="20:20" hidden="1">
      <c r="T8976" t="str">
        <f>IF(C8976="","",UPPER(LEFT(SUBSTITUTE(C8976," ",""),3))&amp;"-"&amp;TEXT(B8976,"AAMMDD")&amp;"-1")</f>
        <v/>
      </c>
    </row>
    <row r="8977" spans="20:20" hidden="1">
      <c r="T8977" t="str">
        <f>IF(C8977="","",UPPER(LEFT(SUBSTITUTE(C8977," ",""),3))&amp;"-"&amp;TEXT(B8977,"AAMMDD")&amp;"-1")</f>
        <v/>
      </c>
    </row>
    <row r="8978" spans="20:20" hidden="1">
      <c r="T8978" t="str">
        <f>IF(C8978="","",UPPER(LEFT(SUBSTITUTE(C8978," ",""),3))&amp;"-"&amp;TEXT(B8978,"AAMMDD")&amp;"-1")</f>
        <v/>
      </c>
    </row>
    <row r="8979" spans="20:20" hidden="1">
      <c r="T8979" t="str">
        <f>IF(C8979="","",UPPER(LEFT(SUBSTITUTE(C8979," ",""),3))&amp;"-"&amp;TEXT(B8979,"AAMMDD")&amp;"-1")</f>
        <v/>
      </c>
    </row>
    <row r="8980" spans="20:20" hidden="1">
      <c r="T8980" t="str">
        <f>IF(C8980="","",UPPER(LEFT(SUBSTITUTE(C8980," ",""),3))&amp;"-"&amp;TEXT(B8980,"AAMMDD")&amp;"-1")</f>
        <v/>
      </c>
    </row>
    <row r="8981" spans="20:20" hidden="1">
      <c r="T8981" t="str">
        <f>IF(C8981="","",UPPER(LEFT(SUBSTITUTE(C8981," ",""),3))&amp;"-"&amp;TEXT(B8981,"AAMMDD")&amp;"-1")</f>
        <v/>
      </c>
    </row>
    <row r="8982" spans="20:20" hidden="1">
      <c r="T8982" t="str">
        <f>IF(C8982="","",UPPER(LEFT(SUBSTITUTE(C8982," ",""),3))&amp;"-"&amp;TEXT(B8982,"AAMMDD")&amp;"-1")</f>
        <v/>
      </c>
    </row>
    <row r="8983" spans="20:20" hidden="1">
      <c r="T8983" t="str">
        <f>IF(C8983="","",UPPER(LEFT(SUBSTITUTE(C8983," ",""),3))&amp;"-"&amp;TEXT(B8983,"AAMMDD")&amp;"-1")</f>
        <v/>
      </c>
    </row>
    <row r="8984" spans="20:20" hidden="1">
      <c r="T8984" t="str">
        <f>IF(C8984="","",UPPER(LEFT(SUBSTITUTE(C8984," ",""),3))&amp;"-"&amp;TEXT(B8984,"AAMMDD")&amp;"-1")</f>
        <v/>
      </c>
    </row>
    <row r="8985" spans="20:20" hidden="1">
      <c r="T8985" t="str">
        <f>IF(C8985="","",UPPER(LEFT(SUBSTITUTE(C8985," ",""),3))&amp;"-"&amp;TEXT(B8985,"AAMMDD")&amp;"-1")</f>
        <v/>
      </c>
    </row>
    <row r="8986" spans="20:20" hidden="1">
      <c r="T8986" t="str">
        <f>IF(C8986="","",UPPER(LEFT(SUBSTITUTE(C8986," ",""),3))&amp;"-"&amp;TEXT(B8986,"AAMMDD")&amp;"-1")</f>
        <v/>
      </c>
    </row>
    <row r="8987" spans="20:20" hidden="1">
      <c r="T8987" t="str">
        <f>IF(C8987="","",UPPER(LEFT(SUBSTITUTE(C8987," ",""),3))&amp;"-"&amp;TEXT(B8987,"AAMMDD")&amp;"-1")</f>
        <v/>
      </c>
    </row>
    <row r="8988" spans="20:20" hidden="1">
      <c r="T8988" t="str">
        <f>IF(C8988="","",UPPER(LEFT(SUBSTITUTE(C8988," ",""),3))&amp;"-"&amp;TEXT(B8988,"AAMMDD")&amp;"-1")</f>
        <v/>
      </c>
    </row>
    <row r="8989" spans="20:20" hidden="1">
      <c r="T8989" t="str">
        <f>IF(C8989="","",UPPER(LEFT(SUBSTITUTE(C8989," ",""),3))&amp;"-"&amp;TEXT(B8989,"AAMMDD")&amp;"-1")</f>
        <v/>
      </c>
    </row>
    <row r="8990" spans="20:20" hidden="1">
      <c r="T8990" t="str">
        <f>IF(C8990="","",UPPER(LEFT(SUBSTITUTE(C8990," ",""),3))&amp;"-"&amp;TEXT(B8990,"AAMMDD")&amp;"-1")</f>
        <v/>
      </c>
    </row>
    <row r="8991" spans="20:20" hidden="1">
      <c r="T8991" t="str">
        <f>IF(C8991="","",UPPER(LEFT(SUBSTITUTE(C8991," ",""),3))&amp;"-"&amp;TEXT(B8991,"AAMMDD")&amp;"-1")</f>
        <v/>
      </c>
    </row>
    <row r="8992" spans="20:20" hidden="1">
      <c r="T8992" t="str">
        <f>IF(C8992="","",UPPER(LEFT(SUBSTITUTE(C8992," ",""),3))&amp;"-"&amp;TEXT(B8992,"AAMMDD")&amp;"-1")</f>
        <v/>
      </c>
    </row>
    <row r="8993" spans="20:20" hidden="1">
      <c r="T8993" t="str">
        <f>IF(C8993="","",UPPER(LEFT(SUBSTITUTE(C8993," ",""),3))&amp;"-"&amp;TEXT(B8993,"AAMMDD")&amp;"-1")</f>
        <v/>
      </c>
    </row>
    <row r="8994" spans="20:20" hidden="1">
      <c r="T8994" t="str">
        <f>IF(C8994="","",UPPER(LEFT(SUBSTITUTE(C8994," ",""),3))&amp;"-"&amp;TEXT(B8994,"AAMMDD")&amp;"-1")</f>
        <v/>
      </c>
    </row>
    <row r="8995" spans="20:20" hidden="1">
      <c r="T8995" t="str">
        <f>IF(C8995="","",UPPER(LEFT(SUBSTITUTE(C8995," ",""),3))&amp;"-"&amp;TEXT(B8995,"AAMMDD")&amp;"-1")</f>
        <v/>
      </c>
    </row>
    <row r="8996" spans="20:20" hidden="1">
      <c r="T8996" t="str">
        <f>IF(C8996="","",UPPER(LEFT(SUBSTITUTE(C8996," ",""),3))&amp;"-"&amp;TEXT(B8996,"AAMMDD")&amp;"-1")</f>
        <v/>
      </c>
    </row>
    <row r="8997" spans="20:20" hidden="1">
      <c r="T8997" t="str">
        <f>IF(C8997="","",UPPER(LEFT(SUBSTITUTE(C8997," ",""),3))&amp;"-"&amp;TEXT(B8997,"AAMMDD")&amp;"-1")</f>
        <v/>
      </c>
    </row>
    <row r="8998" spans="20:20" hidden="1">
      <c r="T8998" t="str">
        <f>IF(C8998="","",UPPER(LEFT(SUBSTITUTE(C8998," ",""),3))&amp;"-"&amp;TEXT(B8998,"AAMMDD")&amp;"-1")</f>
        <v/>
      </c>
    </row>
    <row r="8999" spans="20:20" hidden="1">
      <c r="T8999" t="str">
        <f>IF(C8999="","",UPPER(LEFT(SUBSTITUTE(C8999," ",""),3))&amp;"-"&amp;TEXT(B8999,"AAMMDD")&amp;"-1")</f>
        <v/>
      </c>
    </row>
    <row r="9000" spans="20:20" hidden="1">
      <c r="T9000" t="str">
        <f>IF(C9000="","",UPPER(LEFT(SUBSTITUTE(C9000," ",""),3))&amp;"-"&amp;TEXT(B9000,"AAMMDD")&amp;"-1")</f>
        <v/>
      </c>
    </row>
    <row r="9001" spans="20:20" hidden="1">
      <c r="T9001" t="str">
        <f>IF(C9001="","",UPPER(LEFT(SUBSTITUTE(C9001," ",""),3))&amp;"-"&amp;TEXT(B9001,"AAMMDD")&amp;"-1")</f>
        <v/>
      </c>
    </row>
    <row r="9002" spans="20:20" hidden="1">
      <c r="T9002" t="str">
        <f>IF(C9002="","",UPPER(LEFT(SUBSTITUTE(C9002," ",""),3))&amp;"-"&amp;TEXT(B9002,"AAMMDD")&amp;"-1")</f>
        <v/>
      </c>
    </row>
    <row r="9003" spans="20:20" hidden="1">
      <c r="T9003" t="str">
        <f>IF(C9003="","",UPPER(LEFT(SUBSTITUTE(C9003," ",""),3))&amp;"-"&amp;TEXT(B9003,"AAMMDD")&amp;"-1")</f>
        <v/>
      </c>
    </row>
    <row r="9004" spans="20:20" hidden="1">
      <c r="T9004" t="str">
        <f>IF(C9004="","",UPPER(LEFT(SUBSTITUTE(C9004," ",""),3))&amp;"-"&amp;TEXT(B9004,"AAMMDD")&amp;"-1")</f>
        <v/>
      </c>
    </row>
    <row r="9005" spans="20:20" hidden="1">
      <c r="T9005" t="str">
        <f>IF(C9005="","",UPPER(LEFT(SUBSTITUTE(C9005," ",""),3))&amp;"-"&amp;TEXT(B9005,"AAMMDD")&amp;"-1")</f>
        <v/>
      </c>
    </row>
    <row r="9006" spans="20:20" hidden="1">
      <c r="T9006" t="str">
        <f>IF(C9006="","",UPPER(LEFT(SUBSTITUTE(C9006," ",""),3))&amp;"-"&amp;TEXT(B9006,"AAMMDD")&amp;"-1")</f>
        <v/>
      </c>
    </row>
    <row r="9007" spans="20:20" hidden="1">
      <c r="T9007" t="str">
        <f>IF(C9007="","",UPPER(LEFT(SUBSTITUTE(C9007," ",""),3))&amp;"-"&amp;TEXT(B9007,"AAMMDD")&amp;"-1")</f>
        <v/>
      </c>
    </row>
    <row r="9008" spans="20:20" hidden="1">
      <c r="T9008" t="str">
        <f>IF(C9008="","",UPPER(LEFT(SUBSTITUTE(C9008," ",""),3))&amp;"-"&amp;TEXT(B9008,"AAMMDD")&amp;"-1")</f>
        <v/>
      </c>
    </row>
    <row r="9009" spans="20:20" hidden="1">
      <c r="T9009" t="str">
        <f>IF(C9009="","",UPPER(LEFT(SUBSTITUTE(C9009," ",""),3))&amp;"-"&amp;TEXT(B9009,"AAMMDD")&amp;"-1")</f>
        <v/>
      </c>
    </row>
    <row r="9010" spans="20:20" hidden="1">
      <c r="T9010" t="str">
        <f>IF(C9010="","",UPPER(LEFT(SUBSTITUTE(C9010," ",""),3))&amp;"-"&amp;TEXT(B9010,"AAMMDD")&amp;"-1")</f>
        <v/>
      </c>
    </row>
    <row r="9011" spans="20:20" hidden="1">
      <c r="T9011" t="str">
        <f>IF(C9011="","",UPPER(LEFT(SUBSTITUTE(C9011," ",""),3))&amp;"-"&amp;TEXT(B9011,"AAMMDD")&amp;"-1")</f>
        <v/>
      </c>
    </row>
    <row r="9012" spans="20:20" hidden="1">
      <c r="T9012" t="str">
        <f>IF(C9012="","",UPPER(LEFT(SUBSTITUTE(C9012," ",""),3))&amp;"-"&amp;TEXT(B9012,"AAMMDD")&amp;"-1")</f>
        <v/>
      </c>
    </row>
    <row r="9013" spans="20:20" hidden="1">
      <c r="T9013" t="str">
        <f>IF(C9013="","",UPPER(LEFT(SUBSTITUTE(C9013," ",""),3))&amp;"-"&amp;TEXT(B9013,"AAMMDD")&amp;"-1")</f>
        <v/>
      </c>
    </row>
    <row r="9014" spans="20:20" hidden="1">
      <c r="T9014" t="str">
        <f>IF(C9014="","",UPPER(LEFT(SUBSTITUTE(C9014," ",""),3))&amp;"-"&amp;TEXT(B9014,"AAMMDD")&amp;"-1")</f>
        <v/>
      </c>
    </row>
    <row r="9015" spans="20:20" hidden="1">
      <c r="T9015" t="str">
        <f>IF(C9015="","",UPPER(LEFT(SUBSTITUTE(C9015," ",""),3))&amp;"-"&amp;TEXT(B9015,"AAMMDD")&amp;"-1")</f>
        <v/>
      </c>
    </row>
    <row r="9016" spans="20:20" hidden="1">
      <c r="T9016" t="str">
        <f>IF(C9016="","",UPPER(LEFT(SUBSTITUTE(C9016," ",""),3))&amp;"-"&amp;TEXT(B9016,"AAMMDD")&amp;"-1")</f>
        <v/>
      </c>
    </row>
    <row r="9017" spans="20:20" hidden="1">
      <c r="T9017" t="str">
        <f>IF(C9017="","",UPPER(LEFT(SUBSTITUTE(C9017," ",""),3))&amp;"-"&amp;TEXT(B9017,"AAMMDD")&amp;"-1")</f>
        <v/>
      </c>
    </row>
    <row r="9018" spans="20:20" hidden="1">
      <c r="T9018" t="str">
        <f>IF(C9018="","",UPPER(LEFT(SUBSTITUTE(C9018," ",""),3))&amp;"-"&amp;TEXT(B9018,"AAMMDD")&amp;"-1")</f>
        <v/>
      </c>
    </row>
    <row r="9019" spans="20:20" hidden="1">
      <c r="T9019" t="str">
        <f>IF(C9019="","",UPPER(LEFT(SUBSTITUTE(C9019," ",""),3))&amp;"-"&amp;TEXT(B9019,"AAMMDD")&amp;"-1")</f>
        <v/>
      </c>
    </row>
    <row r="9020" spans="20:20" hidden="1">
      <c r="T9020" t="str">
        <f>IF(C9020="","",UPPER(LEFT(SUBSTITUTE(C9020," ",""),3))&amp;"-"&amp;TEXT(B9020,"AAMMDD")&amp;"-1")</f>
        <v/>
      </c>
    </row>
    <row r="9021" spans="20:20" hidden="1">
      <c r="T9021" t="str">
        <f>IF(C9021="","",UPPER(LEFT(SUBSTITUTE(C9021," ",""),3))&amp;"-"&amp;TEXT(B9021,"AAMMDD")&amp;"-1")</f>
        <v/>
      </c>
    </row>
    <row r="9022" spans="20:20" hidden="1">
      <c r="T9022" t="str">
        <f>IF(C9022="","",UPPER(LEFT(SUBSTITUTE(C9022," ",""),3))&amp;"-"&amp;TEXT(B9022,"AAMMDD")&amp;"-1")</f>
        <v/>
      </c>
    </row>
    <row r="9023" spans="20:20" hidden="1">
      <c r="T9023" t="str">
        <f>IF(C9023="","",UPPER(LEFT(SUBSTITUTE(C9023," ",""),3))&amp;"-"&amp;TEXT(B9023,"AAMMDD")&amp;"-1")</f>
        <v/>
      </c>
    </row>
    <row r="9024" spans="20:20" hidden="1">
      <c r="T9024" t="str">
        <f>IF(C9024="","",UPPER(LEFT(SUBSTITUTE(C9024," ",""),3))&amp;"-"&amp;TEXT(B9024,"AAMMDD")&amp;"-1")</f>
        <v/>
      </c>
    </row>
    <row r="9025" spans="20:20" hidden="1">
      <c r="T9025" t="str">
        <f>IF(C9025="","",UPPER(LEFT(SUBSTITUTE(C9025," ",""),3))&amp;"-"&amp;TEXT(B9025,"AAMMDD")&amp;"-1")</f>
        <v/>
      </c>
    </row>
    <row r="9026" spans="20:20" hidden="1">
      <c r="T9026" t="str">
        <f>IF(C9026="","",UPPER(LEFT(SUBSTITUTE(C9026," ",""),3))&amp;"-"&amp;TEXT(B9026,"AAMMDD")&amp;"-1")</f>
        <v/>
      </c>
    </row>
    <row r="9027" spans="20:20" hidden="1">
      <c r="T9027" t="str">
        <f>IF(C9027="","",UPPER(LEFT(SUBSTITUTE(C9027," ",""),3))&amp;"-"&amp;TEXT(B9027,"AAMMDD")&amp;"-1")</f>
        <v/>
      </c>
    </row>
    <row r="9028" spans="20:20" hidden="1">
      <c r="T9028" t="str">
        <f>IF(C9028="","",UPPER(LEFT(SUBSTITUTE(C9028," ",""),3))&amp;"-"&amp;TEXT(B9028,"AAMMDD")&amp;"-1")</f>
        <v/>
      </c>
    </row>
    <row r="9029" spans="20:20" hidden="1">
      <c r="T9029" t="str">
        <f>IF(C9029="","",UPPER(LEFT(SUBSTITUTE(C9029," ",""),3))&amp;"-"&amp;TEXT(B9029,"AAMMDD")&amp;"-1")</f>
        <v/>
      </c>
    </row>
    <row r="9030" spans="20:20" hidden="1">
      <c r="T9030" t="str">
        <f>IF(C9030="","",UPPER(LEFT(SUBSTITUTE(C9030," ",""),3))&amp;"-"&amp;TEXT(B9030,"AAMMDD")&amp;"-1")</f>
        <v/>
      </c>
    </row>
    <row r="9031" spans="20:20" hidden="1">
      <c r="T9031" t="str">
        <f>IF(C9031="","",UPPER(LEFT(SUBSTITUTE(C9031," ",""),3))&amp;"-"&amp;TEXT(B9031,"AAMMDD")&amp;"-1")</f>
        <v/>
      </c>
    </row>
    <row r="9032" spans="20:20" hidden="1">
      <c r="T9032" t="str">
        <f>IF(C9032="","",UPPER(LEFT(SUBSTITUTE(C9032," ",""),3))&amp;"-"&amp;TEXT(B9032,"AAMMDD")&amp;"-1")</f>
        <v/>
      </c>
    </row>
    <row r="9033" spans="20:20" hidden="1">
      <c r="T9033" t="str">
        <f>IF(C9033="","",UPPER(LEFT(SUBSTITUTE(C9033," ",""),3))&amp;"-"&amp;TEXT(B9033,"AAMMDD")&amp;"-1")</f>
        <v/>
      </c>
    </row>
    <row r="9034" spans="20:20" hidden="1">
      <c r="T9034" t="str">
        <f>IF(C9034="","",UPPER(LEFT(SUBSTITUTE(C9034," ",""),3))&amp;"-"&amp;TEXT(B9034,"AAMMDD")&amp;"-1")</f>
        <v/>
      </c>
    </row>
    <row r="9035" spans="20:20" hidden="1">
      <c r="T9035" t="str">
        <f>IF(C9035="","",UPPER(LEFT(SUBSTITUTE(C9035," ",""),3))&amp;"-"&amp;TEXT(B9035,"AAMMDD")&amp;"-1")</f>
        <v/>
      </c>
    </row>
    <row r="9036" spans="20:20" hidden="1">
      <c r="T9036" t="str">
        <f>IF(C9036="","",UPPER(LEFT(SUBSTITUTE(C9036," ",""),3))&amp;"-"&amp;TEXT(B9036,"AAMMDD")&amp;"-1")</f>
        <v/>
      </c>
    </row>
    <row r="9037" spans="20:20" hidden="1">
      <c r="T9037" t="str">
        <f>IF(C9037="","",UPPER(LEFT(SUBSTITUTE(C9037," ",""),3))&amp;"-"&amp;TEXT(B9037,"AAMMDD")&amp;"-1")</f>
        <v/>
      </c>
    </row>
    <row r="9038" spans="20:20" hidden="1">
      <c r="T9038" t="str">
        <f>IF(C9038="","",UPPER(LEFT(SUBSTITUTE(C9038," ",""),3))&amp;"-"&amp;TEXT(B9038,"AAMMDD")&amp;"-1")</f>
        <v/>
      </c>
    </row>
    <row r="9039" spans="20:20" hidden="1">
      <c r="T9039" t="str">
        <f>IF(C9039="","",UPPER(LEFT(SUBSTITUTE(C9039," ",""),3))&amp;"-"&amp;TEXT(B9039,"AAMMDD")&amp;"-1")</f>
        <v/>
      </c>
    </row>
    <row r="9040" spans="20:20" hidden="1">
      <c r="T9040" t="str">
        <f>IF(C9040="","",UPPER(LEFT(SUBSTITUTE(C9040," ",""),3))&amp;"-"&amp;TEXT(B9040,"AAMMDD")&amp;"-1")</f>
        <v/>
      </c>
    </row>
    <row r="9041" spans="20:20" hidden="1">
      <c r="T9041" t="str">
        <f>IF(C9041="","",UPPER(LEFT(SUBSTITUTE(C9041," ",""),3))&amp;"-"&amp;TEXT(B9041,"AAMMDD")&amp;"-1")</f>
        <v/>
      </c>
    </row>
    <row r="9042" spans="20:20" hidden="1">
      <c r="T9042" t="str">
        <f>IF(C9042="","",UPPER(LEFT(SUBSTITUTE(C9042," ",""),3))&amp;"-"&amp;TEXT(B9042,"AAMMDD")&amp;"-1")</f>
        <v/>
      </c>
    </row>
    <row r="9043" spans="20:20" hidden="1">
      <c r="T9043" t="str">
        <f>IF(C9043="","",UPPER(LEFT(SUBSTITUTE(C9043," ",""),3))&amp;"-"&amp;TEXT(B9043,"AAMMDD")&amp;"-1")</f>
        <v/>
      </c>
    </row>
    <row r="9044" spans="20:20" hidden="1">
      <c r="T9044" t="str">
        <f>IF(C9044="","",UPPER(LEFT(SUBSTITUTE(C9044," ",""),3))&amp;"-"&amp;TEXT(B9044,"AAMMDD")&amp;"-1")</f>
        <v/>
      </c>
    </row>
    <row r="9045" spans="20:20" hidden="1">
      <c r="T9045" t="str">
        <f>IF(C9045="","",UPPER(LEFT(SUBSTITUTE(C9045," ",""),3))&amp;"-"&amp;TEXT(B9045,"AAMMDD")&amp;"-1")</f>
        <v/>
      </c>
    </row>
    <row r="9046" spans="20:20" hidden="1">
      <c r="T9046" t="str">
        <f>IF(C9046="","",UPPER(LEFT(SUBSTITUTE(C9046," ",""),3))&amp;"-"&amp;TEXT(B9046,"AAMMDD")&amp;"-1")</f>
        <v/>
      </c>
    </row>
    <row r="9047" spans="20:20" hidden="1">
      <c r="T9047" t="str">
        <f>IF(C9047="","",UPPER(LEFT(SUBSTITUTE(C9047," ",""),3))&amp;"-"&amp;TEXT(B9047,"AAMMDD")&amp;"-1")</f>
        <v/>
      </c>
    </row>
    <row r="9048" spans="20:20" hidden="1">
      <c r="T9048" t="str">
        <f>IF(C9048="","",UPPER(LEFT(SUBSTITUTE(C9048," ",""),3))&amp;"-"&amp;TEXT(B9048,"AAMMDD")&amp;"-1")</f>
        <v/>
      </c>
    </row>
    <row r="9049" spans="20:20" hidden="1">
      <c r="T9049" t="str">
        <f>IF(C9049="","",UPPER(LEFT(SUBSTITUTE(C9049," ",""),3))&amp;"-"&amp;TEXT(B9049,"AAMMDD")&amp;"-1")</f>
        <v/>
      </c>
    </row>
    <row r="9050" spans="20:20" hidden="1">
      <c r="T9050" t="str">
        <f>IF(C9050="","",UPPER(LEFT(SUBSTITUTE(C9050," ",""),3))&amp;"-"&amp;TEXT(B9050,"AAMMDD")&amp;"-1")</f>
        <v/>
      </c>
    </row>
    <row r="9051" spans="20:20" hidden="1">
      <c r="T9051" t="str">
        <f>IF(C9051="","",UPPER(LEFT(SUBSTITUTE(C9051," ",""),3))&amp;"-"&amp;TEXT(B9051,"AAMMDD")&amp;"-1")</f>
        <v/>
      </c>
    </row>
    <row r="9052" spans="20:20" hidden="1">
      <c r="T9052" t="str">
        <f>IF(C9052="","",UPPER(LEFT(SUBSTITUTE(C9052," ",""),3))&amp;"-"&amp;TEXT(B9052,"AAMMDD")&amp;"-1")</f>
        <v/>
      </c>
    </row>
    <row r="9053" spans="20:20" hidden="1">
      <c r="T9053" t="str">
        <f>IF(C9053="","",UPPER(LEFT(SUBSTITUTE(C9053," ",""),3))&amp;"-"&amp;TEXT(B9053,"AAMMDD")&amp;"-1")</f>
        <v/>
      </c>
    </row>
    <row r="9054" spans="20:20" hidden="1">
      <c r="T9054" t="str">
        <f>IF(C9054="","",UPPER(LEFT(SUBSTITUTE(C9054," ",""),3))&amp;"-"&amp;TEXT(B9054,"AAMMDD")&amp;"-1")</f>
        <v/>
      </c>
    </row>
    <row r="9055" spans="20:20" hidden="1">
      <c r="T9055" t="str">
        <f>IF(C9055="","",UPPER(LEFT(SUBSTITUTE(C9055," ",""),3))&amp;"-"&amp;TEXT(B9055,"AAMMDD")&amp;"-1")</f>
        <v/>
      </c>
    </row>
    <row r="9056" spans="20:20" hidden="1">
      <c r="T9056" t="str">
        <f>IF(C9056="","",UPPER(LEFT(SUBSTITUTE(C9056," ",""),3))&amp;"-"&amp;TEXT(B9056,"AAMMDD")&amp;"-1")</f>
        <v/>
      </c>
    </row>
    <row r="9057" spans="20:20" hidden="1">
      <c r="T9057" t="str">
        <f>IF(C9057="","",UPPER(LEFT(SUBSTITUTE(C9057," ",""),3))&amp;"-"&amp;TEXT(B9057,"AAMMDD")&amp;"-1")</f>
        <v/>
      </c>
    </row>
    <row r="9058" spans="20:20" hidden="1">
      <c r="T9058" t="str">
        <f>IF(C9058="","",UPPER(LEFT(SUBSTITUTE(C9058," ",""),3))&amp;"-"&amp;TEXT(B9058,"AAMMDD")&amp;"-1")</f>
        <v/>
      </c>
    </row>
    <row r="9059" spans="20:20" hidden="1">
      <c r="T9059" t="str">
        <f>IF(C9059="","",UPPER(LEFT(SUBSTITUTE(C9059," ",""),3))&amp;"-"&amp;TEXT(B9059,"AAMMDD")&amp;"-1")</f>
        <v/>
      </c>
    </row>
    <row r="9060" spans="20:20" hidden="1">
      <c r="T9060" t="str">
        <f>IF(C9060="","",UPPER(LEFT(SUBSTITUTE(C9060," ",""),3))&amp;"-"&amp;TEXT(B9060,"AAMMDD")&amp;"-1")</f>
        <v/>
      </c>
    </row>
    <row r="9061" spans="20:20" hidden="1">
      <c r="T9061" t="str">
        <f>IF(C9061="","",UPPER(LEFT(SUBSTITUTE(C9061," ",""),3))&amp;"-"&amp;TEXT(B9061,"AAMMDD")&amp;"-1")</f>
        <v/>
      </c>
    </row>
    <row r="9062" spans="20:20" hidden="1">
      <c r="T9062" t="str">
        <f>IF(C9062="","",UPPER(LEFT(SUBSTITUTE(C9062," ",""),3))&amp;"-"&amp;TEXT(B9062,"AAMMDD")&amp;"-1")</f>
        <v/>
      </c>
    </row>
    <row r="9063" spans="20:20" hidden="1">
      <c r="T9063" t="str">
        <f>IF(C9063="","",UPPER(LEFT(SUBSTITUTE(C9063," ",""),3))&amp;"-"&amp;TEXT(B9063,"AAMMDD")&amp;"-1")</f>
        <v/>
      </c>
    </row>
    <row r="9064" spans="20:20" hidden="1">
      <c r="T9064" t="str">
        <f>IF(C9064="","",UPPER(LEFT(SUBSTITUTE(C9064," ",""),3))&amp;"-"&amp;TEXT(B9064,"AAMMDD")&amp;"-1")</f>
        <v/>
      </c>
    </row>
    <row r="9065" spans="20:20" hidden="1">
      <c r="T9065" t="str">
        <f>IF(C9065="","",UPPER(LEFT(SUBSTITUTE(C9065," ",""),3))&amp;"-"&amp;TEXT(B9065,"AAMMDD")&amp;"-1")</f>
        <v/>
      </c>
    </row>
    <row r="9066" spans="20:20" hidden="1">
      <c r="T9066" t="str">
        <f>IF(C9066="","",UPPER(LEFT(SUBSTITUTE(C9066," ",""),3))&amp;"-"&amp;TEXT(B9066,"AAMMDD")&amp;"-1")</f>
        <v/>
      </c>
    </row>
    <row r="9067" spans="20:20" hidden="1">
      <c r="T9067" t="str">
        <f>IF(C9067="","",UPPER(LEFT(SUBSTITUTE(C9067," ",""),3))&amp;"-"&amp;TEXT(B9067,"AAMMDD")&amp;"-1")</f>
        <v/>
      </c>
    </row>
    <row r="9068" spans="20:20" hidden="1">
      <c r="T9068" t="str">
        <f>IF(C9068="","",UPPER(LEFT(SUBSTITUTE(C9068," ",""),3))&amp;"-"&amp;TEXT(B9068,"AAMMDD")&amp;"-1")</f>
        <v/>
      </c>
    </row>
    <row r="9069" spans="20:20" hidden="1">
      <c r="T9069" t="str">
        <f>IF(C9069="","",UPPER(LEFT(SUBSTITUTE(C9069," ",""),3))&amp;"-"&amp;TEXT(B9069,"AAMMDD")&amp;"-1")</f>
        <v/>
      </c>
    </row>
    <row r="9070" spans="20:20" hidden="1">
      <c r="T9070" t="str">
        <f>IF(C9070="","",UPPER(LEFT(SUBSTITUTE(C9070," ",""),3))&amp;"-"&amp;TEXT(B9070,"AAMMDD")&amp;"-1")</f>
        <v/>
      </c>
    </row>
    <row r="9071" spans="20:20" hidden="1">
      <c r="T9071" t="str">
        <f>IF(C9071="","",UPPER(LEFT(SUBSTITUTE(C9071," ",""),3))&amp;"-"&amp;TEXT(B9071,"AAMMDD")&amp;"-1")</f>
        <v/>
      </c>
    </row>
    <row r="9072" spans="20:20" hidden="1">
      <c r="T9072" t="str">
        <f>IF(C9072="","",UPPER(LEFT(SUBSTITUTE(C9072," ",""),3))&amp;"-"&amp;TEXT(B9072,"AAMMDD")&amp;"-1")</f>
        <v/>
      </c>
    </row>
    <row r="9073" spans="20:20" hidden="1">
      <c r="T9073" t="str">
        <f>IF(C9073="","",UPPER(LEFT(SUBSTITUTE(C9073," ",""),3))&amp;"-"&amp;TEXT(B9073,"AAMMDD")&amp;"-1")</f>
        <v/>
      </c>
    </row>
    <row r="9074" spans="20:20" hidden="1">
      <c r="T9074" t="str">
        <f>IF(C9074="","",UPPER(LEFT(SUBSTITUTE(C9074," ",""),3))&amp;"-"&amp;TEXT(B9074,"AAMMDD")&amp;"-1")</f>
        <v/>
      </c>
    </row>
    <row r="9075" spans="20:20" hidden="1">
      <c r="T9075" t="str">
        <f>IF(C9075="","",UPPER(LEFT(SUBSTITUTE(C9075," ",""),3))&amp;"-"&amp;TEXT(B9075,"AAMMDD")&amp;"-1")</f>
        <v/>
      </c>
    </row>
    <row r="9076" spans="20:20" hidden="1">
      <c r="T9076" t="str">
        <f>IF(C9076="","",UPPER(LEFT(SUBSTITUTE(C9076," ",""),3))&amp;"-"&amp;TEXT(B9076,"AAMMDD")&amp;"-1")</f>
        <v/>
      </c>
    </row>
    <row r="9077" spans="20:20" hidden="1">
      <c r="T9077" t="str">
        <f>IF(C9077="","",UPPER(LEFT(SUBSTITUTE(C9077," ",""),3))&amp;"-"&amp;TEXT(B9077,"AAMMDD")&amp;"-1")</f>
        <v/>
      </c>
    </row>
    <row r="9078" spans="20:20" hidden="1">
      <c r="T9078" t="str">
        <f>IF(C9078="","",UPPER(LEFT(SUBSTITUTE(C9078," ",""),3))&amp;"-"&amp;TEXT(B9078,"AAMMDD")&amp;"-1")</f>
        <v/>
      </c>
    </row>
    <row r="9079" spans="20:20" hidden="1">
      <c r="T9079" t="str">
        <f>IF(C9079="","",UPPER(LEFT(SUBSTITUTE(C9079," ",""),3))&amp;"-"&amp;TEXT(B9079,"AAMMDD")&amp;"-1")</f>
        <v/>
      </c>
    </row>
    <row r="9080" spans="20:20" hidden="1">
      <c r="T9080" t="str">
        <f>IF(C9080="","",UPPER(LEFT(SUBSTITUTE(C9080," ",""),3))&amp;"-"&amp;TEXT(B9080,"AAMMDD")&amp;"-1")</f>
        <v/>
      </c>
    </row>
    <row r="9081" spans="20:20" hidden="1">
      <c r="T9081" t="str">
        <f>IF(C9081="","",UPPER(LEFT(SUBSTITUTE(C9081," ",""),3))&amp;"-"&amp;TEXT(B9081,"AAMMDD")&amp;"-1")</f>
        <v/>
      </c>
    </row>
    <row r="9082" spans="20:20" hidden="1">
      <c r="T9082" t="str">
        <f>IF(C9082="","",UPPER(LEFT(SUBSTITUTE(C9082," ",""),3))&amp;"-"&amp;TEXT(B9082,"AAMMDD")&amp;"-1")</f>
        <v/>
      </c>
    </row>
    <row r="9083" spans="20:20" hidden="1">
      <c r="T9083" t="str">
        <f>IF(C9083="","",UPPER(LEFT(SUBSTITUTE(C9083," ",""),3))&amp;"-"&amp;TEXT(B9083,"AAMMDD")&amp;"-1")</f>
        <v/>
      </c>
    </row>
    <row r="9084" spans="20:20" hidden="1">
      <c r="T9084" t="str">
        <f>IF(C9084="","",UPPER(LEFT(SUBSTITUTE(C9084," ",""),3))&amp;"-"&amp;TEXT(B9084,"AAMMDD")&amp;"-1")</f>
        <v/>
      </c>
    </row>
    <row r="9085" spans="20:20" hidden="1">
      <c r="T9085" t="str">
        <f>IF(C9085="","",UPPER(LEFT(SUBSTITUTE(C9085," ",""),3))&amp;"-"&amp;TEXT(B9085,"AAMMDD")&amp;"-1")</f>
        <v/>
      </c>
    </row>
    <row r="9086" spans="20:20" hidden="1">
      <c r="T9086" t="str">
        <f>IF(C9086="","",UPPER(LEFT(SUBSTITUTE(C9086," ",""),3))&amp;"-"&amp;TEXT(B9086,"AAMMDD")&amp;"-1")</f>
        <v/>
      </c>
    </row>
    <row r="9087" spans="20:20" hidden="1">
      <c r="T9087" t="str">
        <f>IF(C9087="","",UPPER(LEFT(SUBSTITUTE(C9087," ",""),3))&amp;"-"&amp;TEXT(B9087,"AAMMDD")&amp;"-1")</f>
        <v/>
      </c>
    </row>
    <row r="9088" spans="20:20" hidden="1">
      <c r="T9088" t="str">
        <f>IF(C9088="","",UPPER(LEFT(SUBSTITUTE(C9088," ",""),3))&amp;"-"&amp;TEXT(B9088,"AAMMDD")&amp;"-1")</f>
        <v/>
      </c>
    </row>
    <row r="9089" spans="20:20" hidden="1">
      <c r="T9089" t="str">
        <f>IF(C9089="","",UPPER(LEFT(SUBSTITUTE(C9089," ",""),3))&amp;"-"&amp;TEXT(B9089,"AAMMDD")&amp;"-1")</f>
        <v/>
      </c>
    </row>
    <row r="9090" spans="20:20" hidden="1">
      <c r="T9090" t="str">
        <f>IF(C9090="","",UPPER(LEFT(SUBSTITUTE(C9090," ",""),3))&amp;"-"&amp;TEXT(B9090,"AAMMDD")&amp;"-1")</f>
        <v/>
      </c>
    </row>
    <row r="9091" spans="20:20" hidden="1">
      <c r="T9091" t="str">
        <f>IF(C9091="","",UPPER(LEFT(SUBSTITUTE(C9091," ",""),3))&amp;"-"&amp;TEXT(B9091,"AAMMDD")&amp;"-1")</f>
        <v/>
      </c>
    </row>
    <row r="9092" spans="20:20" hidden="1">
      <c r="T9092" t="str">
        <f>IF(C9092="","",UPPER(LEFT(SUBSTITUTE(C9092," ",""),3))&amp;"-"&amp;TEXT(B9092,"AAMMDD")&amp;"-1")</f>
        <v/>
      </c>
    </row>
    <row r="9093" spans="20:20" hidden="1">
      <c r="T9093" t="str">
        <f>IF(C9093="","",UPPER(LEFT(SUBSTITUTE(C9093," ",""),3))&amp;"-"&amp;TEXT(B9093,"AAMMDD")&amp;"-1")</f>
        <v/>
      </c>
    </row>
    <row r="9094" spans="20:20" hidden="1">
      <c r="T9094" t="str">
        <f>IF(C9094="","",UPPER(LEFT(SUBSTITUTE(C9094," ",""),3))&amp;"-"&amp;TEXT(B9094,"AAMMDD")&amp;"-1")</f>
        <v/>
      </c>
    </row>
    <row r="9095" spans="20:20" hidden="1">
      <c r="T9095" t="str">
        <f>IF(C9095="","",UPPER(LEFT(SUBSTITUTE(C9095," ",""),3))&amp;"-"&amp;TEXT(B9095,"AAMMDD")&amp;"-1")</f>
        <v/>
      </c>
    </row>
    <row r="9096" spans="20:20" hidden="1">
      <c r="T9096" t="str">
        <f>IF(C9096="","",UPPER(LEFT(SUBSTITUTE(C9096," ",""),3))&amp;"-"&amp;TEXT(B9096,"AAMMDD")&amp;"-1")</f>
        <v/>
      </c>
    </row>
    <row r="9097" spans="20:20" hidden="1">
      <c r="T9097" t="str">
        <f>IF(C9097="","",UPPER(LEFT(SUBSTITUTE(C9097," ",""),3))&amp;"-"&amp;TEXT(B9097,"AAMMDD")&amp;"-1")</f>
        <v/>
      </c>
    </row>
    <row r="9098" spans="20:20" hidden="1">
      <c r="T9098" t="str">
        <f>IF(C9098="","",UPPER(LEFT(SUBSTITUTE(C9098," ",""),3))&amp;"-"&amp;TEXT(B9098,"AAMMDD")&amp;"-1")</f>
        <v/>
      </c>
    </row>
    <row r="9099" spans="20:20" hidden="1">
      <c r="T9099" t="str">
        <f>IF(C9099="","",UPPER(LEFT(SUBSTITUTE(C9099," ",""),3))&amp;"-"&amp;TEXT(B9099,"AAMMDD")&amp;"-1")</f>
        <v/>
      </c>
    </row>
    <row r="9100" spans="20:20" hidden="1">
      <c r="T9100" t="str">
        <f>IF(C9100="","",UPPER(LEFT(SUBSTITUTE(C9100," ",""),3))&amp;"-"&amp;TEXT(B9100,"AAMMDD")&amp;"-1")</f>
        <v/>
      </c>
    </row>
    <row r="9101" spans="20:20" hidden="1">
      <c r="T9101" t="str">
        <f>IF(C9101="","",UPPER(LEFT(SUBSTITUTE(C9101," ",""),3))&amp;"-"&amp;TEXT(B9101,"AAMMDD")&amp;"-1")</f>
        <v/>
      </c>
    </row>
    <row r="9102" spans="20:20" hidden="1">
      <c r="T9102" t="str">
        <f>IF(C9102="","",UPPER(LEFT(SUBSTITUTE(C9102," ",""),3))&amp;"-"&amp;TEXT(B9102,"AAMMDD")&amp;"-1")</f>
        <v/>
      </c>
    </row>
    <row r="9103" spans="20:20" hidden="1">
      <c r="T9103" t="str">
        <f>IF(C9103="","",UPPER(LEFT(SUBSTITUTE(C9103," ",""),3))&amp;"-"&amp;TEXT(B9103,"AAMMDD")&amp;"-1")</f>
        <v/>
      </c>
    </row>
    <row r="9104" spans="20:20" hidden="1">
      <c r="T9104" t="str">
        <f>IF(C9104="","",UPPER(LEFT(SUBSTITUTE(C9104," ",""),3))&amp;"-"&amp;TEXT(B9104,"AAMMDD")&amp;"-1")</f>
        <v/>
      </c>
    </row>
    <row r="9105" spans="20:20" hidden="1">
      <c r="T9105" t="str">
        <f>IF(C9105="","",UPPER(LEFT(SUBSTITUTE(C9105," ",""),3))&amp;"-"&amp;TEXT(B9105,"AAMMDD")&amp;"-1")</f>
        <v/>
      </c>
    </row>
    <row r="9106" spans="20:20" hidden="1">
      <c r="T9106" t="str">
        <f>IF(C9106="","",UPPER(LEFT(SUBSTITUTE(C9106," ",""),3))&amp;"-"&amp;TEXT(B9106,"AAMMDD")&amp;"-1")</f>
        <v/>
      </c>
    </row>
    <row r="9107" spans="20:20" hidden="1">
      <c r="T9107" t="str">
        <f>IF(C9107="","",UPPER(LEFT(SUBSTITUTE(C9107," ",""),3))&amp;"-"&amp;TEXT(B9107,"AAMMDD")&amp;"-1")</f>
        <v/>
      </c>
    </row>
    <row r="9108" spans="20:20" hidden="1">
      <c r="T9108" t="str">
        <f>IF(C9108="","",UPPER(LEFT(SUBSTITUTE(C9108," ",""),3))&amp;"-"&amp;TEXT(B9108,"AAMMDD")&amp;"-1")</f>
        <v/>
      </c>
    </row>
    <row r="9109" spans="20:20" hidden="1">
      <c r="T9109" t="str">
        <f>IF(C9109="","",UPPER(LEFT(SUBSTITUTE(C9109," ",""),3))&amp;"-"&amp;TEXT(B9109,"AAMMDD")&amp;"-1")</f>
        <v/>
      </c>
    </row>
    <row r="9110" spans="20:20" hidden="1">
      <c r="T9110" t="str">
        <f>IF(C9110="","",UPPER(LEFT(SUBSTITUTE(C9110," ",""),3))&amp;"-"&amp;TEXT(B9110,"AAMMDD")&amp;"-1")</f>
        <v/>
      </c>
    </row>
    <row r="9111" spans="20:20" hidden="1">
      <c r="T9111" t="str">
        <f>IF(C9111="","",UPPER(LEFT(SUBSTITUTE(C9111," ",""),3))&amp;"-"&amp;TEXT(B9111,"AAMMDD")&amp;"-1")</f>
        <v/>
      </c>
    </row>
    <row r="9112" spans="20:20" hidden="1">
      <c r="T9112" t="str">
        <f>IF(C9112="","",UPPER(LEFT(SUBSTITUTE(C9112," ",""),3))&amp;"-"&amp;TEXT(B9112,"AAMMDD")&amp;"-1")</f>
        <v/>
      </c>
    </row>
    <row r="9113" spans="20:20" hidden="1">
      <c r="T9113" t="str">
        <f>IF(C9113="","",UPPER(LEFT(SUBSTITUTE(C9113," ",""),3))&amp;"-"&amp;TEXT(B9113,"AAMMDD")&amp;"-1")</f>
        <v/>
      </c>
    </row>
    <row r="9114" spans="20:20" hidden="1">
      <c r="T9114" t="str">
        <f>IF(C9114="","",UPPER(LEFT(SUBSTITUTE(C9114," ",""),3))&amp;"-"&amp;TEXT(B9114,"AAMMDD")&amp;"-1")</f>
        <v/>
      </c>
    </row>
    <row r="9115" spans="20:20" hidden="1">
      <c r="T9115" t="str">
        <f>IF(C9115="","",UPPER(LEFT(SUBSTITUTE(C9115," ",""),3))&amp;"-"&amp;TEXT(B9115,"AAMMDD")&amp;"-1")</f>
        <v/>
      </c>
    </row>
    <row r="9116" spans="20:20" hidden="1">
      <c r="T9116" t="str">
        <f>IF(C9116="","",UPPER(LEFT(SUBSTITUTE(C9116," ",""),3))&amp;"-"&amp;TEXT(B9116,"AAMMDD")&amp;"-1")</f>
        <v/>
      </c>
    </row>
    <row r="9117" spans="20:20" hidden="1">
      <c r="T9117" t="str">
        <f>IF(C9117="","",UPPER(LEFT(SUBSTITUTE(C9117," ",""),3))&amp;"-"&amp;TEXT(B9117,"AAMMDD")&amp;"-1")</f>
        <v/>
      </c>
    </row>
    <row r="9118" spans="20:20" hidden="1">
      <c r="T9118" t="str">
        <f>IF(C9118="","",UPPER(LEFT(SUBSTITUTE(C9118," ",""),3))&amp;"-"&amp;TEXT(B9118,"AAMMDD")&amp;"-1")</f>
        <v/>
      </c>
    </row>
    <row r="9119" spans="20:20" hidden="1">
      <c r="T9119" t="str">
        <f>IF(C9119="","",UPPER(LEFT(SUBSTITUTE(C9119," ",""),3))&amp;"-"&amp;TEXT(B9119,"AAMMDD")&amp;"-1")</f>
        <v/>
      </c>
    </row>
    <row r="9120" spans="20:20" hidden="1">
      <c r="T9120" t="str">
        <f>IF(C9120="","",UPPER(LEFT(SUBSTITUTE(C9120," ",""),3))&amp;"-"&amp;TEXT(B9120,"AAMMDD")&amp;"-1")</f>
        <v/>
      </c>
    </row>
    <row r="9121" spans="20:20" hidden="1">
      <c r="T9121" t="str">
        <f>IF(C9121="","",UPPER(LEFT(SUBSTITUTE(C9121," ",""),3))&amp;"-"&amp;TEXT(B9121,"AAMMDD")&amp;"-1")</f>
        <v/>
      </c>
    </row>
    <row r="9122" spans="20:20" hidden="1">
      <c r="T9122" t="str">
        <f>IF(C9122="","",UPPER(LEFT(SUBSTITUTE(C9122," ",""),3))&amp;"-"&amp;TEXT(B9122,"AAMMDD")&amp;"-1")</f>
        <v/>
      </c>
    </row>
    <row r="9123" spans="20:20" hidden="1">
      <c r="T9123" t="str">
        <f>IF(C9123="","",UPPER(LEFT(SUBSTITUTE(C9123," ",""),3))&amp;"-"&amp;TEXT(B9123,"AAMMDD")&amp;"-1")</f>
        <v/>
      </c>
    </row>
    <row r="9124" spans="20:20" hidden="1">
      <c r="T9124" t="str">
        <f>IF(C9124="","",UPPER(LEFT(SUBSTITUTE(C9124," ",""),3))&amp;"-"&amp;TEXT(B9124,"AAMMDD")&amp;"-1")</f>
        <v/>
      </c>
    </row>
    <row r="9125" spans="20:20" hidden="1">
      <c r="T9125" t="str">
        <f>IF(C9125="","",UPPER(LEFT(SUBSTITUTE(C9125," ",""),3))&amp;"-"&amp;TEXT(B9125,"AAMMDD")&amp;"-1")</f>
        <v/>
      </c>
    </row>
    <row r="9126" spans="20:20" hidden="1">
      <c r="T9126" t="str">
        <f>IF(C9126="","",UPPER(LEFT(SUBSTITUTE(C9126," ",""),3))&amp;"-"&amp;TEXT(B9126,"AAMMDD")&amp;"-1")</f>
        <v/>
      </c>
    </row>
    <row r="9127" spans="20:20" hidden="1">
      <c r="T9127" t="str">
        <f>IF(C9127="","",UPPER(LEFT(SUBSTITUTE(C9127," ",""),3))&amp;"-"&amp;TEXT(B9127,"AAMMDD")&amp;"-1")</f>
        <v/>
      </c>
    </row>
    <row r="9128" spans="20:20" hidden="1">
      <c r="T9128" t="str">
        <f>IF(C9128="","",UPPER(LEFT(SUBSTITUTE(C9128," ",""),3))&amp;"-"&amp;TEXT(B9128,"AAMMDD")&amp;"-1")</f>
        <v/>
      </c>
    </row>
    <row r="9129" spans="20:20" hidden="1">
      <c r="T9129" t="str">
        <f>IF(C9129="","",UPPER(LEFT(SUBSTITUTE(C9129," ",""),3))&amp;"-"&amp;TEXT(B9129,"AAMMDD")&amp;"-1")</f>
        <v/>
      </c>
    </row>
    <row r="9130" spans="20:20" hidden="1">
      <c r="T9130" t="str">
        <f>IF(C9130="","",UPPER(LEFT(SUBSTITUTE(C9130," ",""),3))&amp;"-"&amp;TEXT(B9130,"AAMMDD")&amp;"-1")</f>
        <v/>
      </c>
    </row>
    <row r="9131" spans="20:20" hidden="1">
      <c r="T9131" t="str">
        <f>IF(C9131="","",UPPER(LEFT(SUBSTITUTE(C9131," ",""),3))&amp;"-"&amp;TEXT(B9131,"AAMMDD")&amp;"-1")</f>
        <v/>
      </c>
    </row>
    <row r="9132" spans="20:20" hidden="1">
      <c r="T9132" t="str">
        <f>IF(C9132="","",UPPER(LEFT(SUBSTITUTE(C9132," ",""),3))&amp;"-"&amp;TEXT(B9132,"AAMMDD")&amp;"-1")</f>
        <v/>
      </c>
    </row>
    <row r="9133" spans="20:20" hidden="1">
      <c r="T9133" t="str">
        <f>IF(C9133="","",UPPER(LEFT(SUBSTITUTE(C9133," ",""),3))&amp;"-"&amp;TEXT(B9133,"AAMMDD")&amp;"-1")</f>
        <v/>
      </c>
    </row>
    <row r="9134" spans="20:20" hidden="1">
      <c r="T9134" t="str">
        <f>IF(C9134="","",UPPER(LEFT(SUBSTITUTE(C9134," ",""),3))&amp;"-"&amp;TEXT(B9134,"AAMMDD")&amp;"-1")</f>
        <v/>
      </c>
    </row>
    <row r="9135" spans="20:20" hidden="1">
      <c r="T9135" t="str">
        <f>IF(C9135="","",UPPER(LEFT(SUBSTITUTE(C9135," ",""),3))&amp;"-"&amp;TEXT(B9135,"AAMMDD")&amp;"-1")</f>
        <v/>
      </c>
    </row>
    <row r="9136" spans="20:20" hidden="1">
      <c r="T9136" t="str">
        <f>IF(C9136="","",UPPER(LEFT(SUBSTITUTE(C9136," ",""),3))&amp;"-"&amp;TEXT(B9136,"AAMMDD")&amp;"-1")</f>
        <v/>
      </c>
    </row>
    <row r="9137" spans="20:20" hidden="1">
      <c r="T9137" t="str">
        <f>IF(C9137="","",UPPER(LEFT(SUBSTITUTE(C9137," ",""),3))&amp;"-"&amp;TEXT(B9137,"AAMMDD")&amp;"-1")</f>
        <v/>
      </c>
    </row>
    <row r="9138" spans="20:20" hidden="1">
      <c r="T9138" t="str">
        <f>IF(C9138="","",UPPER(LEFT(SUBSTITUTE(C9138," ",""),3))&amp;"-"&amp;TEXT(B9138,"AAMMDD")&amp;"-1")</f>
        <v/>
      </c>
    </row>
    <row r="9139" spans="20:20" hidden="1">
      <c r="T9139" t="str">
        <f>IF(C9139="","",UPPER(LEFT(SUBSTITUTE(C9139," ",""),3))&amp;"-"&amp;TEXT(B9139,"AAMMDD")&amp;"-1")</f>
        <v/>
      </c>
    </row>
    <row r="9140" spans="20:20" hidden="1">
      <c r="T9140" t="str">
        <f>IF(C9140="","",UPPER(LEFT(SUBSTITUTE(C9140," ",""),3))&amp;"-"&amp;TEXT(B9140,"AAMMDD")&amp;"-1")</f>
        <v/>
      </c>
    </row>
    <row r="9141" spans="20:20" hidden="1">
      <c r="T9141" t="str">
        <f>IF(C9141="","",UPPER(LEFT(SUBSTITUTE(C9141," ",""),3))&amp;"-"&amp;TEXT(B9141,"AAMMDD")&amp;"-1")</f>
        <v/>
      </c>
    </row>
    <row r="9142" spans="20:20" hidden="1">
      <c r="T9142" t="str">
        <f>IF(C9142="","",UPPER(LEFT(SUBSTITUTE(C9142," ",""),3))&amp;"-"&amp;TEXT(B9142,"AAMMDD")&amp;"-1")</f>
        <v/>
      </c>
    </row>
    <row r="9143" spans="20:20" hidden="1">
      <c r="T9143" t="str">
        <f>IF(C9143="","",UPPER(LEFT(SUBSTITUTE(C9143," ",""),3))&amp;"-"&amp;TEXT(B9143,"AAMMDD")&amp;"-1")</f>
        <v/>
      </c>
    </row>
    <row r="9144" spans="20:20" hidden="1">
      <c r="T9144" t="str">
        <f>IF(C9144="","",UPPER(LEFT(SUBSTITUTE(C9144," ",""),3))&amp;"-"&amp;TEXT(B9144,"AAMMDD")&amp;"-1")</f>
        <v/>
      </c>
    </row>
    <row r="9145" spans="20:20" hidden="1">
      <c r="T9145" t="str">
        <f>IF(C9145="","",UPPER(LEFT(SUBSTITUTE(C9145," ",""),3))&amp;"-"&amp;TEXT(B9145,"AAMMDD")&amp;"-1")</f>
        <v/>
      </c>
    </row>
    <row r="9146" spans="20:20" hidden="1">
      <c r="T9146" t="str">
        <f>IF(C9146="","",UPPER(LEFT(SUBSTITUTE(C9146," ",""),3))&amp;"-"&amp;TEXT(B9146,"AAMMDD")&amp;"-1")</f>
        <v/>
      </c>
    </row>
    <row r="9147" spans="20:20" hidden="1">
      <c r="T9147" t="str">
        <f>IF(C9147="","",UPPER(LEFT(SUBSTITUTE(C9147," ",""),3))&amp;"-"&amp;TEXT(B9147,"AAMMDD")&amp;"-1")</f>
        <v/>
      </c>
    </row>
    <row r="9148" spans="20:20" hidden="1">
      <c r="T9148" t="str">
        <f>IF(C9148="","",UPPER(LEFT(SUBSTITUTE(C9148," ",""),3))&amp;"-"&amp;TEXT(B9148,"AAMMDD")&amp;"-1")</f>
        <v/>
      </c>
    </row>
    <row r="9149" spans="20:20" hidden="1">
      <c r="T9149" t="str">
        <f>IF(C9149="","",UPPER(LEFT(SUBSTITUTE(C9149," ",""),3))&amp;"-"&amp;TEXT(B9149,"AAMMDD")&amp;"-1")</f>
        <v/>
      </c>
    </row>
    <row r="9150" spans="20:20" hidden="1">
      <c r="T9150" t="str">
        <f>IF(C9150="","",UPPER(LEFT(SUBSTITUTE(C9150," ",""),3))&amp;"-"&amp;TEXT(B9150,"AAMMDD")&amp;"-1")</f>
        <v/>
      </c>
    </row>
    <row r="9151" spans="20:20" hidden="1">
      <c r="T9151" t="str">
        <f>IF(C9151="","",UPPER(LEFT(SUBSTITUTE(C9151," ",""),3))&amp;"-"&amp;TEXT(B9151,"AAMMDD")&amp;"-1")</f>
        <v/>
      </c>
    </row>
    <row r="9152" spans="20:20" hidden="1">
      <c r="T9152" t="str">
        <f>IF(C9152="","",UPPER(LEFT(SUBSTITUTE(C9152," ",""),3))&amp;"-"&amp;TEXT(B9152,"AAMMDD")&amp;"-1")</f>
        <v/>
      </c>
    </row>
    <row r="9153" spans="20:20" hidden="1">
      <c r="T9153" t="str">
        <f>IF(C9153="","",UPPER(LEFT(SUBSTITUTE(C9153," ",""),3))&amp;"-"&amp;TEXT(B9153,"AAMMDD")&amp;"-1")</f>
        <v/>
      </c>
    </row>
    <row r="9154" spans="20:20" hidden="1">
      <c r="T9154" t="str">
        <f>IF(C9154="","",UPPER(LEFT(SUBSTITUTE(C9154," ",""),3))&amp;"-"&amp;TEXT(B9154,"AAMMDD")&amp;"-1")</f>
        <v/>
      </c>
    </row>
    <row r="9155" spans="20:20" hidden="1">
      <c r="T9155" t="str">
        <f>IF(C9155="","",UPPER(LEFT(SUBSTITUTE(C9155," ",""),3))&amp;"-"&amp;TEXT(B9155,"AAMMDD")&amp;"-1")</f>
        <v/>
      </c>
    </row>
    <row r="9156" spans="20:20" hidden="1">
      <c r="T9156" t="str">
        <f>IF(C9156="","",UPPER(LEFT(SUBSTITUTE(C9156," ",""),3))&amp;"-"&amp;TEXT(B9156,"AAMMDD")&amp;"-1")</f>
        <v/>
      </c>
    </row>
    <row r="9157" spans="20:20" hidden="1">
      <c r="T9157" t="str">
        <f>IF(C9157="","",UPPER(LEFT(SUBSTITUTE(C9157," ",""),3))&amp;"-"&amp;TEXT(B9157,"AAMMDD")&amp;"-1")</f>
        <v/>
      </c>
    </row>
    <row r="9158" spans="20:20" hidden="1">
      <c r="T9158" t="str">
        <f>IF(C9158="","",UPPER(LEFT(SUBSTITUTE(C9158," ",""),3))&amp;"-"&amp;TEXT(B9158,"AAMMDD")&amp;"-1")</f>
        <v/>
      </c>
    </row>
    <row r="9159" spans="20:20" hidden="1">
      <c r="T9159" t="str">
        <f>IF(C9159="","",UPPER(LEFT(SUBSTITUTE(C9159," ",""),3))&amp;"-"&amp;TEXT(B9159,"AAMMDD")&amp;"-1")</f>
        <v/>
      </c>
    </row>
    <row r="9160" spans="20:20" hidden="1">
      <c r="T9160" t="str">
        <f>IF(C9160="","",UPPER(LEFT(SUBSTITUTE(C9160," ",""),3))&amp;"-"&amp;TEXT(B9160,"AAMMDD")&amp;"-1")</f>
        <v/>
      </c>
    </row>
    <row r="9161" spans="20:20" hidden="1">
      <c r="T9161" t="str">
        <f>IF(C9161="","",UPPER(LEFT(SUBSTITUTE(C9161," ",""),3))&amp;"-"&amp;TEXT(B9161,"AAMMDD")&amp;"-1")</f>
        <v/>
      </c>
    </row>
    <row r="9162" spans="20:20" hidden="1">
      <c r="T9162" t="str">
        <f>IF(C9162="","",UPPER(LEFT(SUBSTITUTE(C9162," ",""),3))&amp;"-"&amp;TEXT(B9162,"AAMMDD")&amp;"-1")</f>
        <v/>
      </c>
    </row>
    <row r="9163" spans="20:20" hidden="1">
      <c r="T9163" t="str">
        <f>IF(C9163="","",UPPER(LEFT(SUBSTITUTE(C9163," ",""),3))&amp;"-"&amp;TEXT(B9163,"AAMMDD")&amp;"-1")</f>
        <v/>
      </c>
    </row>
    <row r="9164" spans="20:20" hidden="1">
      <c r="T9164" t="str">
        <f>IF(C9164="","",UPPER(LEFT(SUBSTITUTE(C9164," ",""),3))&amp;"-"&amp;TEXT(B9164,"AAMMDD")&amp;"-1")</f>
        <v/>
      </c>
    </row>
    <row r="9165" spans="20:20" hidden="1">
      <c r="T9165" t="str">
        <f>IF(C9165="","",UPPER(LEFT(SUBSTITUTE(C9165," ",""),3))&amp;"-"&amp;TEXT(B9165,"AAMMDD")&amp;"-1")</f>
        <v/>
      </c>
    </row>
    <row r="9166" spans="20:20" hidden="1">
      <c r="T9166" t="str">
        <f>IF(C9166="","",UPPER(LEFT(SUBSTITUTE(C9166," ",""),3))&amp;"-"&amp;TEXT(B9166,"AAMMDD")&amp;"-1")</f>
        <v/>
      </c>
    </row>
    <row r="9167" spans="20:20" hidden="1">
      <c r="T9167" t="str">
        <f>IF(C9167="","",UPPER(LEFT(SUBSTITUTE(C9167," ",""),3))&amp;"-"&amp;TEXT(B9167,"AAMMDD")&amp;"-1")</f>
        <v/>
      </c>
    </row>
    <row r="9168" spans="20:20" hidden="1">
      <c r="T9168" t="str">
        <f>IF(C9168="","",UPPER(LEFT(SUBSTITUTE(C9168," ",""),3))&amp;"-"&amp;TEXT(B9168,"AAMMDD")&amp;"-1")</f>
        <v/>
      </c>
    </row>
    <row r="9169" spans="20:20" hidden="1">
      <c r="T9169" t="str">
        <f>IF(C9169="","",UPPER(LEFT(SUBSTITUTE(C9169," ",""),3))&amp;"-"&amp;TEXT(B9169,"AAMMDD")&amp;"-1")</f>
        <v/>
      </c>
    </row>
    <row r="9170" spans="20:20" hidden="1">
      <c r="T9170" t="str">
        <f>IF(C9170="","",UPPER(LEFT(SUBSTITUTE(C9170," ",""),3))&amp;"-"&amp;TEXT(B9170,"AAMMDD")&amp;"-1")</f>
        <v/>
      </c>
    </row>
    <row r="9171" spans="20:20" hidden="1">
      <c r="T9171" t="str">
        <f>IF(C9171="","",UPPER(LEFT(SUBSTITUTE(C9171," ",""),3))&amp;"-"&amp;TEXT(B9171,"AAMMDD")&amp;"-1")</f>
        <v/>
      </c>
    </row>
    <row r="9172" spans="20:20" hidden="1">
      <c r="T9172" t="str">
        <f>IF(C9172="","",UPPER(LEFT(SUBSTITUTE(C9172," ",""),3))&amp;"-"&amp;TEXT(B9172,"AAMMDD")&amp;"-1")</f>
        <v/>
      </c>
    </row>
    <row r="9173" spans="20:20" hidden="1">
      <c r="T9173" t="str">
        <f>IF(C9173="","",UPPER(LEFT(SUBSTITUTE(C9173," ",""),3))&amp;"-"&amp;TEXT(B9173,"AAMMDD")&amp;"-1")</f>
        <v/>
      </c>
    </row>
    <row r="9174" spans="20:20" hidden="1">
      <c r="T9174" t="str">
        <f>IF(C9174="","",UPPER(LEFT(SUBSTITUTE(C9174," ",""),3))&amp;"-"&amp;TEXT(B9174,"AAMMDD")&amp;"-1")</f>
        <v/>
      </c>
    </row>
    <row r="9175" spans="20:20" hidden="1">
      <c r="T9175" t="str">
        <f>IF(C9175="","",UPPER(LEFT(SUBSTITUTE(C9175," ",""),3))&amp;"-"&amp;TEXT(B9175,"AAMMDD")&amp;"-1")</f>
        <v/>
      </c>
    </row>
    <row r="9176" spans="20:20" hidden="1">
      <c r="T9176" t="str">
        <f>IF(C9176="","",UPPER(LEFT(SUBSTITUTE(C9176," ",""),3))&amp;"-"&amp;TEXT(B9176,"AAMMDD")&amp;"-1")</f>
        <v/>
      </c>
    </row>
    <row r="9177" spans="20:20" hidden="1">
      <c r="T9177" t="str">
        <f>IF(C9177="","",UPPER(LEFT(SUBSTITUTE(C9177," ",""),3))&amp;"-"&amp;TEXT(B9177,"AAMMDD")&amp;"-1")</f>
        <v/>
      </c>
    </row>
    <row r="9178" spans="20:20" hidden="1">
      <c r="T9178" t="str">
        <f>IF(C9178="","",UPPER(LEFT(SUBSTITUTE(C9178," ",""),3))&amp;"-"&amp;TEXT(B9178,"AAMMDD")&amp;"-1")</f>
        <v/>
      </c>
    </row>
    <row r="9179" spans="20:20" hidden="1">
      <c r="T9179" t="str">
        <f>IF(C9179="","",UPPER(LEFT(SUBSTITUTE(C9179," ",""),3))&amp;"-"&amp;TEXT(B9179,"AAMMDD")&amp;"-1")</f>
        <v/>
      </c>
    </row>
    <row r="9180" spans="20:20" hidden="1">
      <c r="T9180" t="str">
        <f>IF(C9180="","",UPPER(LEFT(SUBSTITUTE(C9180," ",""),3))&amp;"-"&amp;TEXT(B9180,"AAMMDD")&amp;"-1")</f>
        <v/>
      </c>
    </row>
    <row r="9181" spans="20:20" hidden="1">
      <c r="T9181" t="str">
        <f>IF(C9181="","",UPPER(LEFT(SUBSTITUTE(C9181," ",""),3))&amp;"-"&amp;TEXT(B9181,"AAMMDD")&amp;"-1")</f>
        <v/>
      </c>
    </row>
    <row r="9182" spans="20:20" hidden="1">
      <c r="T9182" t="str">
        <f>IF(C9182="","",UPPER(LEFT(SUBSTITUTE(C9182," ",""),3))&amp;"-"&amp;TEXT(B9182,"AAMMDD")&amp;"-1")</f>
        <v/>
      </c>
    </row>
    <row r="9183" spans="20:20" hidden="1">
      <c r="T9183" t="str">
        <f>IF(C9183="","",UPPER(LEFT(SUBSTITUTE(C9183," ",""),3))&amp;"-"&amp;TEXT(B9183,"AAMMDD")&amp;"-1")</f>
        <v/>
      </c>
    </row>
    <row r="9184" spans="20:20" hidden="1">
      <c r="T9184" t="str">
        <f>IF(C9184="","",UPPER(LEFT(SUBSTITUTE(C9184," ",""),3))&amp;"-"&amp;TEXT(B9184,"AAMMDD")&amp;"-1")</f>
        <v/>
      </c>
    </row>
    <row r="9185" spans="20:20" hidden="1">
      <c r="T9185" t="str">
        <f>IF(C9185="","",UPPER(LEFT(SUBSTITUTE(C9185," ",""),3))&amp;"-"&amp;TEXT(B9185,"AAMMDD")&amp;"-1")</f>
        <v/>
      </c>
    </row>
    <row r="9186" spans="20:20" hidden="1">
      <c r="T9186" t="str">
        <f>IF(C9186="","",UPPER(LEFT(SUBSTITUTE(C9186," ",""),3))&amp;"-"&amp;TEXT(B9186,"AAMMDD")&amp;"-1")</f>
        <v/>
      </c>
    </row>
    <row r="9187" spans="20:20" hidden="1">
      <c r="T9187" t="str">
        <f>IF(C9187="","",UPPER(LEFT(SUBSTITUTE(C9187," ",""),3))&amp;"-"&amp;TEXT(B9187,"AAMMDD")&amp;"-1")</f>
        <v/>
      </c>
    </row>
    <row r="9188" spans="20:20" hidden="1">
      <c r="T9188" t="str">
        <f>IF(C9188="","",UPPER(LEFT(SUBSTITUTE(C9188," ",""),3))&amp;"-"&amp;TEXT(B9188,"AAMMDD")&amp;"-1")</f>
        <v/>
      </c>
    </row>
    <row r="9189" spans="20:20" hidden="1">
      <c r="T9189" t="str">
        <f>IF(C9189="","",UPPER(LEFT(SUBSTITUTE(C9189," ",""),3))&amp;"-"&amp;TEXT(B9189,"AAMMDD")&amp;"-1")</f>
        <v/>
      </c>
    </row>
    <row r="9190" spans="20:20" hidden="1">
      <c r="T9190" t="str">
        <f>IF(C9190="","",UPPER(LEFT(SUBSTITUTE(C9190," ",""),3))&amp;"-"&amp;TEXT(B9190,"AAMMDD")&amp;"-1")</f>
        <v/>
      </c>
    </row>
    <row r="9191" spans="20:20" hidden="1">
      <c r="T9191" t="str">
        <f>IF(C9191="","",UPPER(LEFT(SUBSTITUTE(C9191," ",""),3))&amp;"-"&amp;TEXT(B9191,"AAMMDD")&amp;"-1")</f>
        <v/>
      </c>
    </row>
    <row r="9192" spans="20:20" hidden="1">
      <c r="T9192" t="str">
        <f>IF(C9192="","",UPPER(LEFT(SUBSTITUTE(C9192," ",""),3))&amp;"-"&amp;TEXT(B9192,"AAMMDD")&amp;"-1")</f>
        <v/>
      </c>
    </row>
    <row r="9193" spans="20:20" hidden="1">
      <c r="T9193" t="str">
        <f>IF(C9193="","",UPPER(LEFT(SUBSTITUTE(C9193," ",""),3))&amp;"-"&amp;TEXT(B9193,"AAMMDD")&amp;"-1")</f>
        <v/>
      </c>
    </row>
    <row r="9194" spans="20:20" hidden="1">
      <c r="T9194" t="str">
        <f>IF(C9194="","",UPPER(LEFT(SUBSTITUTE(C9194," ",""),3))&amp;"-"&amp;TEXT(B9194,"AAMMDD")&amp;"-1")</f>
        <v/>
      </c>
    </row>
    <row r="9195" spans="20:20" hidden="1">
      <c r="T9195" t="str">
        <f>IF(C9195="","",UPPER(LEFT(SUBSTITUTE(C9195," ",""),3))&amp;"-"&amp;TEXT(B9195,"AAMMDD")&amp;"-1")</f>
        <v/>
      </c>
    </row>
    <row r="9196" spans="20:20" hidden="1">
      <c r="T9196" t="str">
        <f>IF(C9196="","",UPPER(LEFT(SUBSTITUTE(C9196," ",""),3))&amp;"-"&amp;TEXT(B9196,"AAMMDD")&amp;"-1")</f>
        <v/>
      </c>
    </row>
    <row r="9197" spans="20:20" hidden="1">
      <c r="T9197" t="str">
        <f>IF(C9197="","",UPPER(LEFT(SUBSTITUTE(C9197," ",""),3))&amp;"-"&amp;TEXT(B9197,"AAMMDD")&amp;"-1")</f>
        <v/>
      </c>
    </row>
    <row r="9198" spans="20:20" hidden="1">
      <c r="T9198" t="str">
        <f>IF(C9198="","",UPPER(LEFT(SUBSTITUTE(C9198," ",""),3))&amp;"-"&amp;TEXT(B9198,"AAMMDD")&amp;"-1")</f>
        <v/>
      </c>
    </row>
    <row r="9199" spans="20:20" hidden="1">
      <c r="T9199" t="str">
        <f>IF(C9199="","",UPPER(LEFT(SUBSTITUTE(C9199," ",""),3))&amp;"-"&amp;TEXT(B9199,"AAMMDD")&amp;"-1")</f>
        <v/>
      </c>
    </row>
    <row r="9200" spans="20:20" hidden="1">
      <c r="T9200" t="str">
        <f>IF(C9200="","",UPPER(LEFT(SUBSTITUTE(C9200," ",""),3))&amp;"-"&amp;TEXT(B9200,"AAMMDD")&amp;"-1")</f>
        <v/>
      </c>
    </row>
    <row r="9201" spans="20:20" hidden="1">
      <c r="T9201" t="str">
        <f>IF(C9201="","",UPPER(LEFT(SUBSTITUTE(C9201," ",""),3))&amp;"-"&amp;TEXT(B9201,"AAMMDD")&amp;"-1")</f>
        <v/>
      </c>
    </row>
    <row r="9202" spans="20:20" hidden="1">
      <c r="T9202" t="str">
        <f>IF(C9202="","",UPPER(LEFT(SUBSTITUTE(C9202," ",""),3))&amp;"-"&amp;TEXT(B9202,"AAMMDD")&amp;"-1")</f>
        <v/>
      </c>
    </row>
    <row r="9203" spans="20:20" hidden="1">
      <c r="T9203" t="str">
        <f>IF(C9203="","",UPPER(LEFT(SUBSTITUTE(C9203," ",""),3))&amp;"-"&amp;TEXT(B9203,"AAMMDD")&amp;"-1")</f>
        <v/>
      </c>
    </row>
    <row r="9204" spans="20:20" hidden="1">
      <c r="T9204" t="str">
        <f>IF(C9204="","",UPPER(LEFT(SUBSTITUTE(C9204," ",""),3))&amp;"-"&amp;TEXT(B9204,"AAMMDD")&amp;"-1")</f>
        <v/>
      </c>
    </row>
    <row r="9205" spans="20:20" hidden="1">
      <c r="T9205" t="str">
        <f>IF(C9205="","",UPPER(LEFT(SUBSTITUTE(C9205," ",""),3))&amp;"-"&amp;TEXT(B9205,"AAMMDD")&amp;"-1")</f>
        <v/>
      </c>
    </row>
    <row r="9206" spans="20:20" hidden="1">
      <c r="T9206" t="str">
        <f>IF(C9206="","",UPPER(LEFT(SUBSTITUTE(C9206," ",""),3))&amp;"-"&amp;TEXT(B9206,"AAMMDD")&amp;"-1")</f>
        <v/>
      </c>
    </row>
    <row r="9207" spans="20:20" hidden="1">
      <c r="T9207" t="str">
        <f>IF(C9207="","",UPPER(LEFT(SUBSTITUTE(C9207," ",""),3))&amp;"-"&amp;TEXT(B9207,"AAMMDD")&amp;"-1")</f>
        <v/>
      </c>
    </row>
    <row r="9208" spans="20:20" hidden="1">
      <c r="T9208" t="str">
        <f>IF(C9208="","",UPPER(LEFT(SUBSTITUTE(C9208," ",""),3))&amp;"-"&amp;TEXT(B9208,"AAMMDD")&amp;"-1")</f>
        <v/>
      </c>
    </row>
    <row r="9209" spans="20:20" hidden="1">
      <c r="T9209" t="str">
        <f>IF(C9209="","",UPPER(LEFT(SUBSTITUTE(C9209," ",""),3))&amp;"-"&amp;TEXT(B9209,"AAMMDD")&amp;"-1")</f>
        <v/>
      </c>
    </row>
    <row r="9210" spans="20:20" hidden="1">
      <c r="T9210" t="str">
        <f>IF(C9210="","",UPPER(LEFT(SUBSTITUTE(C9210," ",""),3))&amp;"-"&amp;TEXT(B9210,"AAMMDD")&amp;"-1")</f>
        <v/>
      </c>
    </row>
    <row r="9211" spans="20:20" hidden="1">
      <c r="T9211" t="str">
        <f>IF(C9211="","",UPPER(LEFT(SUBSTITUTE(C9211," ",""),3))&amp;"-"&amp;TEXT(B9211,"AAMMDD")&amp;"-1")</f>
        <v/>
      </c>
    </row>
    <row r="9212" spans="20:20" hidden="1">
      <c r="T9212" t="str">
        <f>IF(C9212="","",UPPER(LEFT(SUBSTITUTE(C9212," ",""),3))&amp;"-"&amp;TEXT(B9212,"AAMMDD")&amp;"-1")</f>
        <v/>
      </c>
    </row>
    <row r="9213" spans="20:20" hidden="1">
      <c r="T9213" t="str">
        <f>IF(C9213="","",UPPER(LEFT(SUBSTITUTE(C9213," ",""),3))&amp;"-"&amp;TEXT(B9213,"AAMMDD")&amp;"-1")</f>
        <v/>
      </c>
    </row>
    <row r="9214" spans="20:20" hidden="1">
      <c r="T9214" t="str">
        <f>IF(C9214="","",UPPER(LEFT(SUBSTITUTE(C9214," ",""),3))&amp;"-"&amp;TEXT(B9214,"AAMMDD")&amp;"-1")</f>
        <v/>
      </c>
    </row>
    <row r="9215" spans="20:20" hidden="1">
      <c r="T9215" t="str">
        <f>IF(C9215="","",UPPER(LEFT(SUBSTITUTE(C9215," ",""),3))&amp;"-"&amp;TEXT(B9215,"AAMMDD")&amp;"-1")</f>
        <v/>
      </c>
    </row>
    <row r="9216" spans="20:20" hidden="1">
      <c r="T9216" t="str">
        <f>IF(C9216="","",UPPER(LEFT(SUBSTITUTE(C9216," ",""),3))&amp;"-"&amp;TEXT(B9216,"AAMMDD")&amp;"-1")</f>
        <v/>
      </c>
    </row>
    <row r="9217" spans="20:20" hidden="1">
      <c r="T9217" t="str">
        <f>IF(C9217="","",UPPER(LEFT(SUBSTITUTE(C9217," ",""),3))&amp;"-"&amp;TEXT(B9217,"AAMMDD")&amp;"-1")</f>
        <v/>
      </c>
    </row>
    <row r="9218" spans="20:20" hidden="1">
      <c r="T9218" t="str">
        <f>IF(C9218="","",UPPER(LEFT(SUBSTITUTE(C9218," ",""),3))&amp;"-"&amp;TEXT(B9218,"AAMMDD")&amp;"-1")</f>
        <v/>
      </c>
    </row>
    <row r="9219" spans="20:20" hidden="1">
      <c r="T9219" t="str">
        <f>IF(C9219="","",UPPER(LEFT(SUBSTITUTE(C9219," ",""),3))&amp;"-"&amp;TEXT(B9219,"AAMMDD")&amp;"-1")</f>
        <v/>
      </c>
    </row>
    <row r="9220" spans="20:20" hidden="1">
      <c r="T9220" t="str">
        <f>IF(C9220="","",UPPER(LEFT(SUBSTITUTE(C9220," ",""),3))&amp;"-"&amp;TEXT(B9220,"AAMMDD")&amp;"-1")</f>
        <v/>
      </c>
    </row>
    <row r="9221" spans="20:20" hidden="1">
      <c r="T9221" t="str">
        <f>IF(C9221="","",UPPER(LEFT(SUBSTITUTE(C9221," ",""),3))&amp;"-"&amp;TEXT(B9221,"AAMMDD")&amp;"-1")</f>
        <v/>
      </c>
    </row>
    <row r="9222" spans="20:20" hidden="1">
      <c r="T9222" t="str">
        <f>IF(C9222="","",UPPER(LEFT(SUBSTITUTE(C9222," ",""),3))&amp;"-"&amp;TEXT(B9222,"AAMMDD")&amp;"-1")</f>
        <v/>
      </c>
    </row>
    <row r="9223" spans="20:20" hidden="1">
      <c r="T9223" t="str">
        <f>IF(C9223="","",UPPER(LEFT(SUBSTITUTE(C9223," ",""),3))&amp;"-"&amp;TEXT(B9223,"AAMMDD")&amp;"-1")</f>
        <v/>
      </c>
    </row>
    <row r="9224" spans="20:20" hidden="1">
      <c r="T9224" t="str">
        <f>IF(C9224="","",UPPER(LEFT(SUBSTITUTE(C9224," ",""),3))&amp;"-"&amp;TEXT(B9224,"AAMMDD")&amp;"-1")</f>
        <v/>
      </c>
    </row>
    <row r="9225" spans="20:20" hidden="1">
      <c r="T9225" t="str">
        <f>IF(C9225="","",UPPER(LEFT(SUBSTITUTE(C9225," ",""),3))&amp;"-"&amp;TEXT(B9225,"AAMMDD")&amp;"-1")</f>
        <v/>
      </c>
    </row>
    <row r="9226" spans="20:20" hidden="1">
      <c r="T9226" t="str">
        <f>IF(C9226="","",UPPER(LEFT(SUBSTITUTE(C9226," ",""),3))&amp;"-"&amp;TEXT(B9226,"AAMMDD")&amp;"-1")</f>
        <v/>
      </c>
    </row>
    <row r="9227" spans="20:20" hidden="1">
      <c r="T9227" t="str">
        <f>IF(C9227="","",UPPER(LEFT(SUBSTITUTE(C9227," ",""),3))&amp;"-"&amp;TEXT(B9227,"AAMMDD")&amp;"-1")</f>
        <v/>
      </c>
    </row>
    <row r="9228" spans="20:20" hidden="1">
      <c r="T9228" t="str">
        <f>IF(C9228="","",UPPER(LEFT(SUBSTITUTE(C9228," ",""),3))&amp;"-"&amp;TEXT(B9228,"AAMMDD")&amp;"-1")</f>
        <v/>
      </c>
    </row>
    <row r="9229" spans="20:20" hidden="1">
      <c r="T9229" t="str">
        <f>IF(C9229="","",UPPER(LEFT(SUBSTITUTE(C9229," ",""),3))&amp;"-"&amp;TEXT(B9229,"AAMMDD")&amp;"-1")</f>
        <v/>
      </c>
    </row>
    <row r="9230" spans="20:20" hidden="1">
      <c r="T9230" t="str">
        <f>IF(C9230="","",UPPER(LEFT(SUBSTITUTE(C9230," ",""),3))&amp;"-"&amp;TEXT(B9230,"AAMMDD")&amp;"-1")</f>
        <v/>
      </c>
    </row>
    <row r="9231" spans="20:20" hidden="1">
      <c r="T9231" t="str">
        <f>IF(C9231="","",UPPER(LEFT(SUBSTITUTE(C9231," ",""),3))&amp;"-"&amp;TEXT(B9231,"AAMMDD")&amp;"-1")</f>
        <v/>
      </c>
    </row>
    <row r="9232" spans="20:20" hidden="1">
      <c r="T9232" t="str">
        <f>IF(C9232="","",UPPER(LEFT(SUBSTITUTE(C9232," ",""),3))&amp;"-"&amp;TEXT(B9232,"AAMMDD")&amp;"-1")</f>
        <v/>
      </c>
    </row>
    <row r="9233" spans="20:20" hidden="1">
      <c r="T9233" t="str">
        <f>IF(C9233="","",UPPER(LEFT(SUBSTITUTE(C9233," ",""),3))&amp;"-"&amp;TEXT(B9233,"AAMMDD")&amp;"-1")</f>
        <v/>
      </c>
    </row>
    <row r="9234" spans="20:20" hidden="1">
      <c r="T9234" t="str">
        <f>IF(C9234="","",UPPER(LEFT(SUBSTITUTE(C9234," ",""),3))&amp;"-"&amp;TEXT(B9234,"AAMMDD")&amp;"-1")</f>
        <v/>
      </c>
    </row>
    <row r="9235" spans="20:20" hidden="1">
      <c r="T9235" t="str">
        <f>IF(C9235="","",UPPER(LEFT(SUBSTITUTE(C9235," ",""),3))&amp;"-"&amp;TEXT(B9235,"AAMMDD")&amp;"-1")</f>
        <v/>
      </c>
    </row>
    <row r="9236" spans="20:20" hidden="1">
      <c r="T9236" t="str">
        <f>IF(C9236="","",UPPER(LEFT(SUBSTITUTE(C9236," ",""),3))&amp;"-"&amp;TEXT(B9236,"AAMMDD")&amp;"-1")</f>
        <v/>
      </c>
    </row>
    <row r="9237" spans="20:20" hidden="1">
      <c r="T9237" t="str">
        <f>IF(C9237="","",UPPER(LEFT(SUBSTITUTE(C9237," ",""),3))&amp;"-"&amp;TEXT(B9237,"AAMMDD")&amp;"-1")</f>
        <v/>
      </c>
    </row>
    <row r="9238" spans="20:20" hidden="1">
      <c r="T9238" t="str">
        <f>IF(C9238="","",UPPER(LEFT(SUBSTITUTE(C9238," ",""),3))&amp;"-"&amp;TEXT(B9238,"AAMMDD")&amp;"-1")</f>
        <v/>
      </c>
    </row>
    <row r="9239" spans="20:20" hidden="1">
      <c r="T9239" t="str">
        <f>IF(C9239="","",UPPER(LEFT(SUBSTITUTE(C9239," ",""),3))&amp;"-"&amp;TEXT(B9239,"AAMMDD")&amp;"-1")</f>
        <v/>
      </c>
    </row>
    <row r="9240" spans="20:20" hidden="1">
      <c r="T9240" t="str">
        <f>IF(C9240="","",UPPER(LEFT(SUBSTITUTE(C9240," ",""),3))&amp;"-"&amp;TEXT(B9240,"AAMMDD")&amp;"-1")</f>
        <v/>
      </c>
    </row>
    <row r="9241" spans="20:20" hidden="1">
      <c r="T9241" t="str">
        <f>IF(C9241="","",UPPER(LEFT(SUBSTITUTE(C9241," ",""),3))&amp;"-"&amp;TEXT(B9241,"AAMMDD")&amp;"-1")</f>
        <v/>
      </c>
    </row>
    <row r="9242" spans="20:20" hidden="1">
      <c r="T9242" t="str">
        <f>IF(C9242="","",UPPER(LEFT(SUBSTITUTE(C9242," ",""),3))&amp;"-"&amp;TEXT(B9242,"AAMMDD")&amp;"-1")</f>
        <v/>
      </c>
    </row>
    <row r="9243" spans="20:20" hidden="1">
      <c r="T9243" t="str">
        <f>IF(C9243="","",UPPER(LEFT(SUBSTITUTE(C9243," ",""),3))&amp;"-"&amp;TEXT(B9243,"AAMMDD")&amp;"-1")</f>
        <v/>
      </c>
    </row>
    <row r="9244" spans="20:20" hidden="1">
      <c r="T9244" t="str">
        <f>IF(C9244="","",UPPER(LEFT(SUBSTITUTE(C9244," ",""),3))&amp;"-"&amp;TEXT(B9244,"AAMMDD")&amp;"-1")</f>
        <v/>
      </c>
    </row>
    <row r="9245" spans="20:20" hidden="1">
      <c r="T9245" t="str">
        <f>IF(C9245="","",UPPER(LEFT(SUBSTITUTE(C9245," ",""),3))&amp;"-"&amp;TEXT(B9245,"AAMMDD")&amp;"-1")</f>
        <v/>
      </c>
    </row>
    <row r="9246" spans="20:20" hidden="1">
      <c r="T9246" t="str">
        <f>IF(C9246="","",UPPER(LEFT(SUBSTITUTE(C9246," ",""),3))&amp;"-"&amp;TEXT(B9246,"AAMMDD")&amp;"-1")</f>
        <v/>
      </c>
    </row>
    <row r="9247" spans="20:20" hidden="1">
      <c r="T9247" t="str">
        <f>IF(C9247="","",UPPER(LEFT(SUBSTITUTE(C9247," ",""),3))&amp;"-"&amp;TEXT(B9247,"AAMMDD")&amp;"-1")</f>
        <v/>
      </c>
    </row>
    <row r="9248" spans="20:20" hidden="1">
      <c r="T9248" t="str">
        <f>IF(C9248="","",UPPER(LEFT(SUBSTITUTE(C9248," ",""),3))&amp;"-"&amp;TEXT(B9248,"AAMMDD")&amp;"-1")</f>
        <v/>
      </c>
    </row>
    <row r="9249" spans="20:20" hidden="1">
      <c r="T9249" t="str">
        <f>IF(C9249="","",UPPER(LEFT(SUBSTITUTE(C9249," ",""),3))&amp;"-"&amp;TEXT(B9249,"AAMMDD")&amp;"-1")</f>
        <v/>
      </c>
    </row>
    <row r="9250" spans="20:20" hidden="1">
      <c r="T9250" t="str">
        <f>IF(C9250="","",UPPER(LEFT(SUBSTITUTE(C9250," ",""),3))&amp;"-"&amp;TEXT(B9250,"AAMMDD")&amp;"-1")</f>
        <v/>
      </c>
    </row>
    <row r="9251" spans="20:20" hidden="1">
      <c r="T9251" t="str">
        <f>IF(C9251="","",UPPER(LEFT(SUBSTITUTE(C9251," ",""),3))&amp;"-"&amp;TEXT(B9251,"AAMMDD")&amp;"-1")</f>
        <v/>
      </c>
    </row>
    <row r="9252" spans="20:20" hidden="1">
      <c r="T9252" t="str">
        <f>IF(C9252="","",UPPER(LEFT(SUBSTITUTE(C9252," ",""),3))&amp;"-"&amp;TEXT(B9252,"AAMMDD")&amp;"-1")</f>
        <v/>
      </c>
    </row>
    <row r="9253" spans="20:20" hidden="1">
      <c r="T9253" t="str">
        <f>IF(C9253="","",UPPER(LEFT(SUBSTITUTE(C9253," ",""),3))&amp;"-"&amp;TEXT(B9253,"AAMMDD")&amp;"-1")</f>
        <v/>
      </c>
    </row>
    <row r="9254" spans="20:20" hidden="1">
      <c r="T9254" t="str">
        <f>IF(C9254="","",UPPER(LEFT(SUBSTITUTE(C9254," ",""),3))&amp;"-"&amp;TEXT(B9254,"AAMMDD")&amp;"-1")</f>
        <v/>
      </c>
    </row>
    <row r="9255" spans="20:20" hidden="1">
      <c r="T9255" t="str">
        <f>IF(C9255="","",UPPER(LEFT(SUBSTITUTE(C9255," ",""),3))&amp;"-"&amp;TEXT(B9255,"AAMMDD")&amp;"-1")</f>
        <v/>
      </c>
    </row>
    <row r="9256" spans="20:20" hidden="1">
      <c r="T9256" t="str">
        <f>IF(C9256="","",UPPER(LEFT(SUBSTITUTE(C9256," ",""),3))&amp;"-"&amp;TEXT(B9256,"AAMMDD")&amp;"-1")</f>
        <v/>
      </c>
    </row>
    <row r="9257" spans="20:20" hidden="1">
      <c r="T9257" t="str">
        <f>IF(C9257="","",UPPER(LEFT(SUBSTITUTE(C9257," ",""),3))&amp;"-"&amp;TEXT(B9257,"AAMMDD")&amp;"-1")</f>
        <v/>
      </c>
    </row>
    <row r="9258" spans="20:20" hidden="1">
      <c r="T9258" t="str">
        <f>IF(C9258="","",UPPER(LEFT(SUBSTITUTE(C9258," ",""),3))&amp;"-"&amp;TEXT(B9258,"AAMMDD")&amp;"-1")</f>
        <v/>
      </c>
    </row>
    <row r="9259" spans="20:20" hidden="1">
      <c r="T9259" t="str">
        <f>IF(C9259="","",UPPER(LEFT(SUBSTITUTE(C9259," ",""),3))&amp;"-"&amp;TEXT(B9259,"AAMMDD")&amp;"-1")</f>
        <v/>
      </c>
    </row>
    <row r="9260" spans="20:20" hidden="1">
      <c r="T9260" t="str">
        <f>IF(C9260="","",UPPER(LEFT(SUBSTITUTE(C9260," ",""),3))&amp;"-"&amp;TEXT(B9260,"AAMMDD")&amp;"-1")</f>
        <v/>
      </c>
    </row>
    <row r="9261" spans="20:20" hidden="1">
      <c r="T9261" t="str">
        <f>IF(C9261="","",UPPER(LEFT(SUBSTITUTE(C9261," ",""),3))&amp;"-"&amp;TEXT(B9261,"AAMMDD")&amp;"-1")</f>
        <v/>
      </c>
    </row>
    <row r="9262" spans="20:20" hidden="1">
      <c r="T9262" t="str">
        <f>IF(C9262="","",UPPER(LEFT(SUBSTITUTE(C9262," ",""),3))&amp;"-"&amp;TEXT(B9262,"AAMMDD")&amp;"-1")</f>
        <v/>
      </c>
    </row>
    <row r="9263" spans="20:20" hidden="1">
      <c r="T9263" t="str">
        <f>IF(C9263="","",UPPER(LEFT(SUBSTITUTE(C9263," ",""),3))&amp;"-"&amp;TEXT(B9263,"AAMMDD")&amp;"-1")</f>
        <v/>
      </c>
    </row>
    <row r="9264" spans="20:20" hidden="1">
      <c r="T9264" t="str">
        <f>IF(C9264="","",UPPER(LEFT(SUBSTITUTE(C9264," ",""),3))&amp;"-"&amp;TEXT(B9264,"AAMMDD")&amp;"-1")</f>
        <v/>
      </c>
    </row>
    <row r="9265" spans="20:20" hidden="1">
      <c r="T9265" t="str">
        <f>IF(C9265="","",UPPER(LEFT(SUBSTITUTE(C9265," ",""),3))&amp;"-"&amp;TEXT(B9265,"AAMMDD")&amp;"-1")</f>
        <v/>
      </c>
    </row>
    <row r="9266" spans="20:20" hidden="1">
      <c r="T9266" t="str">
        <f>IF(C9266="","",UPPER(LEFT(SUBSTITUTE(C9266," ",""),3))&amp;"-"&amp;TEXT(B9266,"AAMMDD")&amp;"-1")</f>
        <v/>
      </c>
    </row>
    <row r="9267" spans="20:20" hidden="1">
      <c r="T9267" t="str">
        <f>IF(C9267="","",UPPER(LEFT(SUBSTITUTE(C9267," ",""),3))&amp;"-"&amp;TEXT(B9267,"AAMMDD")&amp;"-1")</f>
        <v/>
      </c>
    </row>
    <row r="9268" spans="20:20" hidden="1">
      <c r="T9268" t="str">
        <f>IF(C9268="","",UPPER(LEFT(SUBSTITUTE(C9268," ",""),3))&amp;"-"&amp;TEXT(B9268,"AAMMDD")&amp;"-1")</f>
        <v/>
      </c>
    </row>
    <row r="9269" spans="20:20" hidden="1">
      <c r="T9269" t="str">
        <f>IF(C9269="","",UPPER(LEFT(SUBSTITUTE(C9269," ",""),3))&amp;"-"&amp;TEXT(B9269,"AAMMDD")&amp;"-1")</f>
        <v/>
      </c>
    </row>
    <row r="9270" spans="20:20" hidden="1">
      <c r="T9270" t="str">
        <f>IF(C9270="","",UPPER(LEFT(SUBSTITUTE(C9270," ",""),3))&amp;"-"&amp;TEXT(B9270,"AAMMDD")&amp;"-1")</f>
        <v/>
      </c>
    </row>
    <row r="9271" spans="20:20" hidden="1">
      <c r="T9271" t="str">
        <f>IF(C9271="","",UPPER(LEFT(SUBSTITUTE(C9271," ",""),3))&amp;"-"&amp;TEXT(B9271,"AAMMDD")&amp;"-1")</f>
        <v/>
      </c>
    </row>
    <row r="9272" spans="20:20" hidden="1">
      <c r="T9272" t="str">
        <f>IF(C9272="","",UPPER(LEFT(SUBSTITUTE(C9272," ",""),3))&amp;"-"&amp;TEXT(B9272,"AAMMDD")&amp;"-1")</f>
        <v/>
      </c>
    </row>
    <row r="9273" spans="20:20" hidden="1">
      <c r="T9273" t="str">
        <f>IF(C9273="","",UPPER(LEFT(SUBSTITUTE(C9273," ",""),3))&amp;"-"&amp;TEXT(B9273,"AAMMDD")&amp;"-1")</f>
        <v/>
      </c>
    </row>
    <row r="9274" spans="20:20" hidden="1">
      <c r="T9274" t="str">
        <f>IF(C9274="","",UPPER(LEFT(SUBSTITUTE(C9274," ",""),3))&amp;"-"&amp;TEXT(B9274,"AAMMDD")&amp;"-1")</f>
        <v/>
      </c>
    </row>
    <row r="9275" spans="20:20" hidden="1">
      <c r="T9275" t="str">
        <f>IF(C9275="","",UPPER(LEFT(SUBSTITUTE(C9275," ",""),3))&amp;"-"&amp;TEXT(B9275,"AAMMDD")&amp;"-1")</f>
        <v/>
      </c>
    </row>
    <row r="9276" spans="20:20" hidden="1">
      <c r="T9276" t="str">
        <f>IF(C9276="","",UPPER(LEFT(SUBSTITUTE(C9276," ",""),3))&amp;"-"&amp;TEXT(B9276,"AAMMDD")&amp;"-1")</f>
        <v/>
      </c>
    </row>
    <row r="9277" spans="20:20" hidden="1">
      <c r="T9277" t="str">
        <f>IF(C9277="","",UPPER(LEFT(SUBSTITUTE(C9277," ",""),3))&amp;"-"&amp;TEXT(B9277,"AAMMDD")&amp;"-1")</f>
        <v/>
      </c>
    </row>
    <row r="9278" spans="20:20" hidden="1">
      <c r="T9278" t="str">
        <f>IF(C9278="","",UPPER(LEFT(SUBSTITUTE(C9278," ",""),3))&amp;"-"&amp;TEXT(B9278,"AAMMDD")&amp;"-1")</f>
        <v/>
      </c>
    </row>
    <row r="9279" spans="20:20" hidden="1">
      <c r="T9279" t="str">
        <f>IF(C9279="","",UPPER(LEFT(SUBSTITUTE(C9279," ",""),3))&amp;"-"&amp;TEXT(B9279,"AAMMDD")&amp;"-1")</f>
        <v/>
      </c>
    </row>
    <row r="9280" spans="20:20" hidden="1">
      <c r="T9280" t="str">
        <f>IF(C9280="","",UPPER(LEFT(SUBSTITUTE(C9280," ",""),3))&amp;"-"&amp;TEXT(B9280,"AAMMDD")&amp;"-1")</f>
        <v/>
      </c>
    </row>
    <row r="9281" spans="20:20" hidden="1">
      <c r="T9281" t="str">
        <f>IF(C9281="","",UPPER(LEFT(SUBSTITUTE(C9281," ",""),3))&amp;"-"&amp;TEXT(B9281,"AAMMDD")&amp;"-1")</f>
        <v/>
      </c>
    </row>
    <row r="9282" spans="20:20" hidden="1">
      <c r="T9282" t="str">
        <f>IF(C9282="","",UPPER(LEFT(SUBSTITUTE(C9282," ",""),3))&amp;"-"&amp;TEXT(B9282,"AAMMDD")&amp;"-1")</f>
        <v/>
      </c>
    </row>
    <row r="9283" spans="20:20" hidden="1">
      <c r="T9283" t="str">
        <f>IF(C9283="","",UPPER(LEFT(SUBSTITUTE(C9283," ",""),3))&amp;"-"&amp;TEXT(B9283,"AAMMDD")&amp;"-1")</f>
        <v/>
      </c>
    </row>
    <row r="9284" spans="20:20" hidden="1">
      <c r="T9284" t="str">
        <f>IF(C9284="","",UPPER(LEFT(SUBSTITUTE(C9284," ",""),3))&amp;"-"&amp;TEXT(B9284,"AAMMDD")&amp;"-1")</f>
        <v/>
      </c>
    </row>
    <row r="9285" spans="20:20" hidden="1">
      <c r="T9285" t="str">
        <f>IF(C9285="","",UPPER(LEFT(SUBSTITUTE(C9285," ",""),3))&amp;"-"&amp;TEXT(B9285,"AAMMDD")&amp;"-1")</f>
        <v/>
      </c>
    </row>
    <row r="9286" spans="20:20" hidden="1">
      <c r="T9286" t="str">
        <f>IF(C9286="","",UPPER(LEFT(SUBSTITUTE(C9286," ",""),3))&amp;"-"&amp;TEXT(B9286,"AAMMDD")&amp;"-1")</f>
        <v/>
      </c>
    </row>
    <row r="9287" spans="20:20" hidden="1">
      <c r="T9287" t="str">
        <f>IF(C9287="","",UPPER(LEFT(SUBSTITUTE(C9287," ",""),3))&amp;"-"&amp;TEXT(B9287,"AAMMDD")&amp;"-1")</f>
        <v/>
      </c>
    </row>
    <row r="9288" spans="20:20" hidden="1">
      <c r="T9288" t="str">
        <f>IF(C9288="","",UPPER(LEFT(SUBSTITUTE(C9288," ",""),3))&amp;"-"&amp;TEXT(B9288,"AAMMDD")&amp;"-1")</f>
        <v/>
      </c>
    </row>
    <row r="9289" spans="20:20" hidden="1">
      <c r="T9289" t="str">
        <f>IF(C9289="","",UPPER(LEFT(SUBSTITUTE(C9289," ",""),3))&amp;"-"&amp;TEXT(B9289,"AAMMDD")&amp;"-1")</f>
        <v/>
      </c>
    </row>
    <row r="9290" spans="20:20" hidden="1">
      <c r="T9290" t="str">
        <f>IF(C9290="","",UPPER(LEFT(SUBSTITUTE(C9290," ",""),3))&amp;"-"&amp;TEXT(B9290,"AAMMDD")&amp;"-1")</f>
        <v/>
      </c>
    </row>
    <row r="9291" spans="20:20" hidden="1">
      <c r="T9291" t="str">
        <f>IF(C9291="","",UPPER(LEFT(SUBSTITUTE(C9291," ",""),3))&amp;"-"&amp;TEXT(B9291,"AAMMDD")&amp;"-1")</f>
        <v/>
      </c>
    </row>
    <row r="9292" spans="20:20" hidden="1">
      <c r="T9292" t="str">
        <f>IF(C9292="","",UPPER(LEFT(SUBSTITUTE(C9292," ",""),3))&amp;"-"&amp;TEXT(B9292,"AAMMDD")&amp;"-1")</f>
        <v/>
      </c>
    </row>
    <row r="9293" spans="20:20" hidden="1">
      <c r="T9293" t="str">
        <f>IF(C9293="","",UPPER(LEFT(SUBSTITUTE(C9293," ",""),3))&amp;"-"&amp;TEXT(B9293,"AAMMDD")&amp;"-1")</f>
        <v/>
      </c>
    </row>
    <row r="9294" spans="20:20" hidden="1">
      <c r="T9294" t="str">
        <f>IF(C9294="","",UPPER(LEFT(SUBSTITUTE(C9294," ",""),3))&amp;"-"&amp;TEXT(B9294,"AAMMDD")&amp;"-1")</f>
        <v/>
      </c>
    </row>
    <row r="9295" spans="20:20" hidden="1">
      <c r="T9295" t="str">
        <f>IF(C9295="","",UPPER(LEFT(SUBSTITUTE(C9295," ",""),3))&amp;"-"&amp;TEXT(B9295,"AAMMDD")&amp;"-1")</f>
        <v/>
      </c>
    </row>
    <row r="9296" spans="20:20" hidden="1">
      <c r="T9296" t="str">
        <f>IF(C9296="","",UPPER(LEFT(SUBSTITUTE(C9296," ",""),3))&amp;"-"&amp;TEXT(B9296,"AAMMDD")&amp;"-1")</f>
        <v/>
      </c>
    </row>
    <row r="9297" spans="20:20" hidden="1">
      <c r="T9297" t="str">
        <f>IF(C9297="","",UPPER(LEFT(SUBSTITUTE(C9297," ",""),3))&amp;"-"&amp;TEXT(B9297,"AAMMDD")&amp;"-1")</f>
        <v/>
      </c>
    </row>
    <row r="9298" spans="20:20" hidden="1">
      <c r="T9298" t="str">
        <f>IF(C9298="","",UPPER(LEFT(SUBSTITUTE(C9298," ",""),3))&amp;"-"&amp;TEXT(B9298,"AAMMDD")&amp;"-1")</f>
        <v/>
      </c>
    </row>
    <row r="9299" spans="20:20" hidden="1">
      <c r="T9299" t="str">
        <f>IF(C9299="","",UPPER(LEFT(SUBSTITUTE(C9299," ",""),3))&amp;"-"&amp;TEXT(B9299,"AAMMDD")&amp;"-1")</f>
        <v/>
      </c>
    </row>
    <row r="9300" spans="20:20" hidden="1">
      <c r="T9300" t="str">
        <f>IF(C9300="","",UPPER(LEFT(SUBSTITUTE(C9300," ",""),3))&amp;"-"&amp;TEXT(B9300,"AAMMDD")&amp;"-1")</f>
        <v/>
      </c>
    </row>
    <row r="9301" spans="20:20" hidden="1">
      <c r="T9301" t="str">
        <f>IF(C9301="","",UPPER(LEFT(SUBSTITUTE(C9301," ",""),3))&amp;"-"&amp;TEXT(B9301,"AAMMDD")&amp;"-1")</f>
        <v/>
      </c>
    </row>
    <row r="9302" spans="20:20" hidden="1">
      <c r="T9302" t="str">
        <f>IF(C9302="","",UPPER(LEFT(SUBSTITUTE(C9302," ",""),3))&amp;"-"&amp;TEXT(B9302,"AAMMDD")&amp;"-1")</f>
        <v/>
      </c>
    </row>
    <row r="9303" spans="20:20" hidden="1">
      <c r="T9303" t="str">
        <f>IF(C9303="","",UPPER(LEFT(SUBSTITUTE(C9303," ",""),3))&amp;"-"&amp;TEXT(B9303,"AAMMDD")&amp;"-1")</f>
        <v/>
      </c>
    </row>
    <row r="9304" spans="20:20" hidden="1">
      <c r="T9304" t="str">
        <f>IF(C9304="","",UPPER(LEFT(SUBSTITUTE(C9304," ",""),3))&amp;"-"&amp;TEXT(B9304,"AAMMDD")&amp;"-1")</f>
        <v/>
      </c>
    </row>
    <row r="9305" spans="20:20" hidden="1">
      <c r="T9305" t="str">
        <f>IF(C9305="","",UPPER(LEFT(SUBSTITUTE(C9305," ",""),3))&amp;"-"&amp;TEXT(B9305,"AAMMDD")&amp;"-1")</f>
        <v/>
      </c>
    </row>
    <row r="9306" spans="20:20" hidden="1">
      <c r="T9306" t="str">
        <f>IF(C9306="","",UPPER(LEFT(SUBSTITUTE(C9306," ",""),3))&amp;"-"&amp;TEXT(B9306,"AAMMDD")&amp;"-1")</f>
        <v/>
      </c>
    </row>
    <row r="9307" spans="20:20" hidden="1">
      <c r="T9307" t="str">
        <f>IF(C9307="","",UPPER(LEFT(SUBSTITUTE(C9307," ",""),3))&amp;"-"&amp;TEXT(B9307,"AAMMDD")&amp;"-1")</f>
        <v/>
      </c>
    </row>
    <row r="9308" spans="20:20" hidden="1">
      <c r="T9308" t="str">
        <f>IF(C9308="","",UPPER(LEFT(SUBSTITUTE(C9308," ",""),3))&amp;"-"&amp;TEXT(B9308,"AAMMDD")&amp;"-1")</f>
        <v/>
      </c>
    </row>
    <row r="9309" spans="20:20" hidden="1">
      <c r="T9309" t="str">
        <f>IF(C9309="","",UPPER(LEFT(SUBSTITUTE(C9309," ",""),3))&amp;"-"&amp;TEXT(B9309,"AAMMDD")&amp;"-1")</f>
        <v/>
      </c>
    </row>
    <row r="9310" spans="20:20" hidden="1">
      <c r="T9310" t="str">
        <f>IF(C9310="","",UPPER(LEFT(SUBSTITUTE(C9310," ",""),3))&amp;"-"&amp;TEXT(B9310,"AAMMDD")&amp;"-1")</f>
        <v/>
      </c>
    </row>
    <row r="9311" spans="20:20" hidden="1">
      <c r="T9311" t="str">
        <f>IF(C9311="","",UPPER(LEFT(SUBSTITUTE(C9311," ",""),3))&amp;"-"&amp;TEXT(B9311,"AAMMDD")&amp;"-1")</f>
        <v/>
      </c>
    </row>
    <row r="9312" spans="20:20" hidden="1">
      <c r="T9312" t="str">
        <f>IF(C9312="","",UPPER(LEFT(SUBSTITUTE(C9312," ",""),3))&amp;"-"&amp;TEXT(B9312,"AAMMDD")&amp;"-1")</f>
        <v/>
      </c>
    </row>
    <row r="9313" spans="20:20" hidden="1">
      <c r="T9313" t="str">
        <f>IF(C9313="","",UPPER(LEFT(SUBSTITUTE(C9313," ",""),3))&amp;"-"&amp;TEXT(B9313,"AAMMDD")&amp;"-1")</f>
        <v/>
      </c>
    </row>
    <row r="9314" spans="20:20" hidden="1">
      <c r="T9314" t="str">
        <f>IF(C9314="","",UPPER(LEFT(SUBSTITUTE(C9314," ",""),3))&amp;"-"&amp;TEXT(B9314,"AAMMDD")&amp;"-1")</f>
        <v/>
      </c>
    </row>
    <row r="9315" spans="20:20" hidden="1">
      <c r="T9315" t="str">
        <f>IF(C9315="","",UPPER(LEFT(SUBSTITUTE(C9315," ",""),3))&amp;"-"&amp;TEXT(B9315,"AAMMDD")&amp;"-1")</f>
        <v/>
      </c>
    </row>
    <row r="9316" spans="20:20" hidden="1">
      <c r="T9316" t="str">
        <f>IF(C9316="","",UPPER(LEFT(SUBSTITUTE(C9316," ",""),3))&amp;"-"&amp;TEXT(B9316,"AAMMDD")&amp;"-1")</f>
        <v/>
      </c>
    </row>
    <row r="9317" spans="20:20" hidden="1">
      <c r="T9317" t="str">
        <f>IF(C9317="","",UPPER(LEFT(SUBSTITUTE(C9317," ",""),3))&amp;"-"&amp;TEXT(B9317,"AAMMDD")&amp;"-1")</f>
        <v/>
      </c>
    </row>
    <row r="9318" spans="20:20" hidden="1">
      <c r="T9318" t="str">
        <f>IF(C9318="","",UPPER(LEFT(SUBSTITUTE(C9318," ",""),3))&amp;"-"&amp;TEXT(B9318,"AAMMDD")&amp;"-1")</f>
        <v/>
      </c>
    </row>
    <row r="9319" spans="20:20" hidden="1">
      <c r="T9319" t="str">
        <f>IF(C9319="","",UPPER(LEFT(SUBSTITUTE(C9319," ",""),3))&amp;"-"&amp;TEXT(B9319,"AAMMDD")&amp;"-1")</f>
        <v/>
      </c>
    </row>
    <row r="9320" spans="20:20" hidden="1">
      <c r="T9320" t="str">
        <f>IF(C9320="","",UPPER(LEFT(SUBSTITUTE(C9320," ",""),3))&amp;"-"&amp;TEXT(B9320,"AAMMDD")&amp;"-1")</f>
        <v/>
      </c>
    </row>
    <row r="9321" spans="20:20" hidden="1">
      <c r="T9321" t="str">
        <f>IF(C9321="","",UPPER(LEFT(SUBSTITUTE(C9321," ",""),3))&amp;"-"&amp;TEXT(B9321,"AAMMDD")&amp;"-1")</f>
        <v/>
      </c>
    </row>
    <row r="9322" spans="20:20" hidden="1">
      <c r="T9322" t="str">
        <f>IF(C9322="","",UPPER(LEFT(SUBSTITUTE(C9322," ",""),3))&amp;"-"&amp;TEXT(B9322,"AAMMDD")&amp;"-1")</f>
        <v/>
      </c>
    </row>
    <row r="9323" spans="20:20" hidden="1">
      <c r="T9323" t="str">
        <f>IF(C9323="","",UPPER(LEFT(SUBSTITUTE(C9323," ",""),3))&amp;"-"&amp;TEXT(B9323,"AAMMDD")&amp;"-1")</f>
        <v/>
      </c>
    </row>
    <row r="9324" spans="20:20" hidden="1">
      <c r="T9324" t="str">
        <f>IF(C9324="","",UPPER(LEFT(SUBSTITUTE(C9324," ",""),3))&amp;"-"&amp;TEXT(B9324,"AAMMDD")&amp;"-1")</f>
        <v/>
      </c>
    </row>
    <row r="9325" spans="20:20" hidden="1">
      <c r="T9325" t="str">
        <f>IF(C9325="","",UPPER(LEFT(SUBSTITUTE(C9325," ",""),3))&amp;"-"&amp;TEXT(B9325,"AAMMDD")&amp;"-1")</f>
        <v/>
      </c>
    </row>
    <row r="9326" spans="20:20" hidden="1">
      <c r="T9326" t="str">
        <f>IF(C9326="","",UPPER(LEFT(SUBSTITUTE(C9326," ",""),3))&amp;"-"&amp;TEXT(B9326,"AAMMDD")&amp;"-1")</f>
        <v/>
      </c>
    </row>
    <row r="9327" spans="20:20" hidden="1">
      <c r="T9327" t="str">
        <f>IF(C9327="","",UPPER(LEFT(SUBSTITUTE(C9327," ",""),3))&amp;"-"&amp;TEXT(B9327,"AAMMDD")&amp;"-1")</f>
        <v/>
      </c>
    </row>
    <row r="9328" spans="20:20" hidden="1">
      <c r="T9328" t="str">
        <f>IF(C9328="","",UPPER(LEFT(SUBSTITUTE(C9328," ",""),3))&amp;"-"&amp;TEXT(B9328,"AAMMDD")&amp;"-1")</f>
        <v/>
      </c>
    </row>
    <row r="9329" spans="20:20" hidden="1">
      <c r="T9329" t="str">
        <f>IF(C9329="","",UPPER(LEFT(SUBSTITUTE(C9329," ",""),3))&amp;"-"&amp;TEXT(B9329,"AAMMDD")&amp;"-1")</f>
        <v/>
      </c>
    </row>
    <row r="9330" spans="20:20" hidden="1">
      <c r="T9330" t="str">
        <f>IF(C9330="","",UPPER(LEFT(SUBSTITUTE(C9330," ",""),3))&amp;"-"&amp;TEXT(B9330,"AAMMDD")&amp;"-1")</f>
        <v/>
      </c>
    </row>
    <row r="9331" spans="20:20" hidden="1">
      <c r="T9331" t="str">
        <f>IF(C9331="","",UPPER(LEFT(SUBSTITUTE(C9331," ",""),3))&amp;"-"&amp;TEXT(B9331,"AAMMDD")&amp;"-1")</f>
        <v/>
      </c>
    </row>
    <row r="9332" spans="20:20" hidden="1">
      <c r="T9332" t="str">
        <f>IF(C9332="","",UPPER(LEFT(SUBSTITUTE(C9332," ",""),3))&amp;"-"&amp;TEXT(B9332,"AAMMDD")&amp;"-1")</f>
        <v/>
      </c>
    </row>
    <row r="9333" spans="20:20" hidden="1">
      <c r="T9333" t="str">
        <f>IF(C9333="","",UPPER(LEFT(SUBSTITUTE(C9333," ",""),3))&amp;"-"&amp;TEXT(B9333,"AAMMDD")&amp;"-1")</f>
        <v/>
      </c>
    </row>
    <row r="9334" spans="20:20" hidden="1">
      <c r="T9334" t="str">
        <f>IF(C9334="","",UPPER(LEFT(SUBSTITUTE(C9334," ",""),3))&amp;"-"&amp;TEXT(B9334,"AAMMDD")&amp;"-1")</f>
        <v/>
      </c>
    </row>
    <row r="9335" spans="20:20" hidden="1">
      <c r="T9335" t="str">
        <f>IF(C9335="","",UPPER(LEFT(SUBSTITUTE(C9335," ",""),3))&amp;"-"&amp;TEXT(B9335,"AAMMDD")&amp;"-1")</f>
        <v/>
      </c>
    </row>
    <row r="9336" spans="20:20" hidden="1">
      <c r="T9336" t="str">
        <f>IF(C9336="","",UPPER(LEFT(SUBSTITUTE(C9336," ",""),3))&amp;"-"&amp;TEXT(B9336,"AAMMDD")&amp;"-1")</f>
        <v/>
      </c>
    </row>
    <row r="9337" spans="20:20" hidden="1">
      <c r="T9337" t="str">
        <f>IF(C9337="","",UPPER(LEFT(SUBSTITUTE(C9337," ",""),3))&amp;"-"&amp;TEXT(B9337,"AAMMDD")&amp;"-1")</f>
        <v/>
      </c>
    </row>
    <row r="9338" spans="20:20" hidden="1">
      <c r="T9338" t="str">
        <f>IF(C9338="","",UPPER(LEFT(SUBSTITUTE(C9338," ",""),3))&amp;"-"&amp;TEXT(B9338,"AAMMDD")&amp;"-1")</f>
        <v/>
      </c>
    </row>
    <row r="9339" spans="20:20" hidden="1">
      <c r="T9339" t="str">
        <f>IF(C9339="","",UPPER(LEFT(SUBSTITUTE(C9339," ",""),3))&amp;"-"&amp;TEXT(B9339,"AAMMDD")&amp;"-1")</f>
        <v/>
      </c>
    </row>
    <row r="9340" spans="20:20" hidden="1">
      <c r="T9340" t="str">
        <f>IF(C9340="","",UPPER(LEFT(SUBSTITUTE(C9340," ",""),3))&amp;"-"&amp;TEXT(B9340,"AAMMDD")&amp;"-1")</f>
        <v/>
      </c>
    </row>
    <row r="9341" spans="20:20" hidden="1">
      <c r="T9341" t="str">
        <f>IF(C9341="","",UPPER(LEFT(SUBSTITUTE(C9341," ",""),3))&amp;"-"&amp;TEXT(B9341,"AAMMDD")&amp;"-1")</f>
        <v/>
      </c>
    </row>
    <row r="9342" spans="20:20" hidden="1">
      <c r="T9342" t="str">
        <f>IF(C9342="","",UPPER(LEFT(SUBSTITUTE(C9342," ",""),3))&amp;"-"&amp;TEXT(B9342,"AAMMDD")&amp;"-1")</f>
        <v/>
      </c>
    </row>
    <row r="9343" spans="20:20" hidden="1">
      <c r="T9343" t="str">
        <f>IF(C9343="","",UPPER(LEFT(SUBSTITUTE(C9343," ",""),3))&amp;"-"&amp;TEXT(B9343,"AAMMDD")&amp;"-1")</f>
        <v/>
      </c>
    </row>
    <row r="9344" spans="20:20" hidden="1">
      <c r="T9344" t="str">
        <f>IF(C9344="","",UPPER(LEFT(SUBSTITUTE(C9344," ",""),3))&amp;"-"&amp;TEXT(B9344,"AAMMDD")&amp;"-1")</f>
        <v/>
      </c>
    </row>
    <row r="9345" spans="20:20" hidden="1">
      <c r="T9345" t="str">
        <f>IF(C9345="","",UPPER(LEFT(SUBSTITUTE(C9345," ",""),3))&amp;"-"&amp;TEXT(B9345,"AAMMDD")&amp;"-1")</f>
        <v/>
      </c>
    </row>
    <row r="9346" spans="20:20" hidden="1">
      <c r="T9346" t="str">
        <f>IF(C9346="","",UPPER(LEFT(SUBSTITUTE(C9346," ",""),3))&amp;"-"&amp;TEXT(B9346,"AAMMDD")&amp;"-1")</f>
        <v/>
      </c>
    </row>
    <row r="9347" spans="20:20" hidden="1">
      <c r="T9347" t="str">
        <f>IF(C9347="","",UPPER(LEFT(SUBSTITUTE(C9347," ",""),3))&amp;"-"&amp;TEXT(B9347,"AAMMDD")&amp;"-1")</f>
        <v/>
      </c>
    </row>
    <row r="9348" spans="20:20" hidden="1">
      <c r="T9348" t="str">
        <f>IF(C9348="","",UPPER(LEFT(SUBSTITUTE(C9348," ",""),3))&amp;"-"&amp;TEXT(B9348,"AAMMDD")&amp;"-1")</f>
        <v/>
      </c>
    </row>
    <row r="9349" spans="20:20" hidden="1">
      <c r="T9349" t="str">
        <f>IF(C9349="","",UPPER(LEFT(SUBSTITUTE(C9349," ",""),3))&amp;"-"&amp;TEXT(B9349,"AAMMDD")&amp;"-1")</f>
        <v/>
      </c>
    </row>
    <row r="9350" spans="20:20" hidden="1">
      <c r="T9350" t="str">
        <f>IF(C9350="","",UPPER(LEFT(SUBSTITUTE(C9350," ",""),3))&amp;"-"&amp;TEXT(B9350,"AAMMDD")&amp;"-1")</f>
        <v/>
      </c>
    </row>
    <row r="9351" spans="20:20" hidden="1">
      <c r="T9351" t="str">
        <f>IF(C9351="","",UPPER(LEFT(SUBSTITUTE(C9351," ",""),3))&amp;"-"&amp;TEXT(B9351,"AAMMDD")&amp;"-1")</f>
        <v/>
      </c>
    </row>
    <row r="9352" spans="20:20" hidden="1">
      <c r="T9352" t="str">
        <f>IF(C9352="","",UPPER(LEFT(SUBSTITUTE(C9352," ",""),3))&amp;"-"&amp;TEXT(B9352,"AAMMDD")&amp;"-1")</f>
        <v/>
      </c>
    </row>
    <row r="9353" spans="20:20" hidden="1">
      <c r="T9353" t="str">
        <f>IF(C9353="","",UPPER(LEFT(SUBSTITUTE(C9353," ",""),3))&amp;"-"&amp;TEXT(B9353,"AAMMDD")&amp;"-1")</f>
        <v/>
      </c>
    </row>
    <row r="9354" spans="20:20" hidden="1">
      <c r="T9354" t="str">
        <f>IF(C9354="","",UPPER(LEFT(SUBSTITUTE(C9354," ",""),3))&amp;"-"&amp;TEXT(B9354,"AAMMDD")&amp;"-1")</f>
        <v/>
      </c>
    </row>
    <row r="9355" spans="20:20" hidden="1">
      <c r="T9355" t="str">
        <f>IF(C9355="","",UPPER(LEFT(SUBSTITUTE(C9355," ",""),3))&amp;"-"&amp;TEXT(B9355,"AAMMDD")&amp;"-1")</f>
        <v/>
      </c>
    </row>
    <row r="9356" spans="20:20" hidden="1">
      <c r="T9356" t="str">
        <f>IF(C9356="","",UPPER(LEFT(SUBSTITUTE(C9356," ",""),3))&amp;"-"&amp;TEXT(B9356,"AAMMDD")&amp;"-1")</f>
        <v/>
      </c>
    </row>
    <row r="9357" spans="20:20" hidden="1">
      <c r="T9357" t="str">
        <f>IF(C9357="","",UPPER(LEFT(SUBSTITUTE(C9357," ",""),3))&amp;"-"&amp;TEXT(B9357,"AAMMDD")&amp;"-1")</f>
        <v/>
      </c>
    </row>
    <row r="9358" spans="20:20" hidden="1">
      <c r="T9358" t="str">
        <f>IF(C9358="","",UPPER(LEFT(SUBSTITUTE(C9358," ",""),3))&amp;"-"&amp;TEXT(B9358,"AAMMDD")&amp;"-1")</f>
        <v/>
      </c>
    </row>
    <row r="9359" spans="20:20" hidden="1">
      <c r="T9359" t="str">
        <f>IF(C9359="","",UPPER(LEFT(SUBSTITUTE(C9359," ",""),3))&amp;"-"&amp;TEXT(B9359,"AAMMDD")&amp;"-1")</f>
        <v/>
      </c>
    </row>
    <row r="9360" spans="20:20" hidden="1">
      <c r="T9360" t="str">
        <f>IF(C9360="","",UPPER(LEFT(SUBSTITUTE(C9360," ",""),3))&amp;"-"&amp;TEXT(B9360,"AAMMDD")&amp;"-1")</f>
        <v/>
      </c>
    </row>
    <row r="9361" spans="20:20" hidden="1">
      <c r="T9361" t="str">
        <f>IF(C9361="","",UPPER(LEFT(SUBSTITUTE(C9361," ",""),3))&amp;"-"&amp;TEXT(B9361,"AAMMDD")&amp;"-1")</f>
        <v/>
      </c>
    </row>
    <row r="9362" spans="20:20" hidden="1">
      <c r="T9362" t="str">
        <f>IF(C9362="","",UPPER(LEFT(SUBSTITUTE(C9362," ",""),3))&amp;"-"&amp;TEXT(B9362,"AAMMDD")&amp;"-1")</f>
        <v/>
      </c>
    </row>
    <row r="9363" spans="20:20" hidden="1">
      <c r="T9363" t="str">
        <f>IF(C9363="","",UPPER(LEFT(SUBSTITUTE(C9363," ",""),3))&amp;"-"&amp;TEXT(B9363,"AAMMDD")&amp;"-1")</f>
        <v/>
      </c>
    </row>
    <row r="9364" spans="20:20" hidden="1">
      <c r="T9364" t="str">
        <f>IF(C9364="","",UPPER(LEFT(SUBSTITUTE(C9364," ",""),3))&amp;"-"&amp;TEXT(B9364,"AAMMDD")&amp;"-1")</f>
        <v/>
      </c>
    </row>
    <row r="9365" spans="20:20" hidden="1">
      <c r="T9365" t="str">
        <f>IF(C9365="","",UPPER(LEFT(SUBSTITUTE(C9365," ",""),3))&amp;"-"&amp;TEXT(B9365,"AAMMDD")&amp;"-1")</f>
        <v/>
      </c>
    </row>
    <row r="9366" spans="20:20" hidden="1">
      <c r="T9366" t="str">
        <f>IF(C9366="","",UPPER(LEFT(SUBSTITUTE(C9366," ",""),3))&amp;"-"&amp;TEXT(B9366,"AAMMDD")&amp;"-1")</f>
        <v/>
      </c>
    </row>
    <row r="9367" spans="20:20" hidden="1">
      <c r="T9367" t="str">
        <f>IF(C9367="","",UPPER(LEFT(SUBSTITUTE(C9367," ",""),3))&amp;"-"&amp;TEXT(B9367,"AAMMDD")&amp;"-1")</f>
        <v/>
      </c>
    </row>
    <row r="9368" spans="20:20" hidden="1">
      <c r="T9368" t="str">
        <f>IF(C9368="","",UPPER(LEFT(SUBSTITUTE(C9368," ",""),3))&amp;"-"&amp;TEXT(B9368,"AAMMDD")&amp;"-1")</f>
        <v/>
      </c>
    </row>
    <row r="9369" spans="20:20" hidden="1">
      <c r="T9369" t="str">
        <f>IF(C9369="","",UPPER(LEFT(SUBSTITUTE(C9369," ",""),3))&amp;"-"&amp;TEXT(B9369,"AAMMDD")&amp;"-1")</f>
        <v/>
      </c>
    </row>
    <row r="9370" spans="20:20" hidden="1">
      <c r="T9370" t="str">
        <f>IF(C9370="","",UPPER(LEFT(SUBSTITUTE(C9370," ",""),3))&amp;"-"&amp;TEXT(B9370,"AAMMDD")&amp;"-1")</f>
        <v/>
      </c>
    </row>
    <row r="9371" spans="20:20" hidden="1">
      <c r="T9371" t="str">
        <f>IF(C9371="","",UPPER(LEFT(SUBSTITUTE(C9371," ",""),3))&amp;"-"&amp;TEXT(B9371,"AAMMDD")&amp;"-1")</f>
        <v/>
      </c>
    </row>
    <row r="9372" spans="20:20" hidden="1">
      <c r="T9372" t="str">
        <f>IF(C9372="","",UPPER(LEFT(SUBSTITUTE(C9372," ",""),3))&amp;"-"&amp;TEXT(B9372,"AAMMDD")&amp;"-1")</f>
        <v/>
      </c>
    </row>
    <row r="9373" spans="20:20" hidden="1">
      <c r="T9373" t="str">
        <f>IF(C9373="","",UPPER(LEFT(SUBSTITUTE(C9373," ",""),3))&amp;"-"&amp;TEXT(B9373,"AAMMDD")&amp;"-1")</f>
        <v/>
      </c>
    </row>
    <row r="9374" spans="20:20" hidden="1">
      <c r="T9374" t="str">
        <f>IF(C9374="","",UPPER(LEFT(SUBSTITUTE(C9374," ",""),3))&amp;"-"&amp;TEXT(B9374,"AAMMDD")&amp;"-1")</f>
        <v/>
      </c>
    </row>
    <row r="9375" spans="20:20" hidden="1">
      <c r="T9375" t="str">
        <f>IF(C9375="","",UPPER(LEFT(SUBSTITUTE(C9375," ",""),3))&amp;"-"&amp;TEXT(B9375,"AAMMDD")&amp;"-1")</f>
        <v/>
      </c>
    </row>
    <row r="9376" spans="20:20" hidden="1">
      <c r="T9376" t="str">
        <f>IF(C9376="","",UPPER(LEFT(SUBSTITUTE(C9376," ",""),3))&amp;"-"&amp;TEXT(B9376,"AAMMDD")&amp;"-1")</f>
        <v/>
      </c>
    </row>
    <row r="9377" spans="20:20" hidden="1">
      <c r="T9377" t="str">
        <f>IF(C9377="","",UPPER(LEFT(SUBSTITUTE(C9377," ",""),3))&amp;"-"&amp;TEXT(B9377,"AAMMDD")&amp;"-1")</f>
        <v/>
      </c>
    </row>
    <row r="9378" spans="20:20" hidden="1">
      <c r="T9378" t="str">
        <f>IF(C9378="","",UPPER(LEFT(SUBSTITUTE(C9378," ",""),3))&amp;"-"&amp;TEXT(B9378,"AAMMDD")&amp;"-1")</f>
        <v/>
      </c>
    </row>
    <row r="9379" spans="20:20" hidden="1">
      <c r="T9379" t="str">
        <f>IF(C9379="","",UPPER(LEFT(SUBSTITUTE(C9379," ",""),3))&amp;"-"&amp;TEXT(B9379,"AAMMDD")&amp;"-1")</f>
        <v/>
      </c>
    </row>
    <row r="9380" spans="20:20" hidden="1">
      <c r="T9380" t="str">
        <f>IF(C9380="","",UPPER(LEFT(SUBSTITUTE(C9380," ",""),3))&amp;"-"&amp;TEXT(B9380,"AAMMDD")&amp;"-1")</f>
        <v/>
      </c>
    </row>
    <row r="9381" spans="20:20" hidden="1">
      <c r="T9381" t="str">
        <f>IF(C9381="","",UPPER(LEFT(SUBSTITUTE(C9381," ",""),3))&amp;"-"&amp;TEXT(B9381,"AAMMDD")&amp;"-1")</f>
        <v/>
      </c>
    </row>
    <row r="9382" spans="20:20" hidden="1">
      <c r="T9382" t="str">
        <f>IF(C9382="","",UPPER(LEFT(SUBSTITUTE(C9382," ",""),3))&amp;"-"&amp;TEXT(B9382,"AAMMDD")&amp;"-1")</f>
        <v/>
      </c>
    </row>
    <row r="9383" spans="20:20" hidden="1">
      <c r="T9383" t="str">
        <f>IF(C9383="","",UPPER(LEFT(SUBSTITUTE(C9383," ",""),3))&amp;"-"&amp;TEXT(B9383,"AAMMDD")&amp;"-1")</f>
        <v/>
      </c>
    </row>
    <row r="9384" spans="20:20" hidden="1">
      <c r="T9384" t="str">
        <f>IF(C9384="","",UPPER(LEFT(SUBSTITUTE(C9384," ",""),3))&amp;"-"&amp;TEXT(B9384,"AAMMDD")&amp;"-1")</f>
        <v/>
      </c>
    </row>
    <row r="9385" spans="20:20" hidden="1">
      <c r="T9385" t="str">
        <f>IF(C9385="","",UPPER(LEFT(SUBSTITUTE(C9385," ",""),3))&amp;"-"&amp;TEXT(B9385,"AAMMDD")&amp;"-1")</f>
        <v/>
      </c>
    </row>
    <row r="9386" spans="20:20" hidden="1">
      <c r="T9386" t="str">
        <f>IF(C9386="","",UPPER(LEFT(SUBSTITUTE(C9386," ",""),3))&amp;"-"&amp;TEXT(B9386,"AAMMDD")&amp;"-1")</f>
        <v/>
      </c>
    </row>
    <row r="9387" spans="20:20" hidden="1">
      <c r="T9387" t="str">
        <f>IF(C9387="","",UPPER(LEFT(SUBSTITUTE(C9387," ",""),3))&amp;"-"&amp;TEXT(B9387,"AAMMDD")&amp;"-1")</f>
        <v/>
      </c>
    </row>
    <row r="9388" spans="20:20" hidden="1">
      <c r="T9388" t="str">
        <f>IF(C9388="","",UPPER(LEFT(SUBSTITUTE(C9388," ",""),3))&amp;"-"&amp;TEXT(B9388,"AAMMDD")&amp;"-1")</f>
        <v/>
      </c>
    </row>
    <row r="9389" spans="20:20" hidden="1">
      <c r="T9389" t="str">
        <f>IF(C9389="","",UPPER(LEFT(SUBSTITUTE(C9389," ",""),3))&amp;"-"&amp;TEXT(B9389,"AAMMDD")&amp;"-1")</f>
        <v/>
      </c>
    </row>
    <row r="9390" spans="20:20" hidden="1">
      <c r="T9390" t="str">
        <f>IF(C9390="","",UPPER(LEFT(SUBSTITUTE(C9390," ",""),3))&amp;"-"&amp;TEXT(B9390,"AAMMDD")&amp;"-1")</f>
        <v/>
      </c>
    </row>
    <row r="9391" spans="20:20" hidden="1">
      <c r="T9391" t="str">
        <f>IF(C9391="","",UPPER(LEFT(SUBSTITUTE(C9391," ",""),3))&amp;"-"&amp;TEXT(B9391,"AAMMDD")&amp;"-1")</f>
        <v/>
      </c>
    </row>
    <row r="9392" spans="20:20" hidden="1">
      <c r="T9392" t="str">
        <f>IF(C9392="","",UPPER(LEFT(SUBSTITUTE(C9392," ",""),3))&amp;"-"&amp;TEXT(B9392,"AAMMDD")&amp;"-1")</f>
        <v/>
      </c>
    </row>
    <row r="9393" spans="20:20" hidden="1">
      <c r="T9393" t="str">
        <f>IF(C9393="","",UPPER(LEFT(SUBSTITUTE(C9393," ",""),3))&amp;"-"&amp;TEXT(B9393,"AAMMDD")&amp;"-1")</f>
        <v/>
      </c>
    </row>
    <row r="9394" spans="20:20" hidden="1">
      <c r="T9394" t="str">
        <f>IF(C9394="","",UPPER(LEFT(SUBSTITUTE(C9394," ",""),3))&amp;"-"&amp;TEXT(B9394,"AAMMDD")&amp;"-1")</f>
        <v/>
      </c>
    </row>
    <row r="9395" spans="20:20" hidden="1">
      <c r="T9395" t="str">
        <f>IF(C9395="","",UPPER(LEFT(SUBSTITUTE(C9395," ",""),3))&amp;"-"&amp;TEXT(B9395,"AAMMDD")&amp;"-1")</f>
        <v/>
      </c>
    </row>
    <row r="9396" spans="20:20" hidden="1">
      <c r="T9396" t="str">
        <f>IF(C9396="","",UPPER(LEFT(SUBSTITUTE(C9396," ",""),3))&amp;"-"&amp;TEXT(B9396,"AAMMDD")&amp;"-1")</f>
        <v/>
      </c>
    </row>
    <row r="9397" spans="20:20" hidden="1">
      <c r="T9397" t="str">
        <f>IF(C9397="","",UPPER(LEFT(SUBSTITUTE(C9397," ",""),3))&amp;"-"&amp;TEXT(B9397,"AAMMDD")&amp;"-1")</f>
        <v/>
      </c>
    </row>
    <row r="9398" spans="20:20" hidden="1">
      <c r="T9398" t="str">
        <f>IF(C9398="","",UPPER(LEFT(SUBSTITUTE(C9398," ",""),3))&amp;"-"&amp;TEXT(B9398,"AAMMDD")&amp;"-1")</f>
        <v/>
      </c>
    </row>
    <row r="9399" spans="20:20" hidden="1">
      <c r="T9399" t="str">
        <f>IF(C9399="","",UPPER(LEFT(SUBSTITUTE(C9399," ",""),3))&amp;"-"&amp;TEXT(B9399,"AAMMDD")&amp;"-1")</f>
        <v/>
      </c>
    </row>
    <row r="9400" spans="20:20" hidden="1">
      <c r="T9400" t="str">
        <f>IF(C9400="","",UPPER(LEFT(SUBSTITUTE(C9400," ",""),3))&amp;"-"&amp;TEXT(B9400,"AAMMDD")&amp;"-1")</f>
        <v/>
      </c>
    </row>
    <row r="9401" spans="20:20" hidden="1">
      <c r="T9401" t="str">
        <f>IF(C9401="","",UPPER(LEFT(SUBSTITUTE(C9401," ",""),3))&amp;"-"&amp;TEXT(B9401,"AAMMDD")&amp;"-1")</f>
        <v/>
      </c>
    </row>
    <row r="9402" spans="20:20" hidden="1">
      <c r="T9402" t="str">
        <f>IF(C9402="","",UPPER(LEFT(SUBSTITUTE(C9402," ",""),3))&amp;"-"&amp;TEXT(B9402,"AAMMDD")&amp;"-1")</f>
        <v/>
      </c>
    </row>
    <row r="9403" spans="20:20" hidden="1">
      <c r="T9403" t="str">
        <f>IF(C9403="","",UPPER(LEFT(SUBSTITUTE(C9403," ",""),3))&amp;"-"&amp;TEXT(B9403,"AAMMDD")&amp;"-1")</f>
        <v/>
      </c>
    </row>
    <row r="9404" spans="20:20" hidden="1">
      <c r="T9404" t="str">
        <f>IF(C9404="","",UPPER(LEFT(SUBSTITUTE(C9404," ",""),3))&amp;"-"&amp;TEXT(B9404,"AAMMDD")&amp;"-1")</f>
        <v/>
      </c>
    </row>
    <row r="9405" spans="20:20" hidden="1">
      <c r="T9405" t="str">
        <f>IF(C9405="","",UPPER(LEFT(SUBSTITUTE(C9405," ",""),3))&amp;"-"&amp;TEXT(B9405,"AAMMDD")&amp;"-1")</f>
        <v/>
      </c>
    </row>
    <row r="9406" spans="20:20" hidden="1">
      <c r="T9406" t="str">
        <f>IF(C9406="","",UPPER(LEFT(SUBSTITUTE(C9406," ",""),3))&amp;"-"&amp;TEXT(B9406,"AAMMDD")&amp;"-1")</f>
        <v/>
      </c>
    </row>
    <row r="9407" spans="20:20" hidden="1">
      <c r="T9407" t="str">
        <f>IF(C9407="","",UPPER(LEFT(SUBSTITUTE(C9407," ",""),3))&amp;"-"&amp;TEXT(B9407,"AAMMDD")&amp;"-1")</f>
        <v/>
      </c>
    </row>
    <row r="9408" spans="20:20" hidden="1">
      <c r="T9408" t="str">
        <f>IF(C9408="","",UPPER(LEFT(SUBSTITUTE(C9408," ",""),3))&amp;"-"&amp;TEXT(B9408,"AAMMDD")&amp;"-1")</f>
        <v/>
      </c>
    </row>
    <row r="9409" spans="20:20" hidden="1">
      <c r="T9409" t="str">
        <f>IF(C9409="","",UPPER(LEFT(SUBSTITUTE(C9409," ",""),3))&amp;"-"&amp;TEXT(B9409,"AAMMDD")&amp;"-1")</f>
        <v/>
      </c>
    </row>
    <row r="9410" spans="20:20" hidden="1">
      <c r="T9410" t="str">
        <f>IF(C9410="","",UPPER(LEFT(SUBSTITUTE(C9410," ",""),3))&amp;"-"&amp;TEXT(B9410,"AAMMDD")&amp;"-1")</f>
        <v/>
      </c>
    </row>
    <row r="9411" spans="20:20" hidden="1">
      <c r="T9411" t="str">
        <f>IF(C9411="","",UPPER(LEFT(SUBSTITUTE(C9411," ",""),3))&amp;"-"&amp;TEXT(B9411,"AAMMDD")&amp;"-1")</f>
        <v/>
      </c>
    </row>
    <row r="9412" spans="20:20" hidden="1">
      <c r="T9412" t="str">
        <f>IF(C9412="","",UPPER(LEFT(SUBSTITUTE(C9412," ",""),3))&amp;"-"&amp;TEXT(B9412,"AAMMDD")&amp;"-1")</f>
        <v/>
      </c>
    </row>
    <row r="9413" spans="20:20" hidden="1">
      <c r="T9413" t="str">
        <f>IF(C9413="","",UPPER(LEFT(SUBSTITUTE(C9413," ",""),3))&amp;"-"&amp;TEXT(B9413,"AAMMDD")&amp;"-1")</f>
        <v/>
      </c>
    </row>
    <row r="9414" spans="20:20" hidden="1">
      <c r="T9414" t="str">
        <f>IF(C9414="","",UPPER(LEFT(SUBSTITUTE(C9414," ",""),3))&amp;"-"&amp;TEXT(B9414,"AAMMDD")&amp;"-1")</f>
        <v/>
      </c>
    </row>
    <row r="9415" spans="20:20" hidden="1">
      <c r="T9415" t="str">
        <f>IF(C9415="","",UPPER(LEFT(SUBSTITUTE(C9415," ",""),3))&amp;"-"&amp;TEXT(B9415,"AAMMDD")&amp;"-1")</f>
        <v/>
      </c>
    </row>
    <row r="9416" spans="20:20" hidden="1">
      <c r="T9416" t="str">
        <f>IF(C9416="","",UPPER(LEFT(SUBSTITUTE(C9416," ",""),3))&amp;"-"&amp;TEXT(B9416,"AAMMDD")&amp;"-1")</f>
        <v/>
      </c>
    </row>
    <row r="9417" spans="20:20" hidden="1">
      <c r="T9417" t="str">
        <f>IF(C9417="","",UPPER(LEFT(SUBSTITUTE(C9417," ",""),3))&amp;"-"&amp;TEXT(B9417,"AAMMDD")&amp;"-1")</f>
        <v/>
      </c>
    </row>
    <row r="9418" spans="20:20" hidden="1">
      <c r="T9418" t="str">
        <f>IF(C9418="","",UPPER(LEFT(SUBSTITUTE(C9418," ",""),3))&amp;"-"&amp;TEXT(B9418,"AAMMDD")&amp;"-1")</f>
        <v/>
      </c>
    </row>
    <row r="9419" spans="20:20" hidden="1">
      <c r="T9419" t="str">
        <f>IF(C9419="","",UPPER(LEFT(SUBSTITUTE(C9419," ",""),3))&amp;"-"&amp;TEXT(B9419,"AAMMDD")&amp;"-1")</f>
        <v/>
      </c>
    </row>
    <row r="9420" spans="20:20" hidden="1">
      <c r="T9420" t="str">
        <f>IF(C9420="","",UPPER(LEFT(SUBSTITUTE(C9420," ",""),3))&amp;"-"&amp;TEXT(B9420,"AAMMDD")&amp;"-1")</f>
        <v/>
      </c>
    </row>
    <row r="9421" spans="20:20" hidden="1">
      <c r="T9421" t="str">
        <f>IF(C9421="","",UPPER(LEFT(SUBSTITUTE(C9421," ",""),3))&amp;"-"&amp;TEXT(B9421,"AAMMDD")&amp;"-1")</f>
        <v/>
      </c>
    </row>
    <row r="9422" spans="20:20" hidden="1">
      <c r="T9422" t="str">
        <f>IF(C9422="","",UPPER(LEFT(SUBSTITUTE(C9422," ",""),3))&amp;"-"&amp;TEXT(B9422,"AAMMDD")&amp;"-1")</f>
        <v/>
      </c>
    </row>
    <row r="9423" spans="20:20" hidden="1">
      <c r="T9423" t="str">
        <f>IF(C9423="","",UPPER(LEFT(SUBSTITUTE(C9423," ",""),3))&amp;"-"&amp;TEXT(B9423,"AAMMDD")&amp;"-1")</f>
        <v/>
      </c>
    </row>
    <row r="9424" spans="20:20" hidden="1">
      <c r="T9424" t="str">
        <f>IF(C9424="","",UPPER(LEFT(SUBSTITUTE(C9424," ",""),3))&amp;"-"&amp;TEXT(B9424,"AAMMDD")&amp;"-1")</f>
        <v/>
      </c>
    </row>
    <row r="9425" spans="20:20" hidden="1">
      <c r="T9425" t="str">
        <f>IF(C9425="","",UPPER(LEFT(SUBSTITUTE(C9425," ",""),3))&amp;"-"&amp;TEXT(B9425,"AAMMDD")&amp;"-1")</f>
        <v/>
      </c>
    </row>
    <row r="9426" spans="20:20" hidden="1">
      <c r="T9426" t="str">
        <f>IF(C9426="","",UPPER(LEFT(SUBSTITUTE(C9426," ",""),3))&amp;"-"&amp;TEXT(B9426,"AAMMDD")&amp;"-1")</f>
        <v/>
      </c>
    </row>
    <row r="9427" spans="20:20" hidden="1">
      <c r="T9427" t="str">
        <f>IF(C9427="","",UPPER(LEFT(SUBSTITUTE(C9427," ",""),3))&amp;"-"&amp;TEXT(B9427,"AAMMDD")&amp;"-1")</f>
        <v/>
      </c>
    </row>
    <row r="9428" spans="20:20" hidden="1">
      <c r="T9428" t="str">
        <f>IF(C9428="","",UPPER(LEFT(SUBSTITUTE(C9428," ",""),3))&amp;"-"&amp;TEXT(B9428,"AAMMDD")&amp;"-1")</f>
        <v/>
      </c>
    </row>
    <row r="9429" spans="20:20" hidden="1">
      <c r="T9429" t="str">
        <f>IF(C9429="","",UPPER(LEFT(SUBSTITUTE(C9429," ",""),3))&amp;"-"&amp;TEXT(B9429,"AAMMDD")&amp;"-1")</f>
        <v/>
      </c>
    </row>
    <row r="9430" spans="20:20" hidden="1">
      <c r="T9430" t="str">
        <f>IF(C9430="","",UPPER(LEFT(SUBSTITUTE(C9430," ",""),3))&amp;"-"&amp;TEXT(B9430,"AAMMDD")&amp;"-1")</f>
        <v/>
      </c>
    </row>
    <row r="9431" spans="20:20" hidden="1">
      <c r="T9431" t="str">
        <f>IF(C9431="","",UPPER(LEFT(SUBSTITUTE(C9431," ",""),3))&amp;"-"&amp;TEXT(B9431,"AAMMDD")&amp;"-1")</f>
        <v/>
      </c>
    </row>
    <row r="9432" spans="20:20" hidden="1">
      <c r="T9432" t="str">
        <f>IF(C9432="","",UPPER(LEFT(SUBSTITUTE(C9432," ",""),3))&amp;"-"&amp;TEXT(B9432,"AAMMDD")&amp;"-1")</f>
        <v/>
      </c>
    </row>
    <row r="9433" spans="20:20" hidden="1">
      <c r="T9433" t="str">
        <f>IF(C9433="","",UPPER(LEFT(SUBSTITUTE(C9433," ",""),3))&amp;"-"&amp;TEXT(B9433,"AAMMDD")&amp;"-1")</f>
        <v/>
      </c>
    </row>
    <row r="9434" spans="20:20" hidden="1">
      <c r="T9434" t="str">
        <f>IF(C9434="","",UPPER(LEFT(SUBSTITUTE(C9434," ",""),3))&amp;"-"&amp;TEXT(B9434,"AAMMDD")&amp;"-1")</f>
        <v/>
      </c>
    </row>
    <row r="9435" spans="20:20" hidden="1">
      <c r="T9435" t="str">
        <f>IF(C9435="","",UPPER(LEFT(SUBSTITUTE(C9435," ",""),3))&amp;"-"&amp;TEXT(B9435,"AAMMDD")&amp;"-1")</f>
        <v/>
      </c>
    </row>
    <row r="9436" spans="20:20" hidden="1">
      <c r="T9436" t="str">
        <f>IF(C9436="","",UPPER(LEFT(SUBSTITUTE(C9436," ",""),3))&amp;"-"&amp;TEXT(B9436,"AAMMDD")&amp;"-1")</f>
        <v/>
      </c>
    </row>
    <row r="9437" spans="20:20" hidden="1">
      <c r="T9437" t="str">
        <f>IF(C9437="","",UPPER(LEFT(SUBSTITUTE(C9437," ",""),3))&amp;"-"&amp;TEXT(B9437,"AAMMDD")&amp;"-1")</f>
        <v/>
      </c>
    </row>
    <row r="9438" spans="20:20" hidden="1">
      <c r="T9438" t="str">
        <f>IF(C9438="","",UPPER(LEFT(SUBSTITUTE(C9438," ",""),3))&amp;"-"&amp;TEXT(B9438,"AAMMDD")&amp;"-1")</f>
        <v/>
      </c>
    </row>
    <row r="9439" spans="20:20" hidden="1">
      <c r="T9439" t="str">
        <f>IF(C9439="","",UPPER(LEFT(SUBSTITUTE(C9439," ",""),3))&amp;"-"&amp;TEXT(B9439,"AAMMDD")&amp;"-1")</f>
        <v/>
      </c>
    </row>
    <row r="9440" spans="20:20" hidden="1">
      <c r="T9440" t="str">
        <f>IF(C9440="","",UPPER(LEFT(SUBSTITUTE(C9440," ",""),3))&amp;"-"&amp;TEXT(B9440,"AAMMDD")&amp;"-1")</f>
        <v/>
      </c>
    </row>
    <row r="9441" spans="20:20" hidden="1">
      <c r="T9441" t="str">
        <f>IF(C9441="","",UPPER(LEFT(SUBSTITUTE(C9441," ",""),3))&amp;"-"&amp;TEXT(B9441,"AAMMDD")&amp;"-1")</f>
        <v/>
      </c>
    </row>
    <row r="9442" spans="20:20" hidden="1">
      <c r="T9442" t="str">
        <f>IF(C9442="","",UPPER(LEFT(SUBSTITUTE(C9442," ",""),3))&amp;"-"&amp;TEXT(B9442,"AAMMDD")&amp;"-1")</f>
        <v/>
      </c>
    </row>
    <row r="9443" spans="20:20" hidden="1">
      <c r="T9443" t="str">
        <f>IF(C9443="","",UPPER(LEFT(SUBSTITUTE(C9443," ",""),3))&amp;"-"&amp;TEXT(B9443,"AAMMDD")&amp;"-1")</f>
        <v/>
      </c>
    </row>
    <row r="9444" spans="20:20" hidden="1">
      <c r="T9444" t="str">
        <f>IF(C9444="","",UPPER(LEFT(SUBSTITUTE(C9444," ",""),3))&amp;"-"&amp;TEXT(B9444,"AAMMDD")&amp;"-1")</f>
        <v/>
      </c>
    </row>
    <row r="9445" spans="20:20" hidden="1">
      <c r="T9445" t="str">
        <f>IF(C9445="","",UPPER(LEFT(SUBSTITUTE(C9445," ",""),3))&amp;"-"&amp;TEXT(B9445,"AAMMDD")&amp;"-1")</f>
        <v/>
      </c>
    </row>
    <row r="9446" spans="20:20" hidden="1">
      <c r="T9446" t="str">
        <f>IF(C9446="","",UPPER(LEFT(SUBSTITUTE(C9446," ",""),3))&amp;"-"&amp;TEXT(B9446,"AAMMDD")&amp;"-1")</f>
        <v/>
      </c>
    </row>
    <row r="9447" spans="20:20" hidden="1">
      <c r="T9447" t="str">
        <f>IF(C9447="","",UPPER(LEFT(SUBSTITUTE(C9447," ",""),3))&amp;"-"&amp;TEXT(B9447,"AAMMDD")&amp;"-1")</f>
        <v/>
      </c>
    </row>
    <row r="9448" spans="20:20" hidden="1">
      <c r="T9448" t="str">
        <f>IF(C9448="","",UPPER(LEFT(SUBSTITUTE(C9448," ",""),3))&amp;"-"&amp;TEXT(B9448,"AAMMDD")&amp;"-1")</f>
        <v/>
      </c>
    </row>
    <row r="9449" spans="20:20" hidden="1">
      <c r="T9449" t="str">
        <f>IF(C9449="","",UPPER(LEFT(SUBSTITUTE(C9449," ",""),3))&amp;"-"&amp;TEXT(B9449,"AAMMDD")&amp;"-1")</f>
        <v/>
      </c>
    </row>
    <row r="9450" spans="20:20" hidden="1">
      <c r="T9450" t="str">
        <f>IF(C9450="","",UPPER(LEFT(SUBSTITUTE(C9450," ",""),3))&amp;"-"&amp;TEXT(B9450,"AAMMDD")&amp;"-1")</f>
        <v/>
      </c>
    </row>
    <row r="9451" spans="20:20" hidden="1">
      <c r="T9451" t="str">
        <f>IF(C9451="","",UPPER(LEFT(SUBSTITUTE(C9451," ",""),3))&amp;"-"&amp;TEXT(B9451,"AAMMDD")&amp;"-1")</f>
        <v/>
      </c>
    </row>
    <row r="9452" spans="20:20" hidden="1">
      <c r="T9452" t="str">
        <f>IF(C9452="","",UPPER(LEFT(SUBSTITUTE(C9452," ",""),3))&amp;"-"&amp;TEXT(B9452,"AAMMDD")&amp;"-1")</f>
        <v/>
      </c>
    </row>
    <row r="9453" spans="20:20" hidden="1">
      <c r="T9453" t="str">
        <f>IF(C9453="","",UPPER(LEFT(SUBSTITUTE(C9453," ",""),3))&amp;"-"&amp;TEXT(B9453,"AAMMDD")&amp;"-1")</f>
        <v/>
      </c>
    </row>
    <row r="9454" spans="20:20" hidden="1">
      <c r="T9454" t="str">
        <f>IF(C9454="","",UPPER(LEFT(SUBSTITUTE(C9454," ",""),3))&amp;"-"&amp;TEXT(B9454,"AAMMDD")&amp;"-1")</f>
        <v/>
      </c>
    </row>
    <row r="9455" spans="20:20" hidden="1">
      <c r="T9455" t="str">
        <f>IF(C9455="","",UPPER(LEFT(SUBSTITUTE(C9455," ",""),3))&amp;"-"&amp;TEXT(B9455,"AAMMDD")&amp;"-1")</f>
        <v/>
      </c>
    </row>
    <row r="9456" spans="20:20" hidden="1">
      <c r="T9456" t="str">
        <f>IF(C9456="","",UPPER(LEFT(SUBSTITUTE(C9456," ",""),3))&amp;"-"&amp;TEXT(B9456,"AAMMDD")&amp;"-1")</f>
        <v/>
      </c>
    </row>
    <row r="9457" spans="20:20" hidden="1">
      <c r="T9457" t="str">
        <f>IF(C9457="","",UPPER(LEFT(SUBSTITUTE(C9457," ",""),3))&amp;"-"&amp;TEXT(B9457,"AAMMDD")&amp;"-1")</f>
        <v/>
      </c>
    </row>
    <row r="9458" spans="20:20" hidden="1">
      <c r="T9458" t="str">
        <f>IF(C9458="","",UPPER(LEFT(SUBSTITUTE(C9458," ",""),3))&amp;"-"&amp;TEXT(B9458,"AAMMDD")&amp;"-1")</f>
        <v/>
      </c>
    </row>
    <row r="9459" spans="20:20" hidden="1">
      <c r="T9459" t="str">
        <f>IF(C9459="","",UPPER(LEFT(SUBSTITUTE(C9459," ",""),3))&amp;"-"&amp;TEXT(B9459,"AAMMDD")&amp;"-1")</f>
        <v/>
      </c>
    </row>
    <row r="9460" spans="20:20" hidden="1">
      <c r="T9460" t="str">
        <f>IF(C9460="","",UPPER(LEFT(SUBSTITUTE(C9460," ",""),3))&amp;"-"&amp;TEXT(B9460,"AAMMDD")&amp;"-1")</f>
        <v/>
      </c>
    </row>
    <row r="9461" spans="20:20" hidden="1">
      <c r="T9461" t="str">
        <f>IF(C9461="","",UPPER(LEFT(SUBSTITUTE(C9461," ",""),3))&amp;"-"&amp;TEXT(B9461,"AAMMDD")&amp;"-1")</f>
        <v/>
      </c>
    </row>
    <row r="9462" spans="20:20" hidden="1">
      <c r="T9462" t="str">
        <f>IF(C9462="","",UPPER(LEFT(SUBSTITUTE(C9462," ",""),3))&amp;"-"&amp;TEXT(B9462,"AAMMDD")&amp;"-1")</f>
        <v/>
      </c>
    </row>
    <row r="9463" spans="20:20" hidden="1">
      <c r="T9463" t="str">
        <f>IF(C9463="","",UPPER(LEFT(SUBSTITUTE(C9463," ",""),3))&amp;"-"&amp;TEXT(B9463,"AAMMDD")&amp;"-1")</f>
        <v/>
      </c>
    </row>
    <row r="9464" spans="20:20" hidden="1">
      <c r="T9464" t="str">
        <f>IF(C9464="","",UPPER(LEFT(SUBSTITUTE(C9464," ",""),3))&amp;"-"&amp;TEXT(B9464,"AAMMDD")&amp;"-1")</f>
        <v/>
      </c>
    </row>
    <row r="9465" spans="20:20" hidden="1">
      <c r="T9465" t="str">
        <f>IF(C9465="","",UPPER(LEFT(SUBSTITUTE(C9465," ",""),3))&amp;"-"&amp;TEXT(B9465,"AAMMDD")&amp;"-1")</f>
        <v/>
      </c>
    </row>
    <row r="9466" spans="20:20" hidden="1">
      <c r="T9466" t="str">
        <f>IF(C9466="","",UPPER(LEFT(SUBSTITUTE(C9466," ",""),3))&amp;"-"&amp;TEXT(B9466,"AAMMDD")&amp;"-1")</f>
        <v/>
      </c>
    </row>
    <row r="9467" spans="20:20" hidden="1">
      <c r="T9467" t="str">
        <f>IF(C9467="","",UPPER(LEFT(SUBSTITUTE(C9467," ",""),3))&amp;"-"&amp;TEXT(B9467,"AAMMDD")&amp;"-1")</f>
        <v/>
      </c>
    </row>
    <row r="9468" spans="20:20" hidden="1">
      <c r="T9468" t="str">
        <f>IF(C9468="","",UPPER(LEFT(SUBSTITUTE(C9468," ",""),3))&amp;"-"&amp;TEXT(B9468,"AAMMDD")&amp;"-1")</f>
        <v/>
      </c>
    </row>
    <row r="9469" spans="20:20" hidden="1">
      <c r="T9469" t="str">
        <f>IF(C9469="","",UPPER(LEFT(SUBSTITUTE(C9469," ",""),3))&amp;"-"&amp;TEXT(B9469,"AAMMDD")&amp;"-1")</f>
        <v/>
      </c>
    </row>
    <row r="9470" spans="20:20" hidden="1">
      <c r="T9470" t="str">
        <f>IF(C9470="","",UPPER(LEFT(SUBSTITUTE(C9470," ",""),3))&amp;"-"&amp;TEXT(B9470,"AAMMDD")&amp;"-1")</f>
        <v/>
      </c>
    </row>
    <row r="9471" spans="20:20" hidden="1">
      <c r="T9471" t="str">
        <f>IF(C9471="","",UPPER(LEFT(SUBSTITUTE(C9471," ",""),3))&amp;"-"&amp;TEXT(B9471,"AAMMDD")&amp;"-1")</f>
        <v/>
      </c>
    </row>
    <row r="9472" spans="20:20" hidden="1">
      <c r="T9472" t="str">
        <f>IF(C9472="","",UPPER(LEFT(SUBSTITUTE(C9472," ",""),3))&amp;"-"&amp;TEXT(B9472,"AAMMDD")&amp;"-1")</f>
        <v/>
      </c>
    </row>
    <row r="9473" spans="20:20" hidden="1">
      <c r="T9473" t="str">
        <f>IF(C9473="","",UPPER(LEFT(SUBSTITUTE(C9473," ",""),3))&amp;"-"&amp;TEXT(B9473,"AAMMDD")&amp;"-1")</f>
        <v/>
      </c>
    </row>
    <row r="9474" spans="20:20" hidden="1">
      <c r="T9474" t="str">
        <f>IF(C9474="","",UPPER(LEFT(SUBSTITUTE(C9474," ",""),3))&amp;"-"&amp;TEXT(B9474,"AAMMDD")&amp;"-1")</f>
        <v/>
      </c>
    </row>
    <row r="9475" spans="20:20" hidden="1">
      <c r="T9475" t="str">
        <f>IF(C9475="","",UPPER(LEFT(SUBSTITUTE(C9475," ",""),3))&amp;"-"&amp;TEXT(B9475,"AAMMDD")&amp;"-1")</f>
        <v/>
      </c>
    </row>
    <row r="9476" spans="20:20" hidden="1">
      <c r="T9476" t="str">
        <f>IF(C9476="","",UPPER(LEFT(SUBSTITUTE(C9476," ",""),3))&amp;"-"&amp;TEXT(B9476,"AAMMDD")&amp;"-1")</f>
        <v/>
      </c>
    </row>
    <row r="9477" spans="20:20" hidden="1">
      <c r="T9477" t="str">
        <f>IF(C9477="","",UPPER(LEFT(SUBSTITUTE(C9477," ",""),3))&amp;"-"&amp;TEXT(B9477,"AAMMDD")&amp;"-1")</f>
        <v/>
      </c>
    </row>
    <row r="9478" spans="20:20" hidden="1">
      <c r="T9478" t="str">
        <f>IF(C9478="","",UPPER(LEFT(SUBSTITUTE(C9478," ",""),3))&amp;"-"&amp;TEXT(B9478,"AAMMDD")&amp;"-1")</f>
        <v/>
      </c>
    </row>
    <row r="9479" spans="20:20" hidden="1">
      <c r="T9479" t="str">
        <f>IF(C9479="","",UPPER(LEFT(SUBSTITUTE(C9479," ",""),3))&amp;"-"&amp;TEXT(B9479,"AAMMDD")&amp;"-1")</f>
        <v/>
      </c>
    </row>
    <row r="9480" spans="20:20" hidden="1">
      <c r="T9480" t="str">
        <f>IF(C9480="","",UPPER(LEFT(SUBSTITUTE(C9480," ",""),3))&amp;"-"&amp;TEXT(B9480,"AAMMDD")&amp;"-1")</f>
        <v/>
      </c>
    </row>
    <row r="9481" spans="20:20" hidden="1">
      <c r="T9481" t="str">
        <f>IF(C9481="","",UPPER(LEFT(SUBSTITUTE(C9481," ",""),3))&amp;"-"&amp;TEXT(B9481,"AAMMDD")&amp;"-1")</f>
        <v/>
      </c>
    </row>
    <row r="9482" spans="20:20" hidden="1">
      <c r="T9482" t="str">
        <f>IF(C9482="","",UPPER(LEFT(SUBSTITUTE(C9482," ",""),3))&amp;"-"&amp;TEXT(B9482,"AAMMDD")&amp;"-1")</f>
        <v/>
      </c>
    </row>
    <row r="9483" spans="20:20" hidden="1">
      <c r="T9483" t="str">
        <f>IF(C9483="","",UPPER(LEFT(SUBSTITUTE(C9483," ",""),3))&amp;"-"&amp;TEXT(B9483,"AAMMDD")&amp;"-1")</f>
        <v/>
      </c>
    </row>
    <row r="9484" spans="20:20" hidden="1">
      <c r="T9484" t="str">
        <f>IF(C9484="","",UPPER(LEFT(SUBSTITUTE(C9484," ",""),3))&amp;"-"&amp;TEXT(B9484,"AAMMDD")&amp;"-1")</f>
        <v/>
      </c>
    </row>
    <row r="9485" spans="20:20" hidden="1">
      <c r="T9485" t="str">
        <f>IF(C9485="","",UPPER(LEFT(SUBSTITUTE(C9485," ",""),3))&amp;"-"&amp;TEXT(B9485,"AAMMDD")&amp;"-1")</f>
        <v/>
      </c>
    </row>
    <row r="9486" spans="20:20" hidden="1">
      <c r="T9486" t="str">
        <f>IF(C9486="","",UPPER(LEFT(SUBSTITUTE(C9486," ",""),3))&amp;"-"&amp;TEXT(B9486,"AAMMDD")&amp;"-1")</f>
        <v/>
      </c>
    </row>
    <row r="9487" spans="20:20" hidden="1">
      <c r="T9487" t="str">
        <f>IF(C9487="","",UPPER(LEFT(SUBSTITUTE(C9487," ",""),3))&amp;"-"&amp;TEXT(B9487,"AAMMDD")&amp;"-1")</f>
        <v/>
      </c>
    </row>
    <row r="9488" spans="20:20" hidden="1">
      <c r="T9488" t="str">
        <f>IF(C9488="","",UPPER(LEFT(SUBSTITUTE(C9488," ",""),3))&amp;"-"&amp;TEXT(B9488,"AAMMDD")&amp;"-1")</f>
        <v/>
      </c>
    </row>
    <row r="9489" spans="20:20" hidden="1">
      <c r="T9489" t="str">
        <f>IF(C9489="","",UPPER(LEFT(SUBSTITUTE(C9489," ",""),3))&amp;"-"&amp;TEXT(B9489,"AAMMDD")&amp;"-1")</f>
        <v/>
      </c>
    </row>
    <row r="9490" spans="20:20" hidden="1">
      <c r="T9490" t="str">
        <f>IF(C9490="","",UPPER(LEFT(SUBSTITUTE(C9490," ",""),3))&amp;"-"&amp;TEXT(B9490,"AAMMDD")&amp;"-1")</f>
        <v/>
      </c>
    </row>
    <row r="9491" spans="20:20" hidden="1">
      <c r="T9491" t="str">
        <f>IF(C9491="","",UPPER(LEFT(SUBSTITUTE(C9491," ",""),3))&amp;"-"&amp;TEXT(B9491,"AAMMDD")&amp;"-1")</f>
        <v/>
      </c>
    </row>
    <row r="9492" spans="20:20" hidden="1">
      <c r="T9492" t="str">
        <f>IF(C9492="","",UPPER(LEFT(SUBSTITUTE(C9492," ",""),3))&amp;"-"&amp;TEXT(B9492,"AAMMDD")&amp;"-1")</f>
        <v/>
      </c>
    </row>
    <row r="9493" spans="20:20" hidden="1">
      <c r="T9493" t="str">
        <f>IF(C9493="","",UPPER(LEFT(SUBSTITUTE(C9493," ",""),3))&amp;"-"&amp;TEXT(B9493,"AAMMDD")&amp;"-1")</f>
        <v/>
      </c>
    </row>
    <row r="9494" spans="20:20" hidden="1">
      <c r="T9494" t="str">
        <f>IF(C9494="","",UPPER(LEFT(SUBSTITUTE(C9494," ",""),3))&amp;"-"&amp;TEXT(B9494,"AAMMDD")&amp;"-1")</f>
        <v/>
      </c>
    </row>
    <row r="9495" spans="20:20" hidden="1">
      <c r="T9495" t="str">
        <f>IF(C9495="","",UPPER(LEFT(SUBSTITUTE(C9495," ",""),3))&amp;"-"&amp;TEXT(B9495,"AAMMDD")&amp;"-1")</f>
        <v/>
      </c>
    </row>
    <row r="9496" spans="20:20" hidden="1">
      <c r="T9496" t="str">
        <f>IF(C9496="","",UPPER(LEFT(SUBSTITUTE(C9496," ",""),3))&amp;"-"&amp;TEXT(B9496,"AAMMDD")&amp;"-1")</f>
        <v/>
      </c>
    </row>
    <row r="9497" spans="20:20" hidden="1">
      <c r="T9497" t="str">
        <f>IF(C9497="","",UPPER(LEFT(SUBSTITUTE(C9497," ",""),3))&amp;"-"&amp;TEXT(B9497,"AAMMDD")&amp;"-1")</f>
        <v/>
      </c>
    </row>
    <row r="9498" spans="20:20" hidden="1">
      <c r="T9498" t="str">
        <f>IF(C9498="","",UPPER(LEFT(SUBSTITUTE(C9498," ",""),3))&amp;"-"&amp;TEXT(B9498,"AAMMDD")&amp;"-1")</f>
        <v/>
      </c>
    </row>
    <row r="9499" spans="20:20" hidden="1">
      <c r="T9499" t="str">
        <f>IF(C9499="","",UPPER(LEFT(SUBSTITUTE(C9499," ",""),3))&amp;"-"&amp;TEXT(B9499,"AAMMDD")&amp;"-1")</f>
        <v/>
      </c>
    </row>
    <row r="9500" spans="20:20" hidden="1">
      <c r="T9500" t="str">
        <f>IF(C9500="","",UPPER(LEFT(SUBSTITUTE(C9500," ",""),3))&amp;"-"&amp;TEXT(B9500,"AAMMDD")&amp;"-1")</f>
        <v/>
      </c>
    </row>
    <row r="9501" spans="20:20" hidden="1">
      <c r="T9501" t="str">
        <f>IF(C9501="","",UPPER(LEFT(SUBSTITUTE(C9501," ",""),3))&amp;"-"&amp;TEXT(B9501,"AAMMDD")&amp;"-1")</f>
        <v/>
      </c>
    </row>
    <row r="9502" spans="20:20" hidden="1">
      <c r="T9502" t="str">
        <f>IF(C9502="","",UPPER(LEFT(SUBSTITUTE(C9502," ",""),3))&amp;"-"&amp;TEXT(B9502,"AAMMDD")&amp;"-1")</f>
        <v/>
      </c>
    </row>
    <row r="9503" spans="20:20" hidden="1">
      <c r="T9503" t="str">
        <f>IF(C9503="","",UPPER(LEFT(SUBSTITUTE(C9503," ",""),3))&amp;"-"&amp;TEXT(B9503,"AAMMDD")&amp;"-1")</f>
        <v/>
      </c>
    </row>
    <row r="9504" spans="20:20" hidden="1">
      <c r="T9504" t="str">
        <f>IF(C9504="","",UPPER(LEFT(SUBSTITUTE(C9504," ",""),3))&amp;"-"&amp;TEXT(B9504,"AAMMDD")&amp;"-1")</f>
        <v/>
      </c>
    </row>
    <row r="9505" spans="20:20" hidden="1">
      <c r="T9505" t="str">
        <f>IF(C9505="","",UPPER(LEFT(SUBSTITUTE(C9505," ",""),3))&amp;"-"&amp;TEXT(B9505,"AAMMDD")&amp;"-1")</f>
        <v/>
      </c>
    </row>
    <row r="9506" spans="20:20" hidden="1">
      <c r="T9506" t="str">
        <f>IF(C9506="","",UPPER(LEFT(SUBSTITUTE(C9506," ",""),3))&amp;"-"&amp;TEXT(B9506,"AAMMDD")&amp;"-1")</f>
        <v/>
      </c>
    </row>
    <row r="9507" spans="20:20" hidden="1">
      <c r="T9507" t="str">
        <f>IF(C9507="","",UPPER(LEFT(SUBSTITUTE(C9507," ",""),3))&amp;"-"&amp;TEXT(B9507,"AAMMDD")&amp;"-1")</f>
        <v/>
      </c>
    </row>
    <row r="9508" spans="20:20" hidden="1">
      <c r="T9508" t="str">
        <f>IF(C9508="","",UPPER(LEFT(SUBSTITUTE(C9508," ",""),3))&amp;"-"&amp;TEXT(B9508,"AAMMDD")&amp;"-1")</f>
        <v/>
      </c>
    </row>
    <row r="9509" spans="20:20" hidden="1">
      <c r="T9509" t="str">
        <f>IF(C9509="","",UPPER(LEFT(SUBSTITUTE(C9509," ",""),3))&amp;"-"&amp;TEXT(B9509,"AAMMDD")&amp;"-1")</f>
        <v/>
      </c>
    </row>
    <row r="9510" spans="20:20" hidden="1">
      <c r="T9510" t="str">
        <f>IF(C9510="","",UPPER(LEFT(SUBSTITUTE(C9510," ",""),3))&amp;"-"&amp;TEXT(B9510,"AAMMDD")&amp;"-1")</f>
        <v/>
      </c>
    </row>
    <row r="9511" spans="20:20" hidden="1">
      <c r="T9511" t="str">
        <f>IF(C9511="","",UPPER(LEFT(SUBSTITUTE(C9511," ",""),3))&amp;"-"&amp;TEXT(B9511,"AAMMDD")&amp;"-1")</f>
        <v/>
      </c>
    </row>
    <row r="9512" spans="20:20" hidden="1">
      <c r="T9512" t="str">
        <f>IF(C9512="","",UPPER(LEFT(SUBSTITUTE(C9512," ",""),3))&amp;"-"&amp;TEXT(B9512,"AAMMDD")&amp;"-1")</f>
        <v/>
      </c>
    </row>
    <row r="9513" spans="20:20" hidden="1">
      <c r="T9513" t="str">
        <f>IF(C9513="","",UPPER(LEFT(SUBSTITUTE(C9513," ",""),3))&amp;"-"&amp;TEXT(B9513,"AAMMDD")&amp;"-1")</f>
        <v/>
      </c>
    </row>
    <row r="9514" spans="20:20" hidden="1">
      <c r="T9514" t="str">
        <f>IF(C9514="","",UPPER(LEFT(SUBSTITUTE(C9514," ",""),3))&amp;"-"&amp;TEXT(B9514,"AAMMDD")&amp;"-1")</f>
        <v/>
      </c>
    </row>
    <row r="9515" spans="20:20" hidden="1">
      <c r="T9515" t="str">
        <f>IF(C9515="","",UPPER(LEFT(SUBSTITUTE(C9515," ",""),3))&amp;"-"&amp;TEXT(B9515,"AAMMDD")&amp;"-1")</f>
        <v/>
      </c>
    </row>
    <row r="9516" spans="20:20" hidden="1">
      <c r="T9516" t="str">
        <f>IF(C9516="","",UPPER(LEFT(SUBSTITUTE(C9516," ",""),3))&amp;"-"&amp;TEXT(B9516,"AAMMDD")&amp;"-1")</f>
        <v/>
      </c>
    </row>
    <row r="9517" spans="20:20" hidden="1">
      <c r="T9517" t="str">
        <f>IF(C9517="","",UPPER(LEFT(SUBSTITUTE(C9517," ",""),3))&amp;"-"&amp;TEXT(B9517,"AAMMDD")&amp;"-1")</f>
        <v/>
      </c>
    </row>
    <row r="9518" spans="20:20" hidden="1">
      <c r="T9518" t="str">
        <f>IF(C9518="","",UPPER(LEFT(SUBSTITUTE(C9518," ",""),3))&amp;"-"&amp;TEXT(B9518,"AAMMDD")&amp;"-1")</f>
        <v/>
      </c>
    </row>
    <row r="9519" spans="20:20" hidden="1">
      <c r="T9519" t="str">
        <f>IF(C9519="","",UPPER(LEFT(SUBSTITUTE(C9519," ",""),3))&amp;"-"&amp;TEXT(B9519,"AAMMDD")&amp;"-1")</f>
        <v/>
      </c>
    </row>
    <row r="9520" spans="20:20" hidden="1">
      <c r="T9520" t="str">
        <f>IF(C9520="","",UPPER(LEFT(SUBSTITUTE(C9520," ",""),3))&amp;"-"&amp;TEXT(B9520,"AAMMDD")&amp;"-1")</f>
        <v/>
      </c>
    </row>
    <row r="9521" spans="20:20" hidden="1">
      <c r="T9521" t="str">
        <f>IF(C9521="","",UPPER(LEFT(SUBSTITUTE(C9521," ",""),3))&amp;"-"&amp;TEXT(B9521,"AAMMDD")&amp;"-1")</f>
        <v/>
      </c>
    </row>
    <row r="9522" spans="20:20" hidden="1">
      <c r="T9522" t="str">
        <f>IF(C9522="","",UPPER(LEFT(SUBSTITUTE(C9522," ",""),3))&amp;"-"&amp;TEXT(B9522,"AAMMDD")&amp;"-1")</f>
        <v/>
      </c>
    </row>
    <row r="9523" spans="20:20" hidden="1">
      <c r="T9523" t="str">
        <f>IF(C9523="","",UPPER(LEFT(SUBSTITUTE(C9523," ",""),3))&amp;"-"&amp;TEXT(B9523,"AAMMDD")&amp;"-1")</f>
        <v/>
      </c>
    </row>
    <row r="9524" spans="20:20" hidden="1">
      <c r="T9524" t="str">
        <f>IF(C9524="","",UPPER(LEFT(SUBSTITUTE(C9524," ",""),3))&amp;"-"&amp;TEXT(B9524,"AAMMDD")&amp;"-1")</f>
        <v/>
      </c>
    </row>
    <row r="9525" spans="20:20" hidden="1">
      <c r="T9525" t="str">
        <f>IF(C9525="","",UPPER(LEFT(SUBSTITUTE(C9525," ",""),3))&amp;"-"&amp;TEXT(B9525,"AAMMDD")&amp;"-1")</f>
        <v/>
      </c>
    </row>
    <row r="9526" spans="20:20" hidden="1">
      <c r="T9526" t="str">
        <f>IF(C9526="","",UPPER(LEFT(SUBSTITUTE(C9526," ",""),3))&amp;"-"&amp;TEXT(B9526,"AAMMDD")&amp;"-1")</f>
        <v/>
      </c>
    </row>
    <row r="9527" spans="20:20" hidden="1">
      <c r="T9527" t="str">
        <f>IF(C9527="","",UPPER(LEFT(SUBSTITUTE(C9527," ",""),3))&amp;"-"&amp;TEXT(B9527,"AAMMDD")&amp;"-1")</f>
        <v/>
      </c>
    </row>
    <row r="9528" spans="20:20" hidden="1">
      <c r="T9528" t="str">
        <f>IF(C9528="","",UPPER(LEFT(SUBSTITUTE(C9528," ",""),3))&amp;"-"&amp;TEXT(B9528,"AAMMDD")&amp;"-1")</f>
        <v/>
      </c>
    </row>
    <row r="9529" spans="20:20" hidden="1">
      <c r="T9529" t="str">
        <f>IF(C9529="","",UPPER(LEFT(SUBSTITUTE(C9529," ",""),3))&amp;"-"&amp;TEXT(B9529,"AAMMDD")&amp;"-1")</f>
        <v/>
      </c>
    </row>
    <row r="9530" spans="20:20" hidden="1">
      <c r="T9530" t="str">
        <f>IF(C9530="","",UPPER(LEFT(SUBSTITUTE(C9530," ",""),3))&amp;"-"&amp;TEXT(B9530,"AAMMDD")&amp;"-1")</f>
        <v/>
      </c>
    </row>
    <row r="9531" spans="20:20" hidden="1">
      <c r="T9531" t="str">
        <f>IF(C9531="","",UPPER(LEFT(SUBSTITUTE(C9531," ",""),3))&amp;"-"&amp;TEXT(B9531,"AAMMDD")&amp;"-1")</f>
        <v/>
      </c>
    </row>
    <row r="9532" spans="20:20" hidden="1">
      <c r="T9532" t="str">
        <f>IF(C9532="","",UPPER(LEFT(SUBSTITUTE(C9532," ",""),3))&amp;"-"&amp;TEXT(B9532,"AAMMDD")&amp;"-1")</f>
        <v/>
      </c>
    </row>
    <row r="9533" spans="20:20" hidden="1">
      <c r="T9533" t="str">
        <f>IF(C9533="","",UPPER(LEFT(SUBSTITUTE(C9533," ",""),3))&amp;"-"&amp;TEXT(B9533,"AAMMDD")&amp;"-1")</f>
        <v/>
      </c>
    </row>
    <row r="9534" spans="20:20" hidden="1">
      <c r="T9534" t="str">
        <f>IF(C9534="","",UPPER(LEFT(SUBSTITUTE(C9534," ",""),3))&amp;"-"&amp;TEXT(B9534,"AAMMDD")&amp;"-1")</f>
        <v/>
      </c>
    </row>
    <row r="9535" spans="20:20" hidden="1">
      <c r="T9535" t="str">
        <f>IF(C9535="","",UPPER(LEFT(SUBSTITUTE(C9535," ",""),3))&amp;"-"&amp;TEXT(B9535,"AAMMDD")&amp;"-1")</f>
        <v/>
      </c>
    </row>
    <row r="9536" spans="20:20" hidden="1">
      <c r="T9536" t="str">
        <f>IF(C9536="","",UPPER(LEFT(SUBSTITUTE(C9536," ",""),3))&amp;"-"&amp;TEXT(B9536,"AAMMDD")&amp;"-1")</f>
        <v/>
      </c>
    </row>
    <row r="9537" spans="20:20" hidden="1">
      <c r="T9537" t="str">
        <f>IF(C9537="","",UPPER(LEFT(SUBSTITUTE(C9537," ",""),3))&amp;"-"&amp;TEXT(B9537,"AAMMDD")&amp;"-1")</f>
        <v/>
      </c>
    </row>
    <row r="9538" spans="20:20" hidden="1">
      <c r="T9538" t="str">
        <f>IF(C9538="","",UPPER(LEFT(SUBSTITUTE(C9538," ",""),3))&amp;"-"&amp;TEXT(B9538,"AAMMDD")&amp;"-1")</f>
        <v/>
      </c>
    </row>
    <row r="9539" spans="20:20" hidden="1">
      <c r="T9539" t="str">
        <f>IF(C9539="","",UPPER(LEFT(SUBSTITUTE(C9539," ",""),3))&amp;"-"&amp;TEXT(B9539,"AAMMDD")&amp;"-1")</f>
        <v/>
      </c>
    </row>
    <row r="9540" spans="20:20" hidden="1">
      <c r="T9540" t="str">
        <f>IF(C9540="","",UPPER(LEFT(SUBSTITUTE(C9540," ",""),3))&amp;"-"&amp;TEXT(B9540,"AAMMDD")&amp;"-1")</f>
        <v/>
      </c>
    </row>
    <row r="9541" spans="20:20" hidden="1">
      <c r="T9541" t="str">
        <f>IF(C9541="","",UPPER(LEFT(SUBSTITUTE(C9541," ",""),3))&amp;"-"&amp;TEXT(B9541,"AAMMDD")&amp;"-1")</f>
        <v/>
      </c>
    </row>
    <row r="9542" spans="20:20" hidden="1">
      <c r="T9542" t="str">
        <f>IF(C9542="","",UPPER(LEFT(SUBSTITUTE(C9542," ",""),3))&amp;"-"&amp;TEXT(B9542,"AAMMDD")&amp;"-1")</f>
        <v/>
      </c>
    </row>
    <row r="9543" spans="20:20" hidden="1">
      <c r="T9543" t="str">
        <f>IF(C9543="","",UPPER(LEFT(SUBSTITUTE(C9543," ",""),3))&amp;"-"&amp;TEXT(B9543,"AAMMDD")&amp;"-1")</f>
        <v/>
      </c>
    </row>
    <row r="9544" spans="20:20" hidden="1">
      <c r="T9544" t="str">
        <f>IF(C9544="","",UPPER(LEFT(SUBSTITUTE(C9544," ",""),3))&amp;"-"&amp;TEXT(B9544,"AAMMDD")&amp;"-1")</f>
        <v/>
      </c>
    </row>
    <row r="9545" spans="20:20" hidden="1">
      <c r="T9545" t="str">
        <f>IF(C9545="","",UPPER(LEFT(SUBSTITUTE(C9545," ",""),3))&amp;"-"&amp;TEXT(B9545,"AAMMDD")&amp;"-1")</f>
        <v/>
      </c>
    </row>
    <row r="9546" spans="20:20" hidden="1">
      <c r="T9546" t="str">
        <f>IF(C9546="","",UPPER(LEFT(SUBSTITUTE(C9546," ",""),3))&amp;"-"&amp;TEXT(B9546,"AAMMDD")&amp;"-1")</f>
        <v/>
      </c>
    </row>
    <row r="9547" spans="20:20" hidden="1">
      <c r="T9547" t="str">
        <f>IF(C9547="","",UPPER(LEFT(SUBSTITUTE(C9547," ",""),3))&amp;"-"&amp;TEXT(B9547,"AAMMDD")&amp;"-1")</f>
        <v/>
      </c>
    </row>
    <row r="9548" spans="20:20" hidden="1">
      <c r="T9548" t="str">
        <f>IF(C9548="","",UPPER(LEFT(SUBSTITUTE(C9548," ",""),3))&amp;"-"&amp;TEXT(B9548,"AAMMDD")&amp;"-1")</f>
        <v/>
      </c>
    </row>
    <row r="9549" spans="20:20" hidden="1">
      <c r="T9549" t="str">
        <f>IF(C9549="","",UPPER(LEFT(SUBSTITUTE(C9549," ",""),3))&amp;"-"&amp;TEXT(B9549,"AAMMDD")&amp;"-1")</f>
        <v/>
      </c>
    </row>
    <row r="9550" spans="20:20" hidden="1">
      <c r="T9550" t="str">
        <f>IF(C9550="","",UPPER(LEFT(SUBSTITUTE(C9550," ",""),3))&amp;"-"&amp;TEXT(B9550,"AAMMDD")&amp;"-1")</f>
        <v/>
      </c>
    </row>
    <row r="9551" spans="20:20" hidden="1">
      <c r="T9551" t="str">
        <f>IF(C9551="","",UPPER(LEFT(SUBSTITUTE(C9551," ",""),3))&amp;"-"&amp;TEXT(B9551,"AAMMDD")&amp;"-1")</f>
        <v/>
      </c>
    </row>
    <row r="9552" spans="20:20" hidden="1">
      <c r="T9552" t="str">
        <f>IF(C9552="","",UPPER(LEFT(SUBSTITUTE(C9552," ",""),3))&amp;"-"&amp;TEXT(B9552,"AAMMDD")&amp;"-1")</f>
        <v/>
      </c>
    </row>
    <row r="9553" spans="20:20" hidden="1">
      <c r="T9553" t="str">
        <f>IF(C9553="","",UPPER(LEFT(SUBSTITUTE(C9553," ",""),3))&amp;"-"&amp;TEXT(B9553,"AAMMDD")&amp;"-1")</f>
        <v/>
      </c>
    </row>
    <row r="9554" spans="20:20" hidden="1">
      <c r="T9554" t="str">
        <f>IF(C9554="","",UPPER(LEFT(SUBSTITUTE(C9554," ",""),3))&amp;"-"&amp;TEXT(B9554,"AAMMDD")&amp;"-1")</f>
        <v/>
      </c>
    </row>
    <row r="9555" spans="20:20" hidden="1">
      <c r="T9555" t="str">
        <f>IF(C9555="","",UPPER(LEFT(SUBSTITUTE(C9555," ",""),3))&amp;"-"&amp;TEXT(B9555,"AAMMDD")&amp;"-1")</f>
        <v/>
      </c>
    </row>
    <row r="9556" spans="20:20" hidden="1">
      <c r="T9556" t="str">
        <f>IF(C9556="","",UPPER(LEFT(SUBSTITUTE(C9556," ",""),3))&amp;"-"&amp;TEXT(B9556,"AAMMDD")&amp;"-1")</f>
        <v/>
      </c>
    </row>
    <row r="9557" spans="20:20" hidden="1">
      <c r="T9557" t="str">
        <f>IF(C9557="","",UPPER(LEFT(SUBSTITUTE(C9557," ",""),3))&amp;"-"&amp;TEXT(B9557,"AAMMDD")&amp;"-1")</f>
        <v/>
      </c>
    </row>
    <row r="9558" spans="20:20" hidden="1">
      <c r="T9558" t="str">
        <f>IF(C9558="","",UPPER(LEFT(SUBSTITUTE(C9558," ",""),3))&amp;"-"&amp;TEXT(B9558,"AAMMDD")&amp;"-1")</f>
        <v/>
      </c>
    </row>
    <row r="9559" spans="20:20" hidden="1">
      <c r="T9559" t="str">
        <f>IF(C9559="","",UPPER(LEFT(SUBSTITUTE(C9559," ",""),3))&amp;"-"&amp;TEXT(B9559,"AAMMDD")&amp;"-1")</f>
        <v/>
      </c>
    </row>
    <row r="9560" spans="20:20" hidden="1">
      <c r="T9560" t="str">
        <f>IF(C9560="","",UPPER(LEFT(SUBSTITUTE(C9560," ",""),3))&amp;"-"&amp;TEXT(B9560,"AAMMDD")&amp;"-1")</f>
        <v/>
      </c>
    </row>
    <row r="9561" spans="20:20" hidden="1">
      <c r="T9561" t="str">
        <f>IF(C9561="","",UPPER(LEFT(SUBSTITUTE(C9561," ",""),3))&amp;"-"&amp;TEXT(B9561,"AAMMDD")&amp;"-1")</f>
        <v/>
      </c>
    </row>
    <row r="9562" spans="20:20" hidden="1">
      <c r="T9562" t="str">
        <f>IF(C9562="","",UPPER(LEFT(SUBSTITUTE(C9562," ",""),3))&amp;"-"&amp;TEXT(B9562,"AAMMDD")&amp;"-1")</f>
        <v/>
      </c>
    </row>
    <row r="9563" spans="20:20" hidden="1">
      <c r="T9563" t="str">
        <f>IF(C9563="","",UPPER(LEFT(SUBSTITUTE(C9563," ",""),3))&amp;"-"&amp;TEXT(B9563,"AAMMDD")&amp;"-1")</f>
        <v/>
      </c>
    </row>
    <row r="9564" spans="20:20" hidden="1">
      <c r="T9564" t="str">
        <f>IF(C9564="","",UPPER(LEFT(SUBSTITUTE(C9564," ",""),3))&amp;"-"&amp;TEXT(B9564,"AAMMDD")&amp;"-1")</f>
        <v/>
      </c>
    </row>
    <row r="9565" spans="20:20" hidden="1">
      <c r="T9565" t="str">
        <f>IF(C9565="","",UPPER(LEFT(SUBSTITUTE(C9565," ",""),3))&amp;"-"&amp;TEXT(B9565,"AAMMDD")&amp;"-1")</f>
        <v/>
      </c>
    </row>
    <row r="9566" spans="20:20" hidden="1">
      <c r="T9566" t="str">
        <f>IF(C9566="","",UPPER(LEFT(SUBSTITUTE(C9566," ",""),3))&amp;"-"&amp;TEXT(B9566,"AAMMDD")&amp;"-1")</f>
        <v/>
      </c>
    </row>
    <row r="9567" spans="20:20" hidden="1">
      <c r="T9567" t="str">
        <f>IF(C9567="","",UPPER(LEFT(SUBSTITUTE(C9567," ",""),3))&amp;"-"&amp;TEXT(B9567,"AAMMDD")&amp;"-1")</f>
        <v/>
      </c>
    </row>
    <row r="9568" spans="20:20" hidden="1">
      <c r="T9568" t="str">
        <f>IF(C9568="","",UPPER(LEFT(SUBSTITUTE(C9568," ",""),3))&amp;"-"&amp;TEXT(B9568,"AAMMDD")&amp;"-1")</f>
        <v/>
      </c>
    </row>
    <row r="9569" spans="20:20" hidden="1">
      <c r="T9569" t="str">
        <f>IF(C9569="","",UPPER(LEFT(SUBSTITUTE(C9569," ",""),3))&amp;"-"&amp;TEXT(B9569,"AAMMDD")&amp;"-1")</f>
        <v/>
      </c>
    </row>
    <row r="9570" spans="20:20" hidden="1">
      <c r="T9570" t="str">
        <f>IF(C9570="","",UPPER(LEFT(SUBSTITUTE(C9570," ",""),3))&amp;"-"&amp;TEXT(B9570,"AAMMDD")&amp;"-1")</f>
        <v/>
      </c>
    </row>
    <row r="9571" spans="20:20" hidden="1">
      <c r="T9571" t="str">
        <f>IF(C9571="","",UPPER(LEFT(SUBSTITUTE(C9571," ",""),3))&amp;"-"&amp;TEXT(B9571,"AAMMDD")&amp;"-1")</f>
        <v/>
      </c>
    </row>
    <row r="9572" spans="20:20" hidden="1">
      <c r="T9572" t="str">
        <f>IF(C9572="","",UPPER(LEFT(SUBSTITUTE(C9572," ",""),3))&amp;"-"&amp;TEXT(B9572,"AAMMDD")&amp;"-1")</f>
        <v/>
      </c>
    </row>
    <row r="9573" spans="20:20" hidden="1">
      <c r="T9573" t="str">
        <f>IF(C9573="","",UPPER(LEFT(SUBSTITUTE(C9573," ",""),3))&amp;"-"&amp;TEXT(B9573,"AAMMDD")&amp;"-1")</f>
        <v/>
      </c>
    </row>
    <row r="9574" spans="20:20" hidden="1">
      <c r="T9574" t="str">
        <f>IF(C9574="","",UPPER(LEFT(SUBSTITUTE(C9574," ",""),3))&amp;"-"&amp;TEXT(B9574,"AAMMDD")&amp;"-1")</f>
        <v/>
      </c>
    </row>
    <row r="9575" spans="20:20" hidden="1">
      <c r="T9575" t="str">
        <f>IF(C9575="","",UPPER(LEFT(SUBSTITUTE(C9575," ",""),3))&amp;"-"&amp;TEXT(B9575,"AAMMDD")&amp;"-1")</f>
        <v/>
      </c>
    </row>
    <row r="9576" spans="20:20" hidden="1">
      <c r="T9576" t="str">
        <f>IF(C9576="","",UPPER(LEFT(SUBSTITUTE(C9576," ",""),3))&amp;"-"&amp;TEXT(B9576,"AAMMDD")&amp;"-1")</f>
        <v/>
      </c>
    </row>
    <row r="9577" spans="20:20" hidden="1">
      <c r="T9577" t="str">
        <f>IF(C9577="","",UPPER(LEFT(SUBSTITUTE(C9577," ",""),3))&amp;"-"&amp;TEXT(B9577,"AAMMDD")&amp;"-1")</f>
        <v/>
      </c>
    </row>
    <row r="9578" spans="20:20" hidden="1">
      <c r="T9578" t="str">
        <f>IF(C9578="","",UPPER(LEFT(SUBSTITUTE(C9578," ",""),3))&amp;"-"&amp;TEXT(B9578,"AAMMDD")&amp;"-1")</f>
        <v/>
      </c>
    </row>
    <row r="9579" spans="20:20" hidden="1">
      <c r="T9579" t="str">
        <f>IF(C9579="","",UPPER(LEFT(SUBSTITUTE(C9579," ",""),3))&amp;"-"&amp;TEXT(B9579,"AAMMDD")&amp;"-1")</f>
        <v/>
      </c>
    </row>
    <row r="9580" spans="20:20" hidden="1">
      <c r="T9580" t="str">
        <f>IF(C9580="","",UPPER(LEFT(SUBSTITUTE(C9580," ",""),3))&amp;"-"&amp;TEXT(B9580,"AAMMDD")&amp;"-1")</f>
        <v/>
      </c>
    </row>
    <row r="9581" spans="20:20" hidden="1">
      <c r="T9581" t="str">
        <f>IF(C9581="","",UPPER(LEFT(SUBSTITUTE(C9581," ",""),3))&amp;"-"&amp;TEXT(B9581,"AAMMDD")&amp;"-1")</f>
        <v/>
      </c>
    </row>
    <row r="9582" spans="20:20" hidden="1">
      <c r="T9582" t="str">
        <f>IF(C9582="","",UPPER(LEFT(SUBSTITUTE(C9582," ",""),3))&amp;"-"&amp;TEXT(B9582,"AAMMDD")&amp;"-1")</f>
        <v/>
      </c>
    </row>
    <row r="9583" spans="20:20" hidden="1">
      <c r="T9583" t="str">
        <f>IF(C9583="","",UPPER(LEFT(SUBSTITUTE(C9583," ",""),3))&amp;"-"&amp;TEXT(B9583,"AAMMDD")&amp;"-1")</f>
        <v/>
      </c>
    </row>
    <row r="9584" spans="20:20" hidden="1">
      <c r="T9584" t="str">
        <f>IF(C9584="","",UPPER(LEFT(SUBSTITUTE(C9584," ",""),3))&amp;"-"&amp;TEXT(B9584,"AAMMDD")&amp;"-1")</f>
        <v/>
      </c>
    </row>
    <row r="9585" spans="20:20" hidden="1">
      <c r="T9585" t="str">
        <f>IF(C9585="","",UPPER(LEFT(SUBSTITUTE(C9585," ",""),3))&amp;"-"&amp;TEXT(B9585,"AAMMDD")&amp;"-1")</f>
        <v/>
      </c>
    </row>
    <row r="9586" spans="20:20" hidden="1">
      <c r="T9586" t="str">
        <f>IF(C9586="","",UPPER(LEFT(SUBSTITUTE(C9586," ",""),3))&amp;"-"&amp;TEXT(B9586,"AAMMDD")&amp;"-1")</f>
        <v/>
      </c>
    </row>
    <row r="9587" spans="20:20" hidden="1">
      <c r="T9587" t="str">
        <f>IF(C9587="","",UPPER(LEFT(SUBSTITUTE(C9587," ",""),3))&amp;"-"&amp;TEXT(B9587,"AAMMDD")&amp;"-1")</f>
        <v/>
      </c>
    </row>
    <row r="9588" spans="20:20" hidden="1">
      <c r="T9588" t="str">
        <f>IF(C9588="","",UPPER(LEFT(SUBSTITUTE(C9588," ",""),3))&amp;"-"&amp;TEXT(B9588,"AAMMDD")&amp;"-1")</f>
        <v/>
      </c>
    </row>
    <row r="9589" spans="20:20" hidden="1">
      <c r="T9589" t="str">
        <f>IF(C9589="","",UPPER(LEFT(SUBSTITUTE(C9589," ",""),3))&amp;"-"&amp;TEXT(B9589,"AAMMDD")&amp;"-1")</f>
        <v/>
      </c>
    </row>
    <row r="9590" spans="20:20" hidden="1">
      <c r="T9590" t="str">
        <f>IF(C9590="","",UPPER(LEFT(SUBSTITUTE(C9590," ",""),3))&amp;"-"&amp;TEXT(B9590,"AAMMDD")&amp;"-1")</f>
        <v/>
      </c>
    </row>
    <row r="9591" spans="20:20" hidden="1">
      <c r="T9591" t="str">
        <f>IF(C9591="","",UPPER(LEFT(SUBSTITUTE(C9591," ",""),3))&amp;"-"&amp;TEXT(B9591,"AAMMDD")&amp;"-1")</f>
        <v/>
      </c>
    </row>
    <row r="9592" spans="20:20" hidden="1">
      <c r="T9592" t="str">
        <f>IF(C9592="","",UPPER(LEFT(SUBSTITUTE(C9592," ",""),3))&amp;"-"&amp;TEXT(B9592,"AAMMDD")&amp;"-1")</f>
        <v/>
      </c>
    </row>
    <row r="9593" spans="20:20" hidden="1">
      <c r="T9593" t="str">
        <f>IF(C9593="","",UPPER(LEFT(SUBSTITUTE(C9593," ",""),3))&amp;"-"&amp;TEXT(B9593,"AAMMDD")&amp;"-1")</f>
        <v/>
      </c>
    </row>
    <row r="9594" spans="20:20" hidden="1">
      <c r="T9594" t="str">
        <f>IF(C9594="","",UPPER(LEFT(SUBSTITUTE(C9594," ",""),3))&amp;"-"&amp;TEXT(B9594,"AAMMDD")&amp;"-1")</f>
        <v/>
      </c>
    </row>
    <row r="9595" spans="20:20" hidden="1">
      <c r="T9595" t="str">
        <f>IF(C9595="","",UPPER(LEFT(SUBSTITUTE(C9595," ",""),3))&amp;"-"&amp;TEXT(B9595,"AAMMDD")&amp;"-1")</f>
        <v/>
      </c>
    </row>
    <row r="9596" spans="20:20" hidden="1">
      <c r="T9596" t="str">
        <f>IF(C9596="","",UPPER(LEFT(SUBSTITUTE(C9596," ",""),3))&amp;"-"&amp;TEXT(B9596,"AAMMDD")&amp;"-1")</f>
        <v/>
      </c>
    </row>
    <row r="9597" spans="20:20" hidden="1">
      <c r="T9597" t="str">
        <f>IF(C9597="","",UPPER(LEFT(SUBSTITUTE(C9597," ",""),3))&amp;"-"&amp;TEXT(B9597,"AAMMDD")&amp;"-1")</f>
        <v/>
      </c>
    </row>
    <row r="9598" spans="20:20" hidden="1">
      <c r="T9598" t="str">
        <f>IF(C9598="","",UPPER(LEFT(SUBSTITUTE(C9598," ",""),3))&amp;"-"&amp;TEXT(B9598,"AAMMDD")&amp;"-1")</f>
        <v/>
      </c>
    </row>
    <row r="9599" spans="20:20" hidden="1">
      <c r="T9599" t="str">
        <f>IF(C9599="","",UPPER(LEFT(SUBSTITUTE(C9599," ",""),3))&amp;"-"&amp;TEXT(B9599,"AAMMDD")&amp;"-1")</f>
        <v/>
      </c>
    </row>
    <row r="9600" spans="20:20" hidden="1">
      <c r="T9600" t="str">
        <f>IF(C9600="","",UPPER(LEFT(SUBSTITUTE(C9600," ",""),3))&amp;"-"&amp;TEXT(B9600,"AAMMDD")&amp;"-1")</f>
        <v/>
      </c>
    </row>
    <row r="9601" spans="20:20" hidden="1">
      <c r="T9601" t="str">
        <f>IF(C9601="","",UPPER(LEFT(SUBSTITUTE(C9601," ",""),3))&amp;"-"&amp;TEXT(B9601,"AAMMDD")&amp;"-1")</f>
        <v/>
      </c>
    </row>
    <row r="9602" spans="20:20" hidden="1">
      <c r="T9602" t="str">
        <f>IF(C9602="","",UPPER(LEFT(SUBSTITUTE(C9602," ",""),3))&amp;"-"&amp;TEXT(B9602,"AAMMDD")&amp;"-1")</f>
        <v/>
      </c>
    </row>
    <row r="9603" spans="20:20" hidden="1">
      <c r="T9603" t="str">
        <f>IF(C9603="","",UPPER(LEFT(SUBSTITUTE(C9603," ",""),3))&amp;"-"&amp;TEXT(B9603,"AAMMDD")&amp;"-1")</f>
        <v/>
      </c>
    </row>
    <row r="9604" spans="20:20" hidden="1">
      <c r="T9604" t="str">
        <f>IF(C9604="","",UPPER(LEFT(SUBSTITUTE(C9604," ",""),3))&amp;"-"&amp;TEXT(B9604,"AAMMDD")&amp;"-1")</f>
        <v/>
      </c>
    </row>
    <row r="9605" spans="20:20" hidden="1">
      <c r="T9605" t="str">
        <f>IF(C9605="","",UPPER(LEFT(SUBSTITUTE(C9605," ",""),3))&amp;"-"&amp;TEXT(B9605,"AAMMDD")&amp;"-1")</f>
        <v/>
      </c>
    </row>
    <row r="9606" spans="20:20" hidden="1">
      <c r="T9606" t="str">
        <f>IF(C9606="","",UPPER(LEFT(SUBSTITUTE(C9606," ",""),3))&amp;"-"&amp;TEXT(B9606,"AAMMDD")&amp;"-1")</f>
        <v/>
      </c>
    </row>
    <row r="9607" spans="20:20" hidden="1">
      <c r="T9607" t="str">
        <f>IF(C9607="","",UPPER(LEFT(SUBSTITUTE(C9607," ",""),3))&amp;"-"&amp;TEXT(B9607,"AAMMDD")&amp;"-1")</f>
        <v/>
      </c>
    </row>
    <row r="9608" spans="20:20" hidden="1">
      <c r="T9608" t="str">
        <f>IF(C9608="","",UPPER(LEFT(SUBSTITUTE(C9608," ",""),3))&amp;"-"&amp;TEXT(B9608,"AAMMDD")&amp;"-1")</f>
        <v/>
      </c>
    </row>
    <row r="9609" spans="20:20" hidden="1">
      <c r="T9609" t="str">
        <f>IF(C9609="","",UPPER(LEFT(SUBSTITUTE(C9609," ",""),3))&amp;"-"&amp;TEXT(B9609,"AAMMDD")&amp;"-1")</f>
        <v/>
      </c>
    </row>
    <row r="9610" spans="20:20" hidden="1">
      <c r="T9610" t="str">
        <f>IF(C9610="","",UPPER(LEFT(SUBSTITUTE(C9610," ",""),3))&amp;"-"&amp;TEXT(B9610,"AAMMDD")&amp;"-1")</f>
        <v/>
      </c>
    </row>
    <row r="9611" spans="20:20" hidden="1">
      <c r="T9611" t="str">
        <f>IF(C9611="","",UPPER(LEFT(SUBSTITUTE(C9611," ",""),3))&amp;"-"&amp;TEXT(B9611,"AAMMDD")&amp;"-1")</f>
        <v/>
      </c>
    </row>
    <row r="9612" spans="20:20" hidden="1">
      <c r="T9612" t="str">
        <f>IF(C9612="","",UPPER(LEFT(SUBSTITUTE(C9612," ",""),3))&amp;"-"&amp;TEXT(B9612,"AAMMDD")&amp;"-1")</f>
        <v/>
      </c>
    </row>
    <row r="9613" spans="20:20" hidden="1">
      <c r="T9613" t="str">
        <f>IF(C9613="","",UPPER(LEFT(SUBSTITUTE(C9613," ",""),3))&amp;"-"&amp;TEXT(B9613,"AAMMDD")&amp;"-1")</f>
        <v/>
      </c>
    </row>
    <row r="9614" spans="20:20" hidden="1">
      <c r="T9614" t="str">
        <f>IF(C9614="","",UPPER(LEFT(SUBSTITUTE(C9614," ",""),3))&amp;"-"&amp;TEXT(B9614,"AAMMDD")&amp;"-1")</f>
        <v/>
      </c>
    </row>
    <row r="9615" spans="20:20" hidden="1">
      <c r="T9615" t="str">
        <f>IF(C9615="","",UPPER(LEFT(SUBSTITUTE(C9615," ",""),3))&amp;"-"&amp;TEXT(B9615,"AAMMDD")&amp;"-1")</f>
        <v/>
      </c>
    </row>
    <row r="9616" spans="20:20" hidden="1">
      <c r="T9616" t="str">
        <f>IF(C9616="","",UPPER(LEFT(SUBSTITUTE(C9616," ",""),3))&amp;"-"&amp;TEXT(B9616,"AAMMDD")&amp;"-1")</f>
        <v/>
      </c>
    </row>
    <row r="9617" spans="20:20" hidden="1">
      <c r="T9617" t="str">
        <f>IF(C9617="","",UPPER(LEFT(SUBSTITUTE(C9617," ",""),3))&amp;"-"&amp;TEXT(B9617,"AAMMDD")&amp;"-1")</f>
        <v/>
      </c>
    </row>
    <row r="9618" spans="20:20" hidden="1">
      <c r="T9618" t="str">
        <f>IF(C9618="","",UPPER(LEFT(SUBSTITUTE(C9618," ",""),3))&amp;"-"&amp;TEXT(B9618,"AAMMDD")&amp;"-1")</f>
        <v/>
      </c>
    </row>
    <row r="9619" spans="20:20" hidden="1">
      <c r="T9619" t="str">
        <f>IF(C9619="","",UPPER(LEFT(SUBSTITUTE(C9619," ",""),3))&amp;"-"&amp;TEXT(B9619,"AAMMDD")&amp;"-1")</f>
        <v/>
      </c>
    </row>
    <row r="9620" spans="20:20" hidden="1">
      <c r="T9620" t="str">
        <f>IF(C9620="","",UPPER(LEFT(SUBSTITUTE(C9620," ",""),3))&amp;"-"&amp;TEXT(B9620,"AAMMDD")&amp;"-1")</f>
        <v/>
      </c>
    </row>
    <row r="9621" spans="20:20" hidden="1">
      <c r="T9621" t="str">
        <f>IF(C9621="","",UPPER(LEFT(SUBSTITUTE(C9621," ",""),3))&amp;"-"&amp;TEXT(B9621,"AAMMDD")&amp;"-1")</f>
        <v/>
      </c>
    </row>
    <row r="9622" spans="20:20" hidden="1">
      <c r="T9622" t="str">
        <f>IF(C9622="","",UPPER(LEFT(SUBSTITUTE(C9622," ",""),3))&amp;"-"&amp;TEXT(B9622,"AAMMDD")&amp;"-1")</f>
        <v/>
      </c>
    </row>
    <row r="9623" spans="20:20" hidden="1">
      <c r="T9623" t="str">
        <f>IF(C9623="","",UPPER(LEFT(SUBSTITUTE(C9623," ",""),3))&amp;"-"&amp;TEXT(B9623,"AAMMDD")&amp;"-1")</f>
        <v/>
      </c>
    </row>
    <row r="9624" spans="20:20" hidden="1">
      <c r="T9624" t="str">
        <f>IF(C9624="","",UPPER(LEFT(SUBSTITUTE(C9624," ",""),3))&amp;"-"&amp;TEXT(B9624,"AAMMDD")&amp;"-1")</f>
        <v/>
      </c>
    </row>
    <row r="9625" spans="20:20" hidden="1">
      <c r="T9625" t="str">
        <f>IF(C9625="","",UPPER(LEFT(SUBSTITUTE(C9625," ",""),3))&amp;"-"&amp;TEXT(B9625,"AAMMDD")&amp;"-1")</f>
        <v/>
      </c>
    </row>
    <row r="9626" spans="20:20" hidden="1">
      <c r="T9626" t="str">
        <f>IF(C9626="","",UPPER(LEFT(SUBSTITUTE(C9626," ",""),3))&amp;"-"&amp;TEXT(B9626,"AAMMDD")&amp;"-1")</f>
        <v/>
      </c>
    </row>
    <row r="9627" spans="20:20" hidden="1">
      <c r="T9627" t="str">
        <f>IF(C9627="","",UPPER(LEFT(SUBSTITUTE(C9627," ",""),3))&amp;"-"&amp;TEXT(B9627,"AAMMDD")&amp;"-1")</f>
        <v/>
      </c>
    </row>
    <row r="9628" spans="20:20" hidden="1">
      <c r="T9628" t="str">
        <f>IF(C9628="","",UPPER(LEFT(SUBSTITUTE(C9628," ",""),3))&amp;"-"&amp;TEXT(B9628,"AAMMDD")&amp;"-1")</f>
        <v/>
      </c>
    </row>
    <row r="9629" spans="20:20" hidden="1">
      <c r="T9629" t="str">
        <f>IF(C9629="","",UPPER(LEFT(SUBSTITUTE(C9629," ",""),3))&amp;"-"&amp;TEXT(B9629,"AAMMDD")&amp;"-1")</f>
        <v/>
      </c>
    </row>
    <row r="9630" spans="20:20" hidden="1">
      <c r="T9630" t="str">
        <f>IF(C9630="","",UPPER(LEFT(SUBSTITUTE(C9630," ",""),3))&amp;"-"&amp;TEXT(B9630,"AAMMDD")&amp;"-1")</f>
        <v/>
      </c>
    </row>
    <row r="9631" spans="20:20" hidden="1">
      <c r="T9631" t="str">
        <f>IF(C9631="","",UPPER(LEFT(SUBSTITUTE(C9631," ",""),3))&amp;"-"&amp;TEXT(B9631,"AAMMDD")&amp;"-1")</f>
        <v/>
      </c>
    </row>
    <row r="9632" spans="20:20" hidden="1">
      <c r="T9632" t="str">
        <f>IF(C9632="","",UPPER(LEFT(SUBSTITUTE(C9632," ",""),3))&amp;"-"&amp;TEXT(B9632,"AAMMDD")&amp;"-1")</f>
        <v/>
      </c>
    </row>
    <row r="9633" spans="20:20" hidden="1">
      <c r="T9633" t="str">
        <f>IF(C9633="","",UPPER(LEFT(SUBSTITUTE(C9633," ",""),3))&amp;"-"&amp;TEXT(B9633,"AAMMDD")&amp;"-1")</f>
        <v/>
      </c>
    </row>
    <row r="9634" spans="20:20" hidden="1">
      <c r="T9634" t="str">
        <f>IF(C9634="","",UPPER(LEFT(SUBSTITUTE(C9634," ",""),3))&amp;"-"&amp;TEXT(B9634,"AAMMDD")&amp;"-1")</f>
        <v/>
      </c>
    </row>
    <row r="9635" spans="20:20" hidden="1">
      <c r="T9635" t="str">
        <f>IF(C9635="","",UPPER(LEFT(SUBSTITUTE(C9635," ",""),3))&amp;"-"&amp;TEXT(B9635,"AAMMDD")&amp;"-1")</f>
        <v/>
      </c>
    </row>
    <row r="9636" spans="20:20" hidden="1">
      <c r="T9636" t="str">
        <f>IF(C9636="","",UPPER(LEFT(SUBSTITUTE(C9636," ",""),3))&amp;"-"&amp;TEXT(B9636,"AAMMDD")&amp;"-1")</f>
        <v/>
      </c>
    </row>
    <row r="9637" spans="20:20" hidden="1">
      <c r="T9637" t="str">
        <f>IF(C9637="","",UPPER(LEFT(SUBSTITUTE(C9637," ",""),3))&amp;"-"&amp;TEXT(B9637,"AAMMDD")&amp;"-1")</f>
        <v/>
      </c>
    </row>
    <row r="9638" spans="20:20" hidden="1">
      <c r="T9638" t="str">
        <f>IF(C9638="","",UPPER(LEFT(SUBSTITUTE(C9638," ",""),3))&amp;"-"&amp;TEXT(B9638,"AAMMDD")&amp;"-1")</f>
        <v/>
      </c>
    </row>
    <row r="9639" spans="20:20" hidden="1">
      <c r="T9639" t="str">
        <f>IF(C9639="","",UPPER(LEFT(SUBSTITUTE(C9639," ",""),3))&amp;"-"&amp;TEXT(B9639,"AAMMDD")&amp;"-1")</f>
        <v/>
      </c>
    </row>
    <row r="9640" spans="20:20" hidden="1">
      <c r="T9640" t="str">
        <f>IF(C9640="","",UPPER(LEFT(SUBSTITUTE(C9640," ",""),3))&amp;"-"&amp;TEXT(B9640,"AAMMDD")&amp;"-1")</f>
        <v/>
      </c>
    </row>
    <row r="9641" spans="20:20" hidden="1">
      <c r="T9641" t="str">
        <f>IF(C9641="","",UPPER(LEFT(SUBSTITUTE(C9641," ",""),3))&amp;"-"&amp;TEXT(B9641,"AAMMDD")&amp;"-1")</f>
        <v/>
      </c>
    </row>
    <row r="9642" spans="20:20" hidden="1">
      <c r="T9642" t="str">
        <f>IF(C9642="","",UPPER(LEFT(SUBSTITUTE(C9642," ",""),3))&amp;"-"&amp;TEXT(B9642,"AAMMDD")&amp;"-1")</f>
        <v/>
      </c>
    </row>
    <row r="9643" spans="20:20" hidden="1">
      <c r="T9643" t="str">
        <f>IF(C9643="","",UPPER(LEFT(SUBSTITUTE(C9643," ",""),3))&amp;"-"&amp;TEXT(B9643,"AAMMDD")&amp;"-1")</f>
        <v/>
      </c>
    </row>
    <row r="9644" spans="20:20" hidden="1">
      <c r="T9644" t="str">
        <f>IF(C9644="","",UPPER(LEFT(SUBSTITUTE(C9644," ",""),3))&amp;"-"&amp;TEXT(B9644,"AAMMDD")&amp;"-1")</f>
        <v/>
      </c>
    </row>
    <row r="9645" spans="20:20" hidden="1">
      <c r="T9645" t="str">
        <f>IF(C9645="","",UPPER(LEFT(SUBSTITUTE(C9645," ",""),3))&amp;"-"&amp;TEXT(B9645,"AAMMDD")&amp;"-1")</f>
        <v/>
      </c>
    </row>
    <row r="9646" spans="20:20" hidden="1">
      <c r="T9646" t="str">
        <f>IF(C9646="","",UPPER(LEFT(SUBSTITUTE(C9646," ",""),3))&amp;"-"&amp;TEXT(B9646,"AAMMDD")&amp;"-1")</f>
        <v/>
      </c>
    </row>
    <row r="9647" spans="20:20" hidden="1">
      <c r="T9647" t="str">
        <f>IF(C9647="","",UPPER(LEFT(SUBSTITUTE(C9647," ",""),3))&amp;"-"&amp;TEXT(B9647,"AAMMDD")&amp;"-1")</f>
        <v/>
      </c>
    </row>
    <row r="9648" spans="20:20" hidden="1">
      <c r="T9648" t="str">
        <f>IF(C9648="","",UPPER(LEFT(SUBSTITUTE(C9648," ",""),3))&amp;"-"&amp;TEXT(B9648,"AAMMDD")&amp;"-1")</f>
        <v/>
      </c>
    </row>
    <row r="9649" spans="20:20" hidden="1">
      <c r="T9649" t="str">
        <f>IF(C9649="","",UPPER(LEFT(SUBSTITUTE(C9649," ",""),3))&amp;"-"&amp;TEXT(B9649,"AAMMDD")&amp;"-1")</f>
        <v/>
      </c>
    </row>
    <row r="9650" spans="20:20" hidden="1">
      <c r="T9650" t="str">
        <f>IF(C9650="","",UPPER(LEFT(SUBSTITUTE(C9650," ",""),3))&amp;"-"&amp;TEXT(B9650,"AAMMDD")&amp;"-1")</f>
        <v/>
      </c>
    </row>
    <row r="9651" spans="20:20" hidden="1">
      <c r="T9651" t="str">
        <f>IF(C9651="","",UPPER(LEFT(SUBSTITUTE(C9651," ",""),3))&amp;"-"&amp;TEXT(B9651,"AAMMDD")&amp;"-1")</f>
        <v/>
      </c>
    </row>
    <row r="9652" spans="20:20" hidden="1">
      <c r="T9652" t="str">
        <f>IF(C9652="","",UPPER(LEFT(SUBSTITUTE(C9652," ",""),3))&amp;"-"&amp;TEXT(B9652,"AAMMDD")&amp;"-1")</f>
        <v/>
      </c>
    </row>
    <row r="9653" spans="20:20" hidden="1">
      <c r="T9653" t="str">
        <f>IF(C9653="","",UPPER(LEFT(SUBSTITUTE(C9653," ",""),3))&amp;"-"&amp;TEXT(B9653,"AAMMDD")&amp;"-1")</f>
        <v/>
      </c>
    </row>
    <row r="9654" spans="20:20" hidden="1">
      <c r="T9654" t="str">
        <f>IF(C9654="","",UPPER(LEFT(SUBSTITUTE(C9654," ",""),3))&amp;"-"&amp;TEXT(B9654,"AAMMDD")&amp;"-1")</f>
        <v/>
      </c>
    </row>
    <row r="9655" spans="20:20" hidden="1">
      <c r="T9655" t="str">
        <f>IF(C9655="","",UPPER(LEFT(SUBSTITUTE(C9655," ",""),3))&amp;"-"&amp;TEXT(B9655,"AAMMDD")&amp;"-1")</f>
        <v/>
      </c>
    </row>
    <row r="9656" spans="20:20" hidden="1">
      <c r="T9656" t="str">
        <f>IF(C9656="","",UPPER(LEFT(SUBSTITUTE(C9656," ",""),3))&amp;"-"&amp;TEXT(B9656,"AAMMDD")&amp;"-1")</f>
        <v/>
      </c>
    </row>
    <row r="9657" spans="20:20" hidden="1">
      <c r="T9657" t="str">
        <f>IF(C9657="","",UPPER(LEFT(SUBSTITUTE(C9657," ",""),3))&amp;"-"&amp;TEXT(B9657,"AAMMDD")&amp;"-1")</f>
        <v/>
      </c>
    </row>
    <row r="9658" spans="20:20" hidden="1">
      <c r="T9658" t="str">
        <f>IF(C9658="","",UPPER(LEFT(SUBSTITUTE(C9658," ",""),3))&amp;"-"&amp;TEXT(B9658,"AAMMDD")&amp;"-1")</f>
        <v/>
      </c>
    </row>
    <row r="9659" spans="20:20" hidden="1">
      <c r="T9659" t="str">
        <f>IF(C9659="","",UPPER(LEFT(SUBSTITUTE(C9659," ",""),3))&amp;"-"&amp;TEXT(B9659,"AAMMDD")&amp;"-1")</f>
        <v/>
      </c>
    </row>
    <row r="9660" spans="20:20" hidden="1">
      <c r="T9660" t="str">
        <f>IF(C9660="","",UPPER(LEFT(SUBSTITUTE(C9660," ",""),3))&amp;"-"&amp;TEXT(B9660,"AAMMDD")&amp;"-1")</f>
        <v/>
      </c>
    </row>
    <row r="9661" spans="20:20" hidden="1">
      <c r="T9661" t="str">
        <f>IF(C9661="","",UPPER(LEFT(SUBSTITUTE(C9661," ",""),3))&amp;"-"&amp;TEXT(B9661,"AAMMDD")&amp;"-1")</f>
        <v/>
      </c>
    </row>
    <row r="9662" spans="20:20" hidden="1">
      <c r="T9662" t="str">
        <f>IF(C9662="","",UPPER(LEFT(SUBSTITUTE(C9662," ",""),3))&amp;"-"&amp;TEXT(B9662,"AAMMDD")&amp;"-1")</f>
        <v/>
      </c>
    </row>
    <row r="9663" spans="20:20" hidden="1">
      <c r="T9663" t="str">
        <f>IF(C9663="","",UPPER(LEFT(SUBSTITUTE(C9663," ",""),3))&amp;"-"&amp;TEXT(B9663,"AAMMDD")&amp;"-1")</f>
        <v/>
      </c>
    </row>
    <row r="9664" spans="20:20" hidden="1">
      <c r="T9664" t="str">
        <f>IF(C9664="","",UPPER(LEFT(SUBSTITUTE(C9664," ",""),3))&amp;"-"&amp;TEXT(B9664,"AAMMDD")&amp;"-1")</f>
        <v/>
      </c>
    </row>
    <row r="9665" spans="20:20" hidden="1">
      <c r="T9665" t="str">
        <f>IF(C9665="","",UPPER(LEFT(SUBSTITUTE(C9665," ",""),3))&amp;"-"&amp;TEXT(B9665,"AAMMDD")&amp;"-1")</f>
        <v/>
      </c>
    </row>
    <row r="9666" spans="20:20" hidden="1">
      <c r="T9666" t="str">
        <f>IF(C9666="","",UPPER(LEFT(SUBSTITUTE(C9666," ",""),3))&amp;"-"&amp;TEXT(B9666,"AAMMDD")&amp;"-1")</f>
        <v/>
      </c>
    </row>
    <row r="9667" spans="20:20" hidden="1">
      <c r="T9667" t="str">
        <f>IF(C9667="","",UPPER(LEFT(SUBSTITUTE(C9667," ",""),3))&amp;"-"&amp;TEXT(B9667,"AAMMDD")&amp;"-1")</f>
        <v/>
      </c>
    </row>
    <row r="9668" spans="20:20" hidden="1">
      <c r="T9668" t="str">
        <f>IF(C9668="","",UPPER(LEFT(SUBSTITUTE(C9668," ",""),3))&amp;"-"&amp;TEXT(B9668,"AAMMDD")&amp;"-1")</f>
        <v/>
      </c>
    </row>
    <row r="9669" spans="20:20" hidden="1">
      <c r="T9669" t="str">
        <f>IF(C9669="","",UPPER(LEFT(SUBSTITUTE(C9669," ",""),3))&amp;"-"&amp;TEXT(B9669,"AAMMDD")&amp;"-1")</f>
        <v/>
      </c>
    </row>
    <row r="9670" spans="20:20" hidden="1">
      <c r="T9670" t="str">
        <f>IF(C9670="","",UPPER(LEFT(SUBSTITUTE(C9670," ",""),3))&amp;"-"&amp;TEXT(B9670,"AAMMDD")&amp;"-1")</f>
        <v/>
      </c>
    </row>
    <row r="9671" spans="20:20" hidden="1">
      <c r="T9671" t="str">
        <f>IF(C9671="","",UPPER(LEFT(SUBSTITUTE(C9671," ",""),3))&amp;"-"&amp;TEXT(B9671,"AAMMDD")&amp;"-1")</f>
        <v/>
      </c>
    </row>
    <row r="9672" spans="20:20" hidden="1">
      <c r="T9672" t="str">
        <f>IF(C9672="","",UPPER(LEFT(SUBSTITUTE(C9672," ",""),3))&amp;"-"&amp;TEXT(B9672,"AAMMDD")&amp;"-1")</f>
        <v/>
      </c>
    </row>
    <row r="9673" spans="20:20" hidden="1">
      <c r="T9673" t="str">
        <f>IF(C9673="","",UPPER(LEFT(SUBSTITUTE(C9673," ",""),3))&amp;"-"&amp;TEXT(B9673,"AAMMDD")&amp;"-1")</f>
        <v/>
      </c>
    </row>
    <row r="9674" spans="20:20" hidden="1">
      <c r="T9674" t="str">
        <f>IF(C9674="","",UPPER(LEFT(SUBSTITUTE(C9674," ",""),3))&amp;"-"&amp;TEXT(B9674,"AAMMDD")&amp;"-1")</f>
        <v/>
      </c>
    </row>
    <row r="9675" spans="20:20" hidden="1">
      <c r="T9675" t="str">
        <f>IF(C9675="","",UPPER(LEFT(SUBSTITUTE(C9675," ",""),3))&amp;"-"&amp;TEXT(B9675,"AAMMDD")&amp;"-1")</f>
        <v/>
      </c>
    </row>
    <row r="9676" spans="20:20" hidden="1">
      <c r="T9676" t="str">
        <f>IF(C9676="","",UPPER(LEFT(SUBSTITUTE(C9676," ",""),3))&amp;"-"&amp;TEXT(B9676,"AAMMDD")&amp;"-1")</f>
        <v/>
      </c>
    </row>
    <row r="9677" spans="20:20" hidden="1">
      <c r="T9677" t="str">
        <f>IF(C9677="","",UPPER(LEFT(SUBSTITUTE(C9677," ",""),3))&amp;"-"&amp;TEXT(B9677,"AAMMDD")&amp;"-1")</f>
        <v/>
      </c>
    </row>
    <row r="9678" spans="20:20" hidden="1">
      <c r="T9678" t="str">
        <f>IF(C9678="","",UPPER(LEFT(SUBSTITUTE(C9678," ",""),3))&amp;"-"&amp;TEXT(B9678,"AAMMDD")&amp;"-1")</f>
        <v/>
      </c>
    </row>
    <row r="9679" spans="20:20" hidden="1">
      <c r="T9679" t="str">
        <f>IF(C9679="","",UPPER(LEFT(SUBSTITUTE(C9679," ",""),3))&amp;"-"&amp;TEXT(B9679,"AAMMDD")&amp;"-1")</f>
        <v/>
      </c>
    </row>
    <row r="9680" spans="20:20" hidden="1">
      <c r="T9680" t="str">
        <f>IF(C9680="","",UPPER(LEFT(SUBSTITUTE(C9680," ",""),3))&amp;"-"&amp;TEXT(B9680,"AAMMDD")&amp;"-1")</f>
        <v/>
      </c>
    </row>
    <row r="9681" spans="20:20" hidden="1">
      <c r="T9681" t="str">
        <f>IF(C9681="","",UPPER(LEFT(SUBSTITUTE(C9681," ",""),3))&amp;"-"&amp;TEXT(B9681,"AAMMDD")&amp;"-1")</f>
        <v/>
      </c>
    </row>
    <row r="9682" spans="20:20" hidden="1">
      <c r="T9682" t="str">
        <f>IF(C9682="","",UPPER(LEFT(SUBSTITUTE(C9682," ",""),3))&amp;"-"&amp;TEXT(B9682,"AAMMDD")&amp;"-1")</f>
        <v/>
      </c>
    </row>
    <row r="9683" spans="20:20" hidden="1">
      <c r="T9683" t="str">
        <f>IF(C9683="","",UPPER(LEFT(SUBSTITUTE(C9683," ",""),3))&amp;"-"&amp;TEXT(B9683,"AAMMDD")&amp;"-1")</f>
        <v/>
      </c>
    </row>
    <row r="9684" spans="20:20" hidden="1">
      <c r="T9684" t="str">
        <f>IF(C9684="","",UPPER(LEFT(SUBSTITUTE(C9684," ",""),3))&amp;"-"&amp;TEXT(B9684,"AAMMDD")&amp;"-1")</f>
        <v/>
      </c>
    </row>
    <row r="9685" spans="20:20" hidden="1">
      <c r="T9685" t="str">
        <f>IF(C9685="","",UPPER(LEFT(SUBSTITUTE(C9685," ",""),3))&amp;"-"&amp;TEXT(B9685,"AAMMDD")&amp;"-1")</f>
        <v/>
      </c>
    </row>
    <row r="9686" spans="20:20" hidden="1">
      <c r="T9686" t="str">
        <f>IF(C9686="","",UPPER(LEFT(SUBSTITUTE(C9686," ",""),3))&amp;"-"&amp;TEXT(B9686,"AAMMDD")&amp;"-1")</f>
        <v/>
      </c>
    </row>
    <row r="9687" spans="20:20" hidden="1">
      <c r="T9687" t="str">
        <f>IF(C9687="","",UPPER(LEFT(SUBSTITUTE(C9687," ",""),3))&amp;"-"&amp;TEXT(B9687,"AAMMDD")&amp;"-1")</f>
        <v/>
      </c>
    </row>
    <row r="9688" spans="20:20" hidden="1">
      <c r="T9688" t="str">
        <f>IF(C9688="","",UPPER(LEFT(SUBSTITUTE(C9688," ",""),3))&amp;"-"&amp;TEXT(B9688,"AAMMDD")&amp;"-1")</f>
        <v/>
      </c>
    </row>
    <row r="9689" spans="20:20" hidden="1">
      <c r="T9689" t="str">
        <f>IF(C9689="","",UPPER(LEFT(SUBSTITUTE(C9689," ",""),3))&amp;"-"&amp;TEXT(B9689,"AAMMDD")&amp;"-1")</f>
        <v/>
      </c>
    </row>
    <row r="9690" spans="20:20" hidden="1">
      <c r="T9690" t="str">
        <f>IF(C9690="","",UPPER(LEFT(SUBSTITUTE(C9690," ",""),3))&amp;"-"&amp;TEXT(B9690,"AAMMDD")&amp;"-1")</f>
        <v/>
      </c>
    </row>
    <row r="9691" spans="20:20" hidden="1">
      <c r="T9691" t="str">
        <f>IF(C9691="","",UPPER(LEFT(SUBSTITUTE(C9691," ",""),3))&amp;"-"&amp;TEXT(B9691,"AAMMDD")&amp;"-1")</f>
        <v/>
      </c>
    </row>
    <row r="9692" spans="20:20" hidden="1">
      <c r="T9692" t="str">
        <f>IF(C9692="","",UPPER(LEFT(SUBSTITUTE(C9692," ",""),3))&amp;"-"&amp;TEXT(B9692,"AAMMDD")&amp;"-1")</f>
        <v/>
      </c>
    </row>
    <row r="9693" spans="20:20" hidden="1">
      <c r="T9693" t="str">
        <f>IF(C9693="","",UPPER(LEFT(SUBSTITUTE(C9693," ",""),3))&amp;"-"&amp;TEXT(B9693,"AAMMDD")&amp;"-1")</f>
        <v/>
      </c>
    </row>
    <row r="9694" spans="20:20" hidden="1">
      <c r="T9694" t="str">
        <f>IF(C9694="","",UPPER(LEFT(SUBSTITUTE(C9694," ",""),3))&amp;"-"&amp;TEXT(B9694,"AAMMDD")&amp;"-1")</f>
        <v/>
      </c>
    </row>
    <row r="9695" spans="20:20" hidden="1">
      <c r="T9695" t="str">
        <f>IF(C9695="","",UPPER(LEFT(SUBSTITUTE(C9695," ",""),3))&amp;"-"&amp;TEXT(B9695,"AAMMDD")&amp;"-1")</f>
        <v/>
      </c>
    </row>
    <row r="9696" spans="20:20" hidden="1">
      <c r="T9696" t="str">
        <f>IF(C9696="","",UPPER(LEFT(SUBSTITUTE(C9696," ",""),3))&amp;"-"&amp;TEXT(B9696,"AAMMDD")&amp;"-1")</f>
        <v/>
      </c>
    </row>
    <row r="9697" spans="20:20" hidden="1">
      <c r="T9697" t="str">
        <f>IF(C9697="","",UPPER(LEFT(SUBSTITUTE(C9697," ",""),3))&amp;"-"&amp;TEXT(B9697,"AAMMDD")&amp;"-1")</f>
        <v/>
      </c>
    </row>
    <row r="9698" spans="20:20" hidden="1">
      <c r="T9698" t="str">
        <f>IF(C9698="","",UPPER(LEFT(SUBSTITUTE(C9698," ",""),3))&amp;"-"&amp;TEXT(B9698,"AAMMDD")&amp;"-1")</f>
        <v/>
      </c>
    </row>
    <row r="9699" spans="20:20" hidden="1">
      <c r="T9699" t="str">
        <f>IF(C9699="","",UPPER(LEFT(SUBSTITUTE(C9699," ",""),3))&amp;"-"&amp;TEXT(B9699,"AAMMDD")&amp;"-1")</f>
        <v/>
      </c>
    </row>
    <row r="9700" spans="20:20" hidden="1">
      <c r="T9700" t="str">
        <f>IF(C9700="","",UPPER(LEFT(SUBSTITUTE(C9700," ",""),3))&amp;"-"&amp;TEXT(B9700,"AAMMDD")&amp;"-1")</f>
        <v/>
      </c>
    </row>
    <row r="9701" spans="20:20" hidden="1">
      <c r="T9701" t="str">
        <f>IF(C9701="","",UPPER(LEFT(SUBSTITUTE(C9701," ",""),3))&amp;"-"&amp;TEXT(B9701,"AAMMDD")&amp;"-1")</f>
        <v/>
      </c>
    </row>
    <row r="9702" spans="20:20" hidden="1">
      <c r="T9702" t="str">
        <f>IF(C9702="","",UPPER(LEFT(SUBSTITUTE(C9702," ",""),3))&amp;"-"&amp;TEXT(B9702,"AAMMDD")&amp;"-1")</f>
        <v/>
      </c>
    </row>
    <row r="9703" spans="20:20" hidden="1">
      <c r="T9703" t="str">
        <f>IF(C9703="","",UPPER(LEFT(SUBSTITUTE(C9703," ",""),3))&amp;"-"&amp;TEXT(B9703,"AAMMDD")&amp;"-1")</f>
        <v/>
      </c>
    </row>
    <row r="9704" spans="20:20" hidden="1">
      <c r="T9704" t="str">
        <f>IF(C9704="","",UPPER(LEFT(SUBSTITUTE(C9704," ",""),3))&amp;"-"&amp;TEXT(B9704,"AAMMDD")&amp;"-1")</f>
        <v/>
      </c>
    </row>
    <row r="9705" spans="20:20" hidden="1">
      <c r="T9705" t="str">
        <f>IF(C9705="","",UPPER(LEFT(SUBSTITUTE(C9705," ",""),3))&amp;"-"&amp;TEXT(B9705,"AAMMDD")&amp;"-1")</f>
        <v/>
      </c>
    </row>
    <row r="9706" spans="20:20" hidden="1">
      <c r="T9706" t="str">
        <f>IF(C9706="","",UPPER(LEFT(SUBSTITUTE(C9706," ",""),3))&amp;"-"&amp;TEXT(B9706,"AAMMDD")&amp;"-1")</f>
        <v/>
      </c>
    </row>
    <row r="9707" spans="20:20" hidden="1">
      <c r="T9707" t="str">
        <f>IF(C9707="","",UPPER(LEFT(SUBSTITUTE(C9707," ",""),3))&amp;"-"&amp;TEXT(B9707,"AAMMDD")&amp;"-1")</f>
        <v/>
      </c>
    </row>
    <row r="9708" spans="20:20" hidden="1">
      <c r="T9708" t="str">
        <f>IF(C9708="","",UPPER(LEFT(SUBSTITUTE(C9708," ",""),3))&amp;"-"&amp;TEXT(B9708,"AAMMDD")&amp;"-1")</f>
        <v/>
      </c>
    </row>
    <row r="9709" spans="20:20" hidden="1">
      <c r="T9709" t="str">
        <f>IF(C9709="","",UPPER(LEFT(SUBSTITUTE(C9709," ",""),3))&amp;"-"&amp;TEXT(B9709,"AAMMDD")&amp;"-1")</f>
        <v/>
      </c>
    </row>
    <row r="9710" spans="20:20" hidden="1">
      <c r="T9710" t="str">
        <f>IF(C9710="","",UPPER(LEFT(SUBSTITUTE(C9710," ",""),3))&amp;"-"&amp;TEXT(B9710,"AAMMDD")&amp;"-1")</f>
        <v/>
      </c>
    </row>
    <row r="9711" spans="20:20" hidden="1">
      <c r="T9711" t="str">
        <f>IF(C9711="","",UPPER(LEFT(SUBSTITUTE(C9711," ",""),3))&amp;"-"&amp;TEXT(B9711,"AAMMDD")&amp;"-1")</f>
        <v/>
      </c>
    </row>
    <row r="9712" spans="20:20" hidden="1">
      <c r="T9712" t="str">
        <f>IF(C9712="","",UPPER(LEFT(SUBSTITUTE(C9712," ",""),3))&amp;"-"&amp;TEXT(B9712,"AAMMDD")&amp;"-1")</f>
        <v/>
      </c>
    </row>
    <row r="9713" spans="20:20" hidden="1">
      <c r="T9713" t="str">
        <f>IF(C9713="","",UPPER(LEFT(SUBSTITUTE(C9713," ",""),3))&amp;"-"&amp;TEXT(B9713,"AAMMDD")&amp;"-1")</f>
        <v/>
      </c>
    </row>
    <row r="9714" spans="20:20" hidden="1">
      <c r="T9714" t="str">
        <f>IF(C9714="","",UPPER(LEFT(SUBSTITUTE(C9714," ",""),3))&amp;"-"&amp;TEXT(B9714,"AAMMDD")&amp;"-1")</f>
        <v/>
      </c>
    </row>
    <row r="9715" spans="20:20" hidden="1">
      <c r="T9715" t="str">
        <f>IF(C9715="","",UPPER(LEFT(SUBSTITUTE(C9715," ",""),3))&amp;"-"&amp;TEXT(B9715,"AAMMDD")&amp;"-1")</f>
        <v/>
      </c>
    </row>
    <row r="9716" spans="20:20" hidden="1">
      <c r="T9716" t="str">
        <f>IF(C9716="","",UPPER(LEFT(SUBSTITUTE(C9716," ",""),3))&amp;"-"&amp;TEXT(B9716,"AAMMDD")&amp;"-1")</f>
        <v/>
      </c>
    </row>
    <row r="9717" spans="20:20" hidden="1">
      <c r="T9717" t="str">
        <f>IF(C9717="","",UPPER(LEFT(SUBSTITUTE(C9717," ",""),3))&amp;"-"&amp;TEXT(B9717,"AAMMDD")&amp;"-1")</f>
        <v/>
      </c>
    </row>
    <row r="9718" spans="20:20" hidden="1">
      <c r="T9718" t="str">
        <f>IF(C9718="","",UPPER(LEFT(SUBSTITUTE(C9718," ",""),3))&amp;"-"&amp;TEXT(B9718,"AAMMDD")&amp;"-1")</f>
        <v/>
      </c>
    </row>
    <row r="9719" spans="20:20" hidden="1">
      <c r="T9719" t="str">
        <f>IF(C9719="","",UPPER(LEFT(SUBSTITUTE(C9719," ",""),3))&amp;"-"&amp;TEXT(B9719,"AAMMDD")&amp;"-1")</f>
        <v/>
      </c>
    </row>
    <row r="9720" spans="20:20" hidden="1">
      <c r="T9720" t="str">
        <f>IF(C9720="","",UPPER(LEFT(SUBSTITUTE(C9720," ",""),3))&amp;"-"&amp;TEXT(B9720,"AAMMDD")&amp;"-1")</f>
        <v/>
      </c>
    </row>
    <row r="9721" spans="20:20" hidden="1">
      <c r="T9721" t="str">
        <f>IF(C9721="","",UPPER(LEFT(SUBSTITUTE(C9721," ",""),3))&amp;"-"&amp;TEXT(B9721,"AAMMDD")&amp;"-1")</f>
        <v/>
      </c>
    </row>
    <row r="9722" spans="20:20" hidden="1">
      <c r="T9722" t="str">
        <f>IF(C9722="","",UPPER(LEFT(SUBSTITUTE(C9722," ",""),3))&amp;"-"&amp;TEXT(B9722,"AAMMDD")&amp;"-1")</f>
        <v/>
      </c>
    </row>
    <row r="9723" spans="20:20" hidden="1">
      <c r="T9723" t="str">
        <f>IF(C9723="","",UPPER(LEFT(SUBSTITUTE(C9723," ",""),3))&amp;"-"&amp;TEXT(B9723,"AAMMDD")&amp;"-1")</f>
        <v/>
      </c>
    </row>
    <row r="9724" spans="20:20" hidden="1">
      <c r="T9724" t="str">
        <f>IF(C9724="","",UPPER(LEFT(SUBSTITUTE(C9724," ",""),3))&amp;"-"&amp;TEXT(B9724,"AAMMDD")&amp;"-1")</f>
        <v/>
      </c>
    </row>
    <row r="9725" spans="20:20" hidden="1">
      <c r="T9725" t="str">
        <f>IF(C9725="","",UPPER(LEFT(SUBSTITUTE(C9725," ",""),3))&amp;"-"&amp;TEXT(B9725,"AAMMDD")&amp;"-1")</f>
        <v/>
      </c>
    </row>
    <row r="9726" spans="20:20" hidden="1">
      <c r="T9726" t="str">
        <f>IF(C9726="","",UPPER(LEFT(SUBSTITUTE(C9726," ",""),3))&amp;"-"&amp;TEXT(B9726,"AAMMDD")&amp;"-1")</f>
        <v/>
      </c>
    </row>
    <row r="9727" spans="20:20" hidden="1">
      <c r="T9727" t="str">
        <f>IF(C9727="","",UPPER(LEFT(SUBSTITUTE(C9727," ",""),3))&amp;"-"&amp;TEXT(B9727,"AAMMDD")&amp;"-1")</f>
        <v/>
      </c>
    </row>
    <row r="9728" spans="20:20" hidden="1">
      <c r="T9728" t="str">
        <f>IF(C9728="","",UPPER(LEFT(SUBSTITUTE(C9728," ",""),3))&amp;"-"&amp;TEXT(B9728,"AAMMDD")&amp;"-1")</f>
        <v/>
      </c>
    </row>
    <row r="9729" spans="20:20" hidden="1">
      <c r="T9729" t="str">
        <f>IF(C9729="","",UPPER(LEFT(SUBSTITUTE(C9729," ",""),3))&amp;"-"&amp;TEXT(B9729,"AAMMDD")&amp;"-1")</f>
        <v/>
      </c>
    </row>
    <row r="9730" spans="20:20" hidden="1">
      <c r="T9730" t="str">
        <f>IF(C9730="","",UPPER(LEFT(SUBSTITUTE(C9730," ",""),3))&amp;"-"&amp;TEXT(B9730,"AAMMDD")&amp;"-1")</f>
        <v/>
      </c>
    </row>
    <row r="9731" spans="20:20" hidden="1">
      <c r="T9731" t="str">
        <f>IF(C9731="","",UPPER(LEFT(SUBSTITUTE(C9731," ",""),3))&amp;"-"&amp;TEXT(B9731,"AAMMDD")&amp;"-1")</f>
        <v/>
      </c>
    </row>
    <row r="9732" spans="20:20" hidden="1">
      <c r="T9732" t="str">
        <f>IF(C9732="","",UPPER(LEFT(SUBSTITUTE(C9732," ",""),3))&amp;"-"&amp;TEXT(B9732,"AAMMDD")&amp;"-1")</f>
        <v/>
      </c>
    </row>
    <row r="9733" spans="20:20" hidden="1">
      <c r="T9733" t="str">
        <f>IF(C9733="","",UPPER(LEFT(SUBSTITUTE(C9733," ",""),3))&amp;"-"&amp;TEXT(B9733,"AAMMDD")&amp;"-1")</f>
        <v/>
      </c>
    </row>
    <row r="9734" spans="20:20" hidden="1">
      <c r="T9734" t="str">
        <f>IF(C9734="","",UPPER(LEFT(SUBSTITUTE(C9734," ",""),3))&amp;"-"&amp;TEXT(B9734,"AAMMDD")&amp;"-1")</f>
        <v/>
      </c>
    </row>
    <row r="9735" spans="20:20" hidden="1">
      <c r="T9735" t="str">
        <f>IF(C9735="","",UPPER(LEFT(SUBSTITUTE(C9735," ",""),3))&amp;"-"&amp;TEXT(B9735,"AAMMDD")&amp;"-1")</f>
        <v/>
      </c>
    </row>
    <row r="9736" spans="20:20" hidden="1">
      <c r="T9736" t="str">
        <f>IF(C9736="","",UPPER(LEFT(SUBSTITUTE(C9736," ",""),3))&amp;"-"&amp;TEXT(B9736,"AAMMDD")&amp;"-1")</f>
        <v/>
      </c>
    </row>
    <row r="9737" spans="20:20" hidden="1">
      <c r="T9737" t="str">
        <f>IF(C9737="","",UPPER(LEFT(SUBSTITUTE(C9737," ",""),3))&amp;"-"&amp;TEXT(B9737,"AAMMDD")&amp;"-1")</f>
        <v/>
      </c>
    </row>
    <row r="9738" spans="20:20" hidden="1">
      <c r="T9738" t="str">
        <f>IF(C9738="","",UPPER(LEFT(SUBSTITUTE(C9738," ",""),3))&amp;"-"&amp;TEXT(B9738,"AAMMDD")&amp;"-1")</f>
        <v/>
      </c>
    </row>
    <row r="9739" spans="20:20" hidden="1">
      <c r="T9739" t="str">
        <f>IF(C9739="","",UPPER(LEFT(SUBSTITUTE(C9739," ",""),3))&amp;"-"&amp;TEXT(B9739,"AAMMDD")&amp;"-1")</f>
        <v/>
      </c>
    </row>
    <row r="9740" spans="20:20" hidden="1">
      <c r="T9740" t="str">
        <f>IF(C9740="","",UPPER(LEFT(SUBSTITUTE(C9740," ",""),3))&amp;"-"&amp;TEXT(B9740,"AAMMDD")&amp;"-1")</f>
        <v/>
      </c>
    </row>
    <row r="9741" spans="20:20" hidden="1">
      <c r="T9741" t="str">
        <f>IF(C9741="","",UPPER(LEFT(SUBSTITUTE(C9741," ",""),3))&amp;"-"&amp;TEXT(B9741,"AAMMDD")&amp;"-1")</f>
        <v/>
      </c>
    </row>
    <row r="9742" spans="20:20" hidden="1">
      <c r="T9742" t="str">
        <f>IF(C9742="","",UPPER(LEFT(SUBSTITUTE(C9742," ",""),3))&amp;"-"&amp;TEXT(B9742,"AAMMDD")&amp;"-1")</f>
        <v/>
      </c>
    </row>
    <row r="9743" spans="20:20" hidden="1">
      <c r="T9743" t="str">
        <f>IF(C9743="","",UPPER(LEFT(SUBSTITUTE(C9743," ",""),3))&amp;"-"&amp;TEXT(B9743,"AAMMDD")&amp;"-1")</f>
        <v/>
      </c>
    </row>
    <row r="9744" spans="20:20" hidden="1">
      <c r="T9744" t="str">
        <f>IF(C9744="","",UPPER(LEFT(SUBSTITUTE(C9744," ",""),3))&amp;"-"&amp;TEXT(B9744,"AAMMDD")&amp;"-1")</f>
        <v/>
      </c>
    </row>
    <row r="9745" spans="20:20" hidden="1">
      <c r="T9745" t="str">
        <f>IF(C9745="","",UPPER(LEFT(SUBSTITUTE(C9745," ",""),3))&amp;"-"&amp;TEXT(B9745,"AAMMDD")&amp;"-1")</f>
        <v/>
      </c>
    </row>
    <row r="9746" spans="20:20" hidden="1">
      <c r="T9746" t="str">
        <f>IF(C9746="","",UPPER(LEFT(SUBSTITUTE(C9746," ",""),3))&amp;"-"&amp;TEXT(B9746,"AAMMDD")&amp;"-1")</f>
        <v/>
      </c>
    </row>
    <row r="9747" spans="20:20" hidden="1">
      <c r="T9747" t="str">
        <f>IF(C9747="","",UPPER(LEFT(SUBSTITUTE(C9747," ",""),3))&amp;"-"&amp;TEXT(B9747,"AAMMDD")&amp;"-1")</f>
        <v/>
      </c>
    </row>
    <row r="9748" spans="20:20" hidden="1">
      <c r="T9748" t="str">
        <f>IF(C9748="","",UPPER(LEFT(SUBSTITUTE(C9748," ",""),3))&amp;"-"&amp;TEXT(B9748,"AAMMDD")&amp;"-1")</f>
        <v/>
      </c>
    </row>
    <row r="9749" spans="20:20" hidden="1">
      <c r="T9749" t="str">
        <f>IF(C9749="","",UPPER(LEFT(SUBSTITUTE(C9749," ",""),3))&amp;"-"&amp;TEXT(B9749,"AAMMDD")&amp;"-1")</f>
        <v/>
      </c>
    </row>
    <row r="9750" spans="20:20" hidden="1">
      <c r="T9750" t="str">
        <f>IF(C9750="","",UPPER(LEFT(SUBSTITUTE(C9750," ",""),3))&amp;"-"&amp;TEXT(B9750,"AAMMDD")&amp;"-1")</f>
        <v/>
      </c>
    </row>
    <row r="9751" spans="20:20" hidden="1">
      <c r="T9751" t="str">
        <f>IF(C9751="","",UPPER(LEFT(SUBSTITUTE(C9751," ",""),3))&amp;"-"&amp;TEXT(B9751,"AAMMDD")&amp;"-1")</f>
        <v/>
      </c>
    </row>
    <row r="9752" spans="20:20" hidden="1">
      <c r="T9752" t="str">
        <f>IF(C9752="","",UPPER(LEFT(SUBSTITUTE(C9752," ",""),3))&amp;"-"&amp;TEXT(B9752,"AAMMDD")&amp;"-1")</f>
        <v/>
      </c>
    </row>
    <row r="9753" spans="20:20" hidden="1">
      <c r="T9753" t="str">
        <f>IF(C9753="","",UPPER(LEFT(SUBSTITUTE(C9753," ",""),3))&amp;"-"&amp;TEXT(B9753,"AAMMDD")&amp;"-1")</f>
        <v/>
      </c>
    </row>
    <row r="9754" spans="20:20" hidden="1">
      <c r="T9754" t="str">
        <f>IF(C9754="","",UPPER(LEFT(SUBSTITUTE(C9754," ",""),3))&amp;"-"&amp;TEXT(B9754,"AAMMDD")&amp;"-1")</f>
        <v/>
      </c>
    </row>
    <row r="9755" spans="20:20" hidden="1">
      <c r="T9755" t="str">
        <f>IF(C9755="","",UPPER(LEFT(SUBSTITUTE(C9755," ",""),3))&amp;"-"&amp;TEXT(B9755,"AAMMDD")&amp;"-1")</f>
        <v/>
      </c>
    </row>
    <row r="9756" spans="20:20" hidden="1">
      <c r="T9756" t="str">
        <f>IF(C9756="","",UPPER(LEFT(SUBSTITUTE(C9756," ",""),3))&amp;"-"&amp;TEXT(B9756,"AAMMDD")&amp;"-1")</f>
        <v/>
      </c>
    </row>
    <row r="9757" spans="20:20" hidden="1">
      <c r="T9757" t="str">
        <f>IF(C9757="","",UPPER(LEFT(SUBSTITUTE(C9757," ",""),3))&amp;"-"&amp;TEXT(B9757,"AAMMDD")&amp;"-1")</f>
        <v/>
      </c>
    </row>
    <row r="9758" spans="20:20" hidden="1">
      <c r="T9758" t="str">
        <f>IF(C9758="","",UPPER(LEFT(SUBSTITUTE(C9758," ",""),3))&amp;"-"&amp;TEXT(B9758,"AAMMDD")&amp;"-1")</f>
        <v/>
      </c>
    </row>
    <row r="9759" spans="20:20" hidden="1">
      <c r="T9759" t="str">
        <f>IF(C9759="","",UPPER(LEFT(SUBSTITUTE(C9759," ",""),3))&amp;"-"&amp;TEXT(B9759,"AAMMDD")&amp;"-1")</f>
        <v/>
      </c>
    </row>
    <row r="9760" spans="20:20" hidden="1">
      <c r="T9760" t="str">
        <f>IF(C9760="","",UPPER(LEFT(SUBSTITUTE(C9760," ",""),3))&amp;"-"&amp;TEXT(B9760,"AAMMDD")&amp;"-1")</f>
        <v/>
      </c>
    </row>
    <row r="9761" spans="20:20" hidden="1">
      <c r="T9761" t="str">
        <f>IF(C9761="","",UPPER(LEFT(SUBSTITUTE(C9761," ",""),3))&amp;"-"&amp;TEXT(B9761,"AAMMDD")&amp;"-1")</f>
        <v/>
      </c>
    </row>
    <row r="9762" spans="20:20" hidden="1">
      <c r="T9762" t="str">
        <f>IF(C9762="","",UPPER(LEFT(SUBSTITUTE(C9762," ",""),3))&amp;"-"&amp;TEXT(B9762,"AAMMDD")&amp;"-1")</f>
        <v/>
      </c>
    </row>
    <row r="9763" spans="20:20" hidden="1">
      <c r="T9763" t="str">
        <f>IF(C9763="","",UPPER(LEFT(SUBSTITUTE(C9763," ",""),3))&amp;"-"&amp;TEXT(B9763,"AAMMDD")&amp;"-1")</f>
        <v/>
      </c>
    </row>
    <row r="9764" spans="20:20" hidden="1">
      <c r="T9764" t="str">
        <f>IF(C9764="","",UPPER(LEFT(SUBSTITUTE(C9764," ",""),3))&amp;"-"&amp;TEXT(B9764,"AAMMDD")&amp;"-1")</f>
        <v/>
      </c>
    </row>
    <row r="9765" spans="20:20" hidden="1">
      <c r="T9765" t="str">
        <f>IF(C9765="","",UPPER(LEFT(SUBSTITUTE(C9765," ",""),3))&amp;"-"&amp;TEXT(B9765,"AAMMDD")&amp;"-1")</f>
        <v/>
      </c>
    </row>
    <row r="9766" spans="20:20" hidden="1">
      <c r="T9766" t="str">
        <f>IF(C9766="","",UPPER(LEFT(SUBSTITUTE(C9766," ",""),3))&amp;"-"&amp;TEXT(B9766,"AAMMDD")&amp;"-1")</f>
        <v/>
      </c>
    </row>
    <row r="9767" spans="20:20" hidden="1">
      <c r="T9767" t="str">
        <f>IF(C9767="","",UPPER(LEFT(SUBSTITUTE(C9767," ",""),3))&amp;"-"&amp;TEXT(B9767,"AAMMDD")&amp;"-1")</f>
        <v/>
      </c>
    </row>
    <row r="9768" spans="20:20" hidden="1">
      <c r="T9768" t="str">
        <f>IF(C9768="","",UPPER(LEFT(SUBSTITUTE(C9768," ",""),3))&amp;"-"&amp;TEXT(B9768,"AAMMDD")&amp;"-1")</f>
        <v/>
      </c>
    </row>
    <row r="9769" spans="20:20" hidden="1">
      <c r="T9769" t="str">
        <f>IF(C9769="","",UPPER(LEFT(SUBSTITUTE(C9769," ",""),3))&amp;"-"&amp;TEXT(B9769,"AAMMDD")&amp;"-1")</f>
        <v/>
      </c>
    </row>
    <row r="9770" spans="20:20" hidden="1">
      <c r="T9770" t="str">
        <f>IF(C9770="","",UPPER(LEFT(SUBSTITUTE(C9770," ",""),3))&amp;"-"&amp;TEXT(B9770,"AAMMDD")&amp;"-1")</f>
        <v/>
      </c>
    </row>
    <row r="9771" spans="20:20" hidden="1">
      <c r="T9771" t="str">
        <f>IF(C9771="","",UPPER(LEFT(SUBSTITUTE(C9771," ",""),3))&amp;"-"&amp;TEXT(B9771,"AAMMDD")&amp;"-1")</f>
        <v/>
      </c>
    </row>
    <row r="9772" spans="20:20" hidden="1">
      <c r="T9772" t="str">
        <f>IF(C9772="","",UPPER(LEFT(SUBSTITUTE(C9772," ",""),3))&amp;"-"&amp;TEXT(B9772,"AAMMDD")&amp;"-1")</f>
        <v/>
      </c>
    </row>
    <row r="9773" spans="20:20" hidden="1">
      <c r="T9773" t="str">
        <f>IF(C9773="","",UPPER(LEFT(SUBSTITUTE(C9773," ",""),3))&amp;"-"&amp;TEXT(B9773,"AAMMDD")&amp;"-1")</f>
        <v/>
      </c>
    </row>
    <row r="9774" spans="20:20" hidden="1">
      <c r="T9774" t="str">
        <f>IF(C9774="","",UPPER(LEFT(SUBSTITUTE(C9774," ",""),3))&amp;"-"&amp;TEXT(B9774,"AAMMDD")&amp;"-1")</f>
        <v/>
      </c>
    </row>
    <row r="9775" spans="20:20" hidden="1">
      <c r="T9775" t="str">
        <f>IF(C9775="","",UPPER(LEFT(SUBSTITUTE(C9775," ",""),3))&amp;"-"&amp;TEXT(B9775,"AAMMDD")&amp;"-1")</f>
        <v/>
      </c>
    </row>
    <row r="9776" spans="20:20" hidden="1">
      <c r="T9776" t="str">
        <f>IF(C9776="","",UPPER(LEFT(SUBSTITUTE(C9776," ",""),3))&amp;"-"&amp;TEXT(B9776,"AAMMDD")&amp;"-1")</f>
        <v/>
      </c>
    </row>
    <row r="9777" spans="20:20" hidden="1">
      <c r="T9777" t="str">
        <f>IF(C9777="","",UPPER(LEFT(SUBSTITUTE(C9777," ",""),3))&amp;"-"&amp;TEXT(B9777,"AAMMDD")&amp;"-1")</f>
        <v/>
      </c>
    </row>
    <row r="9778" spans="20:20" hidden="1">
      <c r="T9778" t="str">
        <f>IF(C9778="","",UPPER(LEFT(SUBSTITUTE(C9778," ",""),3))&amp;"-"&amp;TEXT(B9778,"AAMMDD")&amp;"-1")</f>
        <v/>
      </c>
    </row>
    <row r="9779" spans="20:20" hidden="1">
      <c r="T9779" t="str">
        <f>IF(C9779="","",UPPER(LEFT(SUBSTITUTE(C9779," ",""),3))&amp;"-"&amp;TEXT(B9779,"AAMMDD")&amp;"-1")</f>
        <v/>
      </c>
    </row>
    <row r="9780" spans="20:20" hidden="1">
      <c r="T9780" t="str">
        <f>IF(C9780="","",UPPER(LEFT(SUBSTITUTE(C9780," ",""),3))&amp;"-"&amp;TEXT(B9780,"AAMMDD")&amp;"-1")</f>
        <v/>
      </c>
    </row>
    <row r="9781" spans="20:20" hidden="1">
      <c r="T9781" t="str">
        <f>IF(C9781="","",UPPER(LEFT(SUBSTITUTE(C9781," ",""),3))&amp;"-"&amp;TEXT(B9781,"AAMMDD")&amp;"-1")</f>
        <v/>
      </c>
    </row>
    <row r="9782" spans="20:20" hidden="1">
      <c r="T9782" t="str">
        <f>IF(C9782="","",UPPER(LEFT(SUBSTITUTE(C9782," ",""),3))&amp;"-"&amp;TEXT(B9782,"AAMMDD")&amp;"-1")</f>
        <v/>
      </c>
    </row>
    <row r="9783" spans="20:20" hidden="1">
      <c r="T9783" t="str">
        <f>IF(C9783="","",UPPER(LEFT(SUBSTITUTE(C9783," ",""),3))&amp;"-"&amp;TEXT(B9783,"AAMMDD")&amp;"-1")</f>
        <v/>
      </c>
    </row>
    <row r="9784" spans="20:20" hidden="1">
      <c r="T9784" t="str">
        <f>IF(C9784="","",UPPER(LEFT(SUBSTITUTE(C9784," ",""),3))&amp;"-"&amp;TEXT(B9784,"AAMMDD")&amp;"-1")</f>
        <v/>
      </c>
    </row>
    <row r="9785" spans="20:20" hidden="1">
      <c r="T9785" t="str">
        <f>IF(C9785="","",UPPER(LEFT(SUBSTITUTE(C9785," ",""),3))&amp;"-"&amp;TEXT(B9785,"AAMMDD")&amp;"-1")</f>
        <v/>
      </c>
    </row>
    <row r="9786" spans="20:20" hidden="1">
      <c r="T9786" t="str">
        <f>IF(C9786="","",UPPER(LEFT(SUBSTITUTE(C9786," ",""),3))&amp;"-"&amp;TEXT(B9786,"AAMMDD")&amp;"-1")</f>
        <v/>
      </c>
    </row>
    <row r="9787" spans="20:20" hidden="1">
      <c r="T9787" t="str">
        <f>IF(C9787="","",UPPER(LEFT(SUBSTITUTE(C9787," ",""),3))&amp;"-"&amp;TEXT(B9787,"AAMMDD")&amp;"-1")</f>
        <v/>
      </c>
    </row>
    <row r="9788" spans="20:20" hidden="1">
      <c r="T9788" t="str">
        <f>IF(C9788="","",UPPER(LEFT(SUBSTITUTE(C9788," ",""),3))&amp;"-"&amp;TEXT(B9788,"AAMMDD")&amp;"-1")</f>
        <v/>
      </c>
    </row>
    <row r="9789" spans="20:20" hidden="1">
      <c r="T9789" t="str">
        <f>IF(C9789="","",UPPER(LEFT(SUBSTITUTE(C9789," ",""),3))&amp;"-"&amp;TEXT(B9789,"AAMMDD")&amp;"-1")</f>
        <v/>
      </c>
    </row>
    <row r="9790" spans="20:20" hidden="1">
      <c r="T9790" t="str">
        <f>IF(C9790="","",UPPER(LEFT(SUBSTITUTE(C9790," ",""),3))&amp;"-"&amp;TEXT(B9790,"AAMMDD")&amp;"-1")</f>
        <v/>
      </c>
    </row>
    <row r="9791" spans="20:20" hidden="1">
      <c r="T9791" t="str">
        <f>IF(C9791="","",UPPER(LEFT(SUBSTITUTE(C9791," ",""),3))&amp;"-"&amp;TEXT(B9791,"AAMMDD")&amp;"-1")</f>
        <v/>
      </c>
    </row>
    <row r="9792" spans="20:20" hidden="1">
      <c r="T9792" t="str">
        <f>IF(C9792="","",UPPER(LEFT(SUBSTITUTE(C9792," ",""),3))&amp;"-"&amp;TEXT(B9792,"AAMMDD")&amp;"-1")</f>
        <v/>
      </c>
    </row>
    <row r="9793" spans="20:20" hidden="1">
      <c r="T9793" t="str">
        <f>IF(C9793="","",UPPER(LEFT(SUBSTITUTE(C9793," ",""),3))&amp;"-"&amp;TEXT(B9793,"AAMMDD")&amp;"-1")</f>
        <v/>
      </c>
    </row>
    <row r="9794" spans="20:20" hidden="1">
      <c r="T9794" t="str">
        <f>IF(C9794="","",UPPER(LEFT(SUBSTITUTE(C9794," ",""),3))&amp;"-"&amp;TEXT(B9794,"AAMMDD")&amp;"-1")</f>
        <v/>
      </c>
    </row>
    <row r="9795" spans="20:20" hidden="1">
      <c r="T9795" t="str">
        <f>IF(C9795="","",UPPER(LEFT(SUBSTITUTE(C9795," ",""),3))&amp;"-"&amp;TEXT(B9795,"AAMMDD")&amp;"-1")</f>
        <v/>
      </c>
    </row>
    <row r="9796" spans="20:20" hidden="1">
      <c r="T9796" t="str">
        <f>IF(C9796="","",UPPER(LEFT(SUBSTITUTE(C9796," ",""),3))&amp;"-"&amp;TEXT(B9796,"AAMMDD")&amp;"-1")</f>
        <v/>
      </c>
    </row>
    <row r="9797" spans="20:20" hidden="1">
      <c r="T9797" t="str">
        <f>IF(C9797="","",UPPER(LEFT(SUBSTITUTE(C9797," ",""),3))&amp;"-"&amp;TEXT(B9797,"AAMMDD")&amp;"-1")</f>
        <v/>
      </c>
    </row>
    <row r="9798" spans="20:20" hidden="1">
      <c r="T9798" t="str">
        <f>IF(C9798="","",UPPER(LEFT(SUBSTITUTE(C9798," ",""),3))&amp;"-"&amp;TEXT(B9798,"AAMMDD")&amp;"-1")</f>
        <v/>
      </c>
    </row>
    <row r="9799" spans="20:20" hidden="1">
      <c r="T9799" t="str">
        <f>IF(C9799="","",UPPER(LEFT(SUBSTITUTE(C9799," ",""),3))&amp;"-"&amp;TEXT(B9799,"AAMMDD")&amp;"-1")</f>
        <v/>
      </c>
    </row>
    <row r="9800" spans="20:20" hidden="1">
      <c r="T9800" t="str">
        <f>IF(C9800="","",UPPER(LEFT(SUBSTITUTE(C9800," ",""),3))&amp;"-"&amp;TEXT(B9800,"AAMMDD")&amp;"-1")</f>
        <v/>
      </c>
    </row>
    <row r="9801" spans="20:20" hidden="1">
      <c r="T9801" t="str">
        <f>IF(C9801="","",UPPER(LEFT(SUBSTITUTE(C9801," ",""),3))&amp;"-"&amp;TEXT(B9801,"AAMMDD")&amp;"-1")</f>
        <v/>
      </c>
    </row>
    <row r="9802" spans="20:20" hidden="1">
      <c r="T9802" t="str">
        <f>IF(C9802="","",UPPER(LEFT(SUBSTITUTE(C9802," ",""),3))&amp;"-"&amp;TEXT(B9802,"AAMMDD")&amp;"-1")</f>
        <v/>
      </c>
    </row>
    <row r="9803" spans="20:20" hidden="1">
      <c r="T9803" t="str">
        <f>IF(C9803="","",UPPER(LEFT(SUBSTITUTE(C9803," ",""),3))&amp;"-"&amp;TEXT(B9803,"AAMMDD")&amp;"-1")</f>
        <v/>
      </c>
    </row>
    <row r="9804" spans="20:20" hidden="1">
      <c r="T9804" t="str">
        <f>IF(C9804="","",UPPER(LEFT(SUBSTITUTE(C9804," ",""),3))&amp;"-"&amp;TEXT(B9804,"AAMMDD")&amp;"-1")</f>
        <v/>
      </c>
    </row>
    <row r="9805" spans="20:20" hidden="1">
      <c r="T9805" t="str">
        <f>IF(C9805="","",UPPER(LEFT(SUBSTITUTE(C9805," ",""),3))&amp;"-"&amp;TEXT(B9805,"AAMMDD")&amp;"-1")</f>
        <v/>
      </c>
    </row>
    <row r="9806" spans="20:20" hidden="1">
      <c r="T9806" t="str">
        <f>IF(C9806="","",UPPER(LEFT(SUBSTITUTE(C9806," ",""),3))&amp;"-"&amp;TEXT(B9806,"AAMMDD")&amp;"-1")</f>
        <v/>
      </c>
    </row>
    <row r="9807" spans="20:20" hidden="1">
      <c r="T9807" t="str">
        <f>IF(C9807="","",UPPER(LEFT(SUBSTITUTE(C9807," ",""),3))&amp;"-"&amp;TEXT(B9807,"AAMMDD")&amp;"-1")</f>
        <v/>
      </c>
    </row>
    <row r="9808" spans="20:20" hidden="1">
      <c r="T9808" t="str">
        <f>IF(C9808="","",UPPER(LEFT(SUBSTITUTE(C9808," ",""),3))&amp;"-"&amp;TEXT(B9808,"AAMMDD")&amp;"-1")</f>
        <v/>
      </c>
    </row>
    <row r="9809" spans="20:20" hidden="1">
      <c r="T9809" t="str">
        <f>IF(C9809="","",UPPER(LEFT(SUBSTITUTE(C9809," ",""),3))&amp;"-"&amp;TEXT(B9809,"AAMMDD")&amp;"-1")</f>
        <v/>
      </c>
    </row>
    <row r="9810" spans="20:20" hidden="1">
      <c r="T9810" t="str">
        <f>IF(C9810="","",UPPER(LEFT(SUBSTITUTE(C9810," ",""),3))&amp;"-"&amp;TEXT(B9810,"AAMMDD")&amp;"-1")</f>
        <v/>
      </c>
    </row>
    <row r="9811" spans="20:20" hidden="1">
      <c r="T9811" t="str">
        <f>IF(C9811="","",UPPER(LEFT(SUBSTITUTE(C9811," ",""),3))&amp;"-"&amp;TEXT(B9811,"AAMMDD")&amp;"-1")</f>
        <v/>
      </c>
    </row>
    <row r="9812" spans="20:20" hidden="1">
      <c r="T9812" t="str">
        <f>IF(C9812="","",UPPER(LEFT(SUBSTITUTE(C9812," ",""),3))&amp;"-"&amp;TEXT(B9812,"AAMMDD")&amp;"-1")</f>
        <v/>
      </c>
    </row>
    <row r="9813" spans="20:20" hidden="1">
      <c r="T9813" t="str">
        <f>IF(C9813="","",UPPER(LEFT(SUBSTITUTE(C9813," ",""),3))&amp;"-"&amp;TEXT(B9813,"AAMMDD")&amp;"-1")</f>
        <v/>
      </c>
    </row>
    <row r="9814" spans="20:20" hidden="1">
      <c r="T9814" t="str">
        <f>IF(C9814="","",UPPER(LEFT(SUBSTITUTE(C9814," ",""),3))&amp;"-"&amp;TEXT(B9814,"AAMMDD")&amp;"-1")</f>
        <v/>
      </c>
    </row>
    <row r="9815" spans="20:20" hidden="1">
      <c r="T9815" t="str">
        <f>IF(C9815="","",UPPER(LEFT(SUBSTITUTE(C9815," ",""),3))&amp;"-"&amp;TEXT(B9815,"AAMMDD")&amp;"-1")</f>
        <v/>
      </c>
    </row>
    <row r="9816" spans="20:20" hidden="1">
      <c r="T9816" t="str">
        <f>IF(C9816="","",UPPER(LEFT(SUBSTITUTE(C9816," ",""),3))&amp;"-"&amp;TEXT(B9816,"AAMMDD")&amp;"-1")</f>
        <v/>
      </c>
    </row>
    <row r="9817" spans="20:20" hidden="1">
      <c r="T9817" t="str">
        <f>IF(C9817="","",UPPER(LEFT(SUBSTITUTE(C9817," ",""),3))&amp;"-"&amp;TEXT(B9817,"AAMMDD")&amp;"-1")</f>
        <v/>
      </c>
    </row>
    <row r="9818" spans="20:20" hidden="1">
      <c r="T9818" t="str">
        <f>IF(C9818="","",UPPER(LEFT(SUBSTITUTE(C9818," ",""),3))&amp;"-"&amp;TEXT(B9818,"AAMMDD")&amp;"-1")</f>
        <v/>
      </c>
    </row>
    <row r="9819" spans="20:20" hidden="1">
      <c r="T9819" t="str">
        <f>IF(C9819="","",UPPER(LEFT(SUBSTITUTE(C9819," ",""),3))&amp;"-"&amp;TEXT(B9819,"AAMMDD")&amp;"-1")</f>
        <v/>
      </c>
    </row>
    <row r="9820" spans="20:20" hidden="1">
      <c r="T9820" t="str">
        <f>IF(C9820="","",UPPER(LEFT(SUBSTITUTE(C9820," ",""),3))&amp;"-"&amp;TEXT(B9820,"AAMMDD")&amp;"-1")</f>
        <v/>
      </c>
    </row>
    <row r="9821" spans="20:20" hidden="1">
      <c r="T9821" t="str">
        <f>IF(C9821="","",UPPER(LEFT(SUBSTITUTE(C9821," ",""),3))&amp;"-"&amp;TEXT(B9821,"AAMMDD")&amp;"-1")</f>
        <v/>
      </c>
    </row>
    <row r="9822" spans="20:20" hidden="1">
      <c r="T9822" t="str">
        <f>IF(C9822="","",UPPER(LEFT(SUBSTITUTE(C9822," ",""),3))&amp;"-"&amp;TEXT(B9822,"AAMMDD")&amp;"-1")</f>
        <v/>
      </c>
    </row>
    <row r="9823" spans="20:20" hidden="1">
      <c r="T9823" t="str">
        <f>IF(C9823="","",UPPER(LEFT(SUBSTITUTE(C9823," ",""),3))&amp;"-"&amp;TEXT(B9823,"AAMMDD")&amp;"-1")</f>
        <v/>
      </c>
    </row>
    <row r="9824" spans="20:20" hidden="1">
      <c r="T9824" t="str">
        <f>IF(C9824="","",UPPER(LEFT(SUBSTITUTE(C9824," ",""),3))&amp;"-"&amp;TEXT(B9824,"AAMMDD")&amp;"-1")</f>
        <v/>
      </c>
    </row>
    <row r="9825" spans="20:20" hidden="1">
      <c r="T9825" t="str">
        <f>IF(C9825="","",UPPER(LEFT(SUBSTITUTE(C9825," ",""),3))&amp;"-"&amp;TEXT(B9825,"AAMMDD")&amp;"-1")</f>
        <v/>
      </c>
    </row>
    <row r="9826" spans="20:20" hidden="1">
      <c r="T9826" t="str">
        <f>IF(C9826="","",UPPER(LEFT(SUBSTITUTE(C9826," ",""),3))&amp;"-"&amp;TEXT(B9826,"AAMMDD")&amp;"-1")</f>
        <v/>
      </c>
    </row>
    <row r="9827" spans="20:20" hidden="1">
      <c r="T9827" t="str">
        <f>IF(C9827="","",UPPER(LEFT(SUBSTITUTE(C9827," ",""),3))&amp;"-"&amp;TEXT(B9827,"AAMMDD")&amp;"-1")</f>
        <v/>
      </c>
    </row>
    <row r="9828" spans="20:20" hidden="1">
      <c r="T9828" t="str">
        <f>IF(C9828="","",UPPER(LEFT(SUBSTITUTE(C9828," ",""),3))&amp;"-"&amp;TEXT(B9828,"AAMMDD")&amp;"-1")</f>
        <v/>
      </c>
    </row>
    <row r="9829" spans="20:20" hidden="1">
      <c r="T9829" t="str">
        <f>IF(C9829="","",UPPER(LEFT(SUBSTITUTE(C9829," ",""),3))&amp;"-"&amp;TEXT(B9829,"AAMMDD")&amp;"-1")</f>
        <v/>
      </c>
    </row>
    <row r="9830" spans="20:20" hidden="1">
      <c r="T9830" t="str">
        <f>IF(C9830="","",UPPER(LEFT(SUBSTITUTE(C9830," ",""),3))&amp;"-"&amp;TEXT(B9830,"AAMMDD")&amp;"-1")</f>
        <v/>
      </c>
    </row>
    <row r="9831" spans="20:20" hidden="1">
      <c r="T9831" t="str">
        <f>IF(C9831="","",UPPER(LEFT(SUBSTITUTE(C9831," ",""),3))&amp;"-"&amp;TEXT(B9831,"AAMMDD")&amp;"-1")</f>
        <v/>
      </c>
    </row>
    <row r="9832" spans="20:20" hidden="1">
      <c r="T9832" t="str">
        <f>IF(C9832="","",UPPER(LEFT(SUBSTITUTE(C9832," ",""),3))&amp;"-"&amp;TEXT(B9832,"AAMMDD")&amp;"-1")</f>
        <v/>
      </c>
    </row>
    <row r="9833" spans="20:20" hidden="1">
      <c r="T9833" t="str">
        <f>IF(C9833="","",UPPER(LEFT(SUBSTITUTE(C9833," ",""),3))&amp;"-"&amp;TEXT(B9833,"AAMMDD")&amp;"-1")</f>
        <v/>
      </c>
    </row>
    <row r="9834" spans="20:20" hidden="1">
      <c r="T9834" t="str">
        <f>IF(C9834="","",UPPER(LEFT(SUBSTITUTE(C9834," ",""),3))&amp;"-"&amp;TEXT(B9834,"AAMMDD")&amp;"-1")</f>
        <v/>
      </c>
    </row>
    <row r="9835" spans="20:20" hidden="1">
      <c r="T9835" t="str">
        <f>IF(C9835="","",UPPER(LEFT(SUBSTITUTE(C9835," ",""),3))&amp;"-"&amp;TEXT(B9835,"AAMMDD")&amp;"-1")</f>
        <v/>
      </c>
    </row>
    <row r="9836" spans="20:20" hidden="1">
      <c r="T9836" t="str">
        <f>IF(C9836="","",UPPER(LEFT(SUBSTITUTE(C9836," ",""),3))&amp;"-"&amp;TEXT(B9836,"AAMMDD")&amp;"-1")</f>
        <v/>
      </c>
    </row>
    <row r="9837" spans="20:20" hidden="1">
      <c r="T9837" t="str">
        <f>IF(C9837="","",UPPER(LEFT(SUBSTITUTE(C9837," ",""),3))&amp;"-"&amp;TEXT(B9837,"AAMMDD")&amp;"-1")</f>
        <v/>
      </c>
    </row>
    <row r="9838" spans="20:20" hidden="1">
      <c r="T9838" t="str">
        <f>IF(C9838="","",UPPER(LEFT(SUBSTITUTE(C9838," ",""),3))&amp;"-"&amp;TEXT(B9838,"AAMMDD")&amp;"-1")</f>
        <v/>
      </c>
    </row>
    <row r="9839" spans="20:20" hidden="1">
      <c r="T9839" t="str">
        <f>IF(C9839="","",UPPER(LEFT(SUBSTITUTE(C9839," ",""),3))&amp;"-"&amp;TEXT(B9839,"AAMMDD")&amp;"-1")</f>
        <v/>
      </c>
    </row>
    <row r="9840" spans="20:20" hidden="1">
      <c r="T9840" t="str">
        <f>IF(C9840="","",UPPER(LEFT(SUBSTITUTE(C9840," ",""),3))&amp;"-"&amp;TEXT(B9840,"AAMMDD")&amp;"-1")</f>
        <v/>
      </c>
    </row>
    <row r="9841" spans="20:20" hidden="1">
      <c r="T9841" t="str">
        <f>IF(C9841="","",UPPER(LEFT(SUBSTITUTE(C9841," ",""),3))&amp;"-"&amp;TEXT(B9841,"AAMMDD")&amp;"-1")</f>
        <v/>
      </c>
    </row>
    <row r="9842" spans="20:20" hidden="1">
      <c r="T9842" t="str">
        <f>IF(C9842="","",UPPER(LEFT(SUBSTITUTE(C9842," ",""),3))&amp;"-"&amp;TEXT(B9842,"AAMMDD")&amp;"-1")</f>
        <v/>
      </c>
    </row>
    <row r="9843" spans="20:20" hidden="1">
      <c r="T9843" t="str">
        <f>IF(C9843="","",UPPER(LEFT(SUBSTITUTE(C9843," ",""),3))&amp;"-"&amp;TEXT(B9843,"AAMMDD")&amp;"-1")</f>
        <v/>
      </c>
    </row>
    <row r="9844" spans="20:20" hidden="1">
      <c r="T9844" t="str">
        <f>IF(C9844="","",UPPER(LEFT(SUBSTITUTE(C9844," ",""),3))&amp;"-"&amp;TEXT(B9844,"AAMMDD")&amp;"-1")</f>
        <v/>
      </c>
    </row>
    <row r="9845" spans="20:20" hidden="1">
      <c r="T9845" t="str">
        <f>IF(C9845="","",UPPER(LEFT(SUBSTITUTE(C9845," ",""),3))&amp;"-"&amp;TEXT(B9845,"AAMMDD")&amp;"-1")</f>
        <v/>
      </c>
    </row>
    <row r="9846" spans="20:20" hidden="1">
      <c r="T9846" t="str">
        <f>IF(C9846="","",UPPER(LEFT(SUBSTITUTE(C9846," ",""),3))&amp;"-"&amp;TEXT(B9846,"AAMMDD")&amp;"-1")</f>
        <v/>
      </c>
    </row>
    <row r="9847" spans="20:20" hidden="1">
      <c r="T9847" t="str">
        <f>IF(C9847="","",UPPER(LEFT(SUBSTITUTE(C9847," ",""),3))&amp;"-"&amp;TEXT(B9847,"AAMMDD")&amp;"-1")</f>
        <v/>
      </c>
    </row>
    <row r="9848" spans="20:20" hidden="1">
      <c r="T9848" t="str">
        <f>IF(C9848="","",UPPER(LEFT(SUBSTITUTE(C9848," ",""),3))&amp;"-"&amp;TEXT(B9848,"AAMMDD")&amp;"-1")</f>
        <v/>
      </c>
    </row>
    <row r="9849" spans="20:20" hidden="1">
      <c r="T9849" t="str">
        <f>IF(C9849="","",UPPER(LEFT(SUBSTITUTE(C9849," ",""),3))&amp;"-"&amp;TEXT(B9849,"AAMMDD")&amp;"-1")</f>
        <v/>
      </c>
    </row>
    <row r="9850" spans="20:20" hidden="1">
      <c r="T9850" t="str">
        <f>IF(C9850="","",UPPER(LEFT(SUBSTITUTE(C9850," ",""),3))&amp;"-"&amp;TEXT(B9850,"AAMMDD")&amp;"-1")</f>
        <v/>
      </c>
    </row>
    <row r="9851" spans="20:20" hidden="1">
      <c r="T9851" t="str">
        <f>IF(C9851="","",UPPER(LEFT(SUBSTITUTE(C9851," ",""),3))&amp;"-"&amp;TEXT(B9851,"AAMMDD")&amp;"-1")</f>
        <v/>
      </c>
    </row>
    <row r="9852" spans="20:20" hidden="1">
      <c r="T9852" t="str">
        <f>IF(C9852="","",UPPER(LEFT(SUBSTITUTE(C9852," ",""),3))&amp;"-"&amp;TEXT(B9852,"AAMMDD")&amp;"-1")</f>
        <v/>
      </c>
    </row>
    <row r="9853" spans="20:20" hidden="1">
      <c r="T9853" t="str">
        <f>IF(C9853="","",UPPER(LEFT(SUBSTITUTE(C9853," ",""),3))&amp;"-"&amp;TEXT(B9853,"AAMMDD")&amp;"-1")</f>
        <v/>
      </c>
    </row>
    <row r="9854" spans="20:20" hidden="1">
      <c r="T9854" t="str">
        <f>IF(C9854="","",UPPER(LEFT(SUBSTITUTE(C9854," ",""),3))&amp;"-"&amp;TEXT(B9854,"AAMMDD")&amp;"-1")</f>
        <v/>
      </c>
    </row>
    <row r="9855" spans="20:20" hidden="1">
      <c r="T9855" t="str">
        <f>IF(C9855="","",UPPER(LEFT(SUBSTITUTE(C9855," ",""),3))&amp;"-"&amp;TEXT(B9855,"AAMMDD")&amp;"-1")</f>
        <v/>
      </c>
    </row>
    <row r="9856" spans="20:20" hidden="1">
      <c r="T9856" t="str">
        <f>IF(C9856="","",UPPER(LEFT(SUBSTITUTE(C9856," ",""),3))&amp;"-"&amp;TEXT(B9856,"AAMMDD")&amp;"-1")</f>
        <v/>
      </c>
    </row>
    <row r="9857" spans="20:20" hidden="1">
      <c r="T9857" t="str">
        <f>IF(C9857="","",UPPER(LEFT(SUBSTITUTE(C9857," ",""),3))&amp;"-"&amp;TEXT(B9857,"AAMMDD")&amp;"-1")</f>
        <v/>
      </c>
    </row>
    <row r="9858" spans="20:20" hidden="1">
      <c r="T9858" t="str">
        <f>IF(C9858="","",UPPER(LEFT(SUBSTITUTE(C9858," ",""),3))&amp;"-"&amp;TEXT(B9858,"AAMMDD")&amp;"-1")</f>
        <v/>
      </c>
    </row>
    <row r="9859" spans="20:20" hidden="1">
      <c r="T9859" t="str">
        <f>IF(C9859="","",UPPER(LEFT(SUBSTITUTE(C9859," ",""),3))&amp;"-"&amp;TEXT(B9859,"AAMMDD")&amp;"-1")</f>
        <v/>
      </c>
    </row>
    <row r="9860" spans="20:20" hidden="1">
      <c r="T9860" t="str">
        <f>IF(C9860="","",UPPER(LEFT(SUBSTITUTE(C9860," ",""),3))&amp;"-"&amp;TEXT(B9860,"AAMMDD")&amp;"-1")</f>
        <v/>
      </c>
    </row>
    <row r="9861" spans="20:20" hidden="1">
      <c r="T9861" t="str">
        <f>IF(C9861="","",UPPER(LEFT(SUBSTITUTE(C9861," ",""),3))&amp;"-"&amp;TEXT(B9861,"AAMMDD")&amp;"-1")</f>
        <v/>
      </c>
    </row>
    <row r="9862" spans="20:20" hidden="1">
      <c r="T9862" t="str">
        <f>IF(C9862="","",UPPER(LEFT(SUBSTITUTE(C9862," ",""),3))&amp;"-"&amp;TEXT(B9862,"AAMMDD")&amp;"-1")</f>
        <v/>
      </c>
    </row>
    <row r="9863" spans="20:20" hidden="1">
      <c r="T9863" t="str">
        <f>IF(C9863="","",UPPER(LEFT(SUBSTITUTE(C9863," ",""),3))&amp;"-"&amp;TEXT(B9863,"AAMMDD")&amp;"-1")</f>
        <v/>
      </c>
    </row>
    <row r="9864" spans="20:20" hidden="1">
      <c r="T9864" t="str">
        <f>IF(C9864="","",UPPER(LEFT(SUBSTITUTE(C9864," ",""),3))&amp;"-"&amp;TEXT(B9864,"AAMMDD")&amp;"-1")</f>
        <v/>
      </c>
    </row>
    <row r="9865" spans="20:20" hidden="1">
      <c r="T9865" t="str">
        <f>IF(C9865="","",UPPER(LEFT(SUBSTITUTE(C9865," ",""),3))&amp;"-"&amp;TEXT(B9865,"AAMMDD")&amp;"-1")</f>
        <v/>
      </c>
    </row>
    <row r="9866" spans="20:20" hidden="1">
      <c r="T9866" t="str">
        <f>IF(C9866="","",UPPER(LEFT(SUBSTITUTE(C9866," ",""),3))&amp;"-"&amp;TEXT(B9866,"AAMMDD")&amp;"-1")</f>
        <v/>
      </c>
    </row>
    <row r="9867" spans="20:20" hidden="1">
      <c r="T9867" t="str">
        <f>IF(C9867="","",UPPER(LEFT(SUBSTITUTE(C9867," ",""),3))&amp;"-"&amp;TEXT(B9867,"AAMMDD")&amp;"-1")</f>
        <v/>
      </c>
    </row>
    <row r="9868" spans="20:20" hidden="1">
      <c r="T9868" t="str">
        <f>IF(C9868="","",UPPER(LEFT(SUBSTITUTE(C9868," ",""),3))&amp;"-"&amp;TEXT(B9868,"AAMMDD")&amp;"-1")</f>
        <v/>
      </c>
    </row>
    <row r="9869" spans="20:20" hidden="1">
      <c r="T9869" t="str">
        <f>IF(C9869="","",UPPER(LEFT(SUBSTITUTE(C9869," ",""),3))&amp;"-"&amp;TEXT(B9869,"AAMMDD")&amp;"-1")</f>
        <v/>
      </c>
    </row>
    <row r="9870" spans="20:20" hidden="1">
      <c r="T9870" t="str">
        <f>IF(C9870="","",UPPER(LEFT(SUBSTITUTE(C9870," ",""),3))&amp;"-"&amp;TEXT(B9870,"AAMMDD")&amp;"-1")</f>
        <v/>
      </c>
    </row>
    <row r="9871" spans="20:20" hidden="1">
      <c r="T9871" t="str">
        <f>IF(C9871="","",UPPER(LEFT(SUBSTITUTE(C9871," ",""),3))&amp;"-"&amp;TEXT(B9871,"AAMMDD")&amp;"-1")</f>
        <v/>
      </c>
    </row>
    <row r="9872" spans="20:20" hidden="1">
      <c r="T9872" t="str">
        <f>IF(C9872="","",UPPER(LEFT(SUBSTITUTE(C9872," ",""),3))&amp;"-"&amp;TEXT(B9872,"AAMMDD")&amp;"-1")</f>
        <v/>
      </c>
    </row>
    <row r="9873" spans="20:20" hidden="1">
      <c r="T9873" t="str">
        <f>IF(C9873="","",UPPER(LEFT(SUBSTITUTE(C9873," ",""),3))&amp;"-"&amp;TEXT(B9873,"AAMMDD")&amp;"-1")</f>
        <v/>
      </c>
    </row>
    <row r="9874" spans="20:20" hidden="1">
      <c r="T9874" t="str">
        <f>IF(C9874="","",UPPER(LEFT(SUBSTITUTE(C9874," ",""),3))&amp;"-"&amp;TEXT(B9874,"AAMMDD")&amp;"-1")</f>
        <v/>
      </c>
    </row>
    <row r="9875" spans="20:20" hidden="1">
      <c r="T9875" t="str">
        <f>IF(C9875="","",UPPER(LEFT(SUBSTITUTE(C9875," ",""),3))&amp;"-"&amp;TEXT(B9875,"AAMMDD")&amp;"-1")</f>
        <v/>
      </c>
    </row>
    <row r="9876" spans="20:20" hidden="1">
      <c r="T9876" t="str">
        <f>IF(C9876="","",UPPER(LEFT(SUBSTITUTE(C9876," ",""),3))&amp;"-"&amp;TEXT(B9876,"AAMMDD")&amp;"-1")</f>
        <v/>
      </c>
    </row>
    <row r="9877" spans="20:20" hidden="1">
      <c r="T9877" t="str">
        <f>IF(C9877="","",UPPER(LEFT(SUBSTITUTE(C9877," ",""),3))&amp;"-"&amp;TEXT(B9877,"AAMMDD")&amp;"-1")</f>
        <v/>
      </c>
    </row>
    <row r="9878" spans="20:20" hidden="1">
      <c r="T9878" t="str">
        <f>IF(C9878="","",UPPER(LEFT(SUBSTITUTE(C9878," ",""),3))&amp;"-"&amp;TEXT(B9878,"AAMMDD")&amp;"-1")</f>
        <v/>
      </c>
    </row>
    <row r="9879" spans="20:20" hidden="1">
      <c r="T9879" t="str">
        <f>IF(C9879="","",UPPER(LEFT(SUBSTITUTE(C9879," ",""),3))&amp;"-"&amp;TEXT(B9879,"AAMMDD")&amp;"-1")</f>
        <v/>
      </c>
    </row>
    <row r="9880" spans="20:20" hidden="1">
      <c r="T9880" t="str">
        <f>IF(C9880="","",UPPER(LEFT(SUBSTITUTE(C9880," ",""),3))&amp;"-"&amp;TEXT(B9880,"AAMMDD")&amp;"-1")</f>
        <v/>
      </c>
    </row>
    <row r="9881" spans="20:20" hidden="1">
      <c r="T9881" t="str">
        <f>IF(C9881="","",UPPER(LEFT(SUBSTITUTE(C9881," ",""),3))&amp;"-"&amp;TEXT(B9881,"AAMMDD")&amp;"-1")</f>
        <v/>
      </c>
    </row>
    <row r="9882" spans="20:20" hidden="1">
      <c r="T9882" t="str">
        <f>IF(C9882="","",UPPER(LEFT(SUBSTITUTE(C9882," ",""),3))&amp;"-"&amp;TEXT(B9882,"AAMMDD")&amp;"-1")</f>
        <v/>
      </c>
    </row>
    <row r="9883" spans="20:20" hidden="1">
      <c r="T9883" t="str">
        <f>IF(C9883="","",UPPER(LEFT(SUBSTITUTE(C9883," ",""),3))&amp;"-"&amp;TEXT(B9883,"AAMMDD")&amp;"-1")</f>
        <v/>
      </c>
    </row>
    <row r="9884" spans="20:20" hidden="1">
      <c r="T9884" t="str">
        <f>IF(C9884="","",UPPER(LEFT(SUBSTITUTE(C9884," ",""),3))&amp;"-"&amp;TEXT(B9884,"AAMMDD")&amp;"-1")</f>
        <v/>
      </c>
    </row>
    <row r="9885" spans="20:20" hidden="1">
      <c r="T9885" t="str">
        <f>IF(C9885="","",UPPER(LEFT(SUBSTITUTE(C9885," ",""),3))&amp;"-"&amp;TEXT(B9885,"AAMMDD")&amp;"-1")</f>
        <v/>
      </c>
    </row>
    <row r="9886" spans="20:20" hidden="1">
      <c r="T9886" t="str">
        <f>IF(C9886="","",UPPER(LEFT(SUBSTITUTE(C9886," ",""),3))&amp;"-"&amp;TEXT(B9886,"AAMMDD")&amp;"-1")</f>
        <v/>
      </c>
    </row>
    <row r="9887" spans="20:20" hidden="1">
      <c r="T9887" t="str">
        <f>IF(C9887="","",UPPER(LEFT(SUBSTITUTE(C9887," ",""),3))&amp;"-"&amp;TEXT(B9887,"AAMMDD")&amp;"-1")</f>
        <v/>
      </c>
    </row>
    <row r="9888" spans="20:20" hidden="1">
      <c r="T9888" t="str">
        <f>IF(C9888="","",UPPER(LEFT(SUBSTITUTE(C9888," ",""),3))&amp;"-"&amp;TEXT(B9888,"AAMMDD")&amp;"-1")</f>
        <v/>
      </c>
    </row>
    <row r="9889" spans="20:20" hidden="1">
      <c r="T9889" t="str">
        <f>IF(C9889="","",UPPER(LEFT(SUBSTITUTE(C9889," ",""),3))&amp;"-"&amp;TEXT(B9889,"AAMMDD")&amp;"-1")</f>
        <v/>
      </c>
    </row>
    <row r="9890" spans="20:20" hidden="1">
      <c r="T9890" t="str">
        <f>IF(C9890="","",UPPER(LEFT(SUBSTITUTE(C9890," ",""),3))&amp;"-"&amp;TEXT(B9890,"AAMMDD")&amp;"-1")</f>
        <v/>
      </c>
    </row>
    <row r="9891" spans="20:20" hidden="1">
      <c r="T9891" t="str">
        <f>IF(C9891="","",UPPER(LEFT(SUBSTITUTE(C9891," ",""),3))&amp;"-"&amp;TEXT(B9891,"AAMMDD")&amp;"-1")</f>
        <v/>
      </c>
    </row>
    <row r="9892" spans="20:20" hidden="1">
      <c r="T9892" t="str">
        <f>IF(C9892="","",UPPER(LEFT(SUBSTITUTE(C9892," ",""),3))&amp;"-"&amp;TEXT(B9892,"AAMMDD")&amp;"-1")</f>
        <v/>
      </c>
    </row>
    <row r="9893" spans="20:20" hidden="1">
      <c r="T9893" t="str">
        <f>IF(C9893="","",UPPER(LEFT(SUBSTITUTE(C9893," ",""),3))&amp;"-"&amp;TEXT(B9893,"AAMMDD")&amp;"-1")</f>
        <v/>
      </c>
    </row>
    <row r="9894" spans="20:20" hidden="1">
      <c r="T9894" t="str">
        <f>IF(C9894="","",UPPER(LEFT(SUBSTITUTE(C9894," ",""),3))&amp;"-"&amp;TEXT(B9894,"AAMMDD")&amp;"-1")</f>
        <v/>
      </c>
    </row>
    <row r="9895" spans="20:20" hidden="1">
      <c r="T9895" t="str">
        <f>IF(C9895="","",UPPER(LEFT(SUBSTITUTE(C9895," ",""),3))&amp;"-"&amp;TEXT(B9895,"AAMMDD")&amp;"-1")</f>
        <v/>
      </c>
    </row>
    <row r="9896" spans="20:20" hidden="1">
      <c r="T9896" t="str">
        <f>IF(C9896="","",UPPER(LEFT(SUBSTITUTE(C9896," ",""),3))&amp;"-"&amp;TEXT(B9896,"AAMMDD")&amp;"-1")</f>
        <v/>
      </c>
    </row>
    <row r="9897" spans="20:20" hidden="1">
      <c r="T9897" t="str">
        <f>IF(C9897="","",UPPER(LEFT(SUBSTITUTE(C9897," ",""),3))&amp;"-"&amp;TEXT(B9897,"AAMMDD")&amp;"-1")</f>
        <v/>
      </c>
    </row>
    <row r="9898" spans="20:20" hidden="1">
      <c r="T9898" t="str">
        <f>IF(C9898="","",UPPER(LEFT(SUBSTITUTE(C9898," ",""),3))&amp;"-"&amp;TEXT(B9898,"AAMMDD")&amp;"-1")</f>
        <v/>
      </c>
    </row>
    <row r="9899" spans="20:20" hidden="1">
      <c r="T9899" t="str">
        <f>IF(C9899="","",UPPER(LEFT(SUBSTITUTE(C9899," ",""),3))&amp;"-"&amp;TEXT(B9899,"AAMMDD")&amp;"-1")</f>
        <v/>
      </c>
    </row>
    <row r="9900" spans="20:20" hidden="1">
      <c r="T9900" t="str">
        <f>IF(C9900="","",UPPER(LEFT(SUBSTITUTE(C9900," ",""),3))&amp;"-"&amp;TEXT(B9900,"AAMMDD")&amp;"-1")</f>
        <v/>
      </c>
    </row>
    <row r="9901" spans="20:20" hidden="1">
      <c r="T9901" t="str">
        <f>IF(C9901="","",UPPER(LEFT(SUBSTITUTE(C9901," ",""),3))&amp;"-"&amp;TEXT(B9901,"AAMMDD")&amp;"-1")</f>
        <v/>
      </c>
    </row>
    <row r="9902" spans="20:20" hidden="1">
      <c r="T9902" t="str">
        <f>IF(C9902="","",UPPER(LEFT(SUBSTITUTE(C9902," ",""),3))&amp;"-"&amp;TEXT(B9902,"AAMMDD")&amp;"-1")</f>
        <v/>
      </c>
    </row>
    <row r="9903" spans="20:20" hidden="1">
      <c r="T9903" t="str">
        <f>IF(C9903="","",UPPER(LEFT(SUBSTITUTE(C9903," ",""),3))&amp;"-"&amp;TEXT(B9903,"AAMMDD")&amp;"-1")</f>
        <v/>
      </c>
    </row>
    <row r="9904" spans="20:20" hidden="1">
      <c r="T9904" t="str">
        <f>IF(C9904="","",UPPER(LEFT(SUBSTITUTE(C9904," ",""),3))&amp;"-"&amp;TEXT(B9904,"AAMMDD")&amp;"-1")</f>
        <v/>
      </c>
    </row>
    <row r="9905" spans="20:20" hidden="1">
      <c r="T9905" t="str">
        <f>IF(C9905="","",UPPER(LEFT(SUBSTITUTE(C9905," ",""),3))&amp;"-"&amp;TEXT(B9905,"AAMMDD")&amp;"-1")</f>
        <v/>
      </c>
    </row>
    <row r="9906" spans="20:20" hidden="1">
      <c r="T9906" t="str">
        <f>IF(C9906="","",UPPER(LEFT(SUBSTITUTE(C9906," ",""),3))&amp;"-"&amp;TEXT(B9906,"AAMMDD")&amp;"-1")</f>
        <v/>
      </c>
    </row>
    <row r="9907" spans="20:20" hidden="1">
      <c r="T9907" t="str">
        <f>IF(C9907="","",UPPER(LEFT(SUBSTITUTE(C9907," ",""),3))&amp;"-"&amp;TEXT(B9907,"AAMMDD")&amp;"-1")</f>
        <v/>
      </c>
    </row>
    <row r="9908" spans="20:20" hidden="1">
      <c r="T9908" t="str">
        <f>IF(C9908="","",UPPER(LEFT(SUBSTITUTE(C9908," ",""),3))&amp;"-"&amp;TEXT(B9908,"AAMMDD")&amp;"-1")</f>
        <v/>
      </c>
    </row>
    <row r="9909" spans="20:20" hidden="1">
      <c r="T9909" t="str">
        <f>IF(C9909="","",UPPER(LEFT(SUBSTITUTE(C9909," ",""),3))&amp;"-"&amp;TEXT(B9909,"AAMMDD")&amp;"-1")</f>
        <v/>
      </c>
    </row>
    <row r="9910" spans="20:20" hidden="1">
      <c r="T9910" t="str">
        <f>IF(C9910="","",UPPER(LEFT(SUBSTITUTE(C9910," ",""),3))&amp;"-"&amp;TEXT(B9910,"AAMMDD")&amp;"-1")</f>
        <v/>
      </c>
    </row>
    <row r="9911" spans="20:20" hidden="1">
      <c r="T9911" t="str">
        <f>IF(C9911="","",UPPER(LEFT(SUBSTITUTE(C9911," ",""),3))&amp;"-"&amp;TEXT(B9911,"AAMMDD")&amp;"-1")</f>
        <v/>
      </c>
    </row>
    <row r="9912" spans="20:20" hidden="1">
      <c r="T9912" t="str">
        <f>IF(C9912="","",UPPER(LEFT(SUBSTITUTE(C9912," ",""),3))&amp;"-"&amp;TEXT(B9912,"AAMMDD")&amp;"-1")</f>
        <v/>
      </c>
    </row>
    <row r="9913" spans="20:20" hidden="1">
      <c r="T9913" t="str">
        <f>IF(C9913="","",UPPER(LEFT(SUBSTITUTE(C9913," ",""),3))&amp;"-"&amp;TEXT(B9913,"AAMMDD")&amp;"-1")</f>
        <v/>
      </c>
    </row>
    <row r="9914" spans="20:20" hidden="1">
      <c r="T9914" t="str">
        <f>IF(C9914="","",UPPER(LEFT(SUBSTITUTE(C9914," ",""),3))&amp;"-"&amp;TEXT(B9914,"AAMMDD")&amp;"-1")</f>
        <v/>
      </c>
    </row>
    <row r="9915" spans="20:20" hidden="1">
      <c r="T9915" t="str">
        <f>IF(C9915="","",UPPER(LEFT(SUBSTITUTE(C9915," ",""),3))&amp;"-"&amp;TEXT(B9915,"AAMMDD")&amp;"-1")</f>
        <v/>
      </c>
    </row>
    <row r="9916" spans="20:20" hidden="1">
      <c r="T9916" t="str">
        <f>IF(C9916="","",UPPER(LEFT(SUBSTITUTE(C9916," ",""),3))&amp;"-"&amp;TEXT(B9916,"AAMMDD")&amp;"-1")</f>
        <v/>
      </c>
    </row>
    <row r="9917" spans="20:20" hidden="1">
      <c r="T9917" t="str">
        <f>IF(C9917="","",UPPER(LEFT(SUBSTITUTE(C9917," ",""),3))&amp;"-"&amp;TEXT(B9917,"AAMMDD")&amp;"-1")</f>
        <v/>
      </c>
    </row>
    <row r="9918" spans="20:20" hidden="1">
      <c r="T9918" t="str">
        <f>IF(C9918="","",UPPER(LEFT(SUBSTITUTE(C9918," ",""),3))&amp;"-"&amp;TEXT(B9918,"AAMMDD")&amp;"-1")</f>
        <v/>
      </c>
    </row>
    <row r="9919" spans="20:20" hidden="1">
      <c r="T9919" t="str">
        <f>IF(C9919="","",UPPER(LEFT(SUBSTITUTE(C9919," ",""),3))&amp;"-"&amp;TEXT(B9919,"AAMMDD")&amp;"-1")</f>
        <v/>
      </c>
    </row>
    <row r="9920" spans="20:20" hidden="1">
      <c r="T9920" t="str">
        <f>IF(C9920="","",UPPER(LEFT(SUBSTITUTE(C9920," ",""),3))&amp;"-"&amp;TEXT(B9920,"AAMMDD")&amp;"-1")</f>
        <v/>
      </c>
    </row>
    <row r="9921" spans="20:20" hidden="1">
      <c r="T9921" t="str">
        <f>IF(C9921="","",UPPER(LEFT(SUBSTITUTE(C9921," ",""),3))&amp;"-"&amp;TEXT(B9921,"AAMMDD")&amp;"-1")</f>
        <v/>
      </c>
    </row>
    <row r="9922" spans="20:20" hidden="1">
      <c r="T9922" t="str">
        <f>IF(C9922="","",UPPER(LEFT(SUBSTITUTE(C9922," ",""),3))&amp;"-"&amp;TEXT(B9922,"AAMMDD")&amp;"-1")</f>
        <v/>
      </c>
    </row>
    <row r="9923" spans="20:20" hidden="1">
      <c r="T9923" t="str">
        <f>IF(C9923="","",UPPER(LEFT(SUBSTITUTE(C9923," ",""),3))&amp;"-"&amp;TEXT(B9923,"AAMMDD")&amp;"-1")</f>
        <v/>
      </c>
    </row>
    <row r="9924" spans="20:20" hidden="1">
      <c r="T9924" t="str">
        <f>IF(C9924="","",UPPER(LEFT(SUBSTITUTE(C9924," ",""),3))&amp;"-"&amp;TEXT(B9924,"AAMMDD")&amp;"-1")</f>
        <v/>
      </c>
    </row>
    <row r="9925" spans="20:20" hidden="1">
      <c r="T9925" t="str">
        <f>IF(C9925="","",UPPER(LEFT(SUBSTITUTE(C9925," ",""),3))&amp;"-"&amp;TEXT(B9925,"AAMMDD")&amp;"-1")</f>
        <v/>
      </c>
    </row>
    <row r="9926" spans="20:20" hidden="1">
      <c r="T9926" t="str">
        <f>IF(C9926="","",UPPER(LEFT(SUBSTITUTE(C9926," ",""),3))&amp;"-"&amp;TEXT(B9926,"AAMMDD")&amp;"-1")</f>
        <v/>
      </c>
    </row>
    <row r="9927" spans="20:20" hidden="1">
      <c r="T9927" t="str">
        <f>IF(C9927="","",UPPER(LEFT(SUBSTITUTE(C9927," ",""),3))&amp;"-"&amp;TEXT(B9927,"AAMMDD")&amp;"-1")</f>
        <v/>
      </c>
    </row>
    <row r="9928" spans="20:20" hidden="1">
      <c r="T9928" t="str">
        <f>IF(C9928="","",UPPER(LEFT(SUBSTITUTE(C9928," ",""),3))&amp;"-"&amp;TEXT(B9928,"AAMMDD")&amp;"-1")</f>
        <v/>
      </c>
    </row>
    <row r="9929" spans="20:20" hidden="1">
      <c r="T9929" t="str">
        <f>IF(C9929="","",UPPER(LEFT(SUBSTITUTE(C9929," ",""),3))&amp;"-"&amp;TEXT(B9929,"AAMMDD")&amp;"-1")</f>
        <v/>
      </c>
    </row>
    <row r="9930" spans="20:20" hidden="1">
      <c r="T9930" t="str">
        <f>IF(C9930="","",UPPER(LEFT(SUBSTITUTE(C9930," ",""),3))&amp;"-"&amp;TEXT(B9930,"AAMMDD")&amp;"-1")</f>
        <v/>
      </c>
    </row>
    <row r="9931" spans="20:20" hidden="1">
      <c r="T9931" t="str">
        <f>IF(C9931="","",UPPER(LEFT(SUBSTITUTE(C9931," ",""),3))&amp;"-"&amp;TEXT(B9931,"AAMMDD")&amp;"-1")</f>
        <v/>
      </c>
    </row>
    <row r="9932" spans="20:20" hidden="1">
      <c r="T9932" t="str">
        <f>IF(C9932="","",UPPER(LEFT(SUBSTITUTE(C9932," ",""),3))&amp;"-"&amp;TEXT(B9932,"AAMMDD")&amp;"-1")</f>
        <v/>
      </c>
    </row>
    <row r="9933" spans="20:20" hidden="1">
      <c r="T9933" t="str">
        <f>IF(C9933="","",UPPER(LEFT(SUBSTITUTE(C9933," ",""),3))&amp;"-"&amp;TEXT(B9933,"AAMMDD")&amp;"-1")</f>
        <v/>
      </c>
    </row>
    <row r="9934" spans="20:20" hidden="1">
      <c r="T9934" t="str">
        <f>IF(C9934="","",UPPER(LEFT(SUBSTITUTE(C9934," ",""),3))&amp;"-"&amp;TEXT(B9934,"AAMMDD")&amp;"-1")</f>
        <v/>
      </c>
    </row>
    <row r="9935" spans="20:20" hidden="1">
      <c r="T9935" t="str">
        <f>IF(C9935="","",UPPER(LEFT(SUBSTITUTE(C9935," ",""),3))&amp;"-"&amp;TEXT(B9935,"AAMMDD")&amp;"-1")</f>
        <v/>
      </c>
    </row>
    <row r="9936" spans="20:20" hidden="1">
      <c r="T9936" t="str">
        <f>IF(C9936="","",UPPER(LEFT(SUBSTITUTE(C9936," ",""),3))&amp;"-"&amp;TEXT(B9936,"AAMMDD")&amp;"-1")</f>
        <v/>
      </c>
    </row>
    <row r="9937" spans="20:20" hidden="1">
      <c r="T9937" t="str">
        <f>IF(C9937="","",UPPER(LEFT(SUBSTITUTE(C9937," ",""),3))&amp;"-"&amp;TEXT(B9937,"AAMMDD")&amp;"-1")</f>
        <v/>
      </c>
    </row>
    <row r="9938" spans="20:20" hidden="1">
      <c r="T9938" t="str">
        <f>IF(C9938="","",UPPER(LEFT(SUBSTITUTE(C9938," ",""),3))&amp;"-"&amp;TEXT(B9938,"AAMMDD")&amp;"-1")</f>
        <v/>
      </c>
    </row>
    <row r="9939" spans="20:20" hidden="1">
      <c r="T9939" t="str">
        <f>IF(C9939="","",UPPER(LEFT(SUBSTITUTE(C9939," ",""),3))&amp;"-"&amp;TEXT(B9939,"AAMMDD")&amp;"-1")</f>
        <v/>
      </c>
    </row>
    <row r="9940" spans="20:20" hidden="1">
      <c r="T9940" t="str">
        <f>IF(C9940="","",UPPER(LEFT(SUBSTITUTE(C9940," ",""),3))&amp;"-"&amp;TEXT(B9940,"AAMMDD")&amp;"-1")</f>
        <v/>
      </c>
    </row>
    <row r="9941" spans="20:20" hidden="1">
      <c r="T9941" t="str">
        <f>IF(C9941="","",UPPER(LEFT(SUBSTITUTE(C9941," ",""),3))&amp;"-"&amp;TEXT(B9941,"AAMMDD")&amp;"-1")</f>
        <v/>
      </c>
    </row>
    <row r="9942" spans="20:20" hidden="1">
      <c r="T9942" t="str">
        <f>IF(C9942="","",UPPER(LEFT(SUBSTITUTE(C9942," ",""),3))&amp;"-"&amp;TEXT(B9942,"AAMMDD")&amp;"-1")</f>
        <v/>
      </c>
    </row>
    <row r="9943" spans="20:20" hidden="1">
      <c r="T9943" t="str">
        <f>IF(C9943="","",UPPER(LEFT(SUBSTITUTE(C9943," ",""),3))&amp;"-"&amp;TEXT(B9943,"AAMMDD")&amp;"-1")</f>
        <v/>
      </c>
    </row>
    <row r="9944" spans="20:20" hidden="1">
      <c r="T9944" t="str">
        <f>IF(C9944="","",UPPER(LEFT(SUBSTITUTE(C9944," ",""),3))&amp;"-"&amp;TEXT(B9944,"AAMMDD")&amp;"-1")</f>
        <v/>
      </c>
    </row>
    <row r="9945" spans="20:20" hidden="1">
      <c r="T9945" t="str">
        <f>IF(C9945="","",UPPER(LEFT(SUBSTITUTE(C9945," ",""),3))&amp;"-"&amp;TEXT(B9945,"AAMMDD")&amp;"-1")</f>
        <v/>
      </c>
    </row>
    <row r="9946" spans="20:20" hidden="1">
      <c r="T9946" t="str">
        <f>IF(C9946="","",UPPER(LEFT(SUBSTITUTE(C9946," ",""),3))&amp;"-"&amp;TEXT(B9946,"AAMMDD")&amp;"-1")</f>
        <v/>
      </c>
    </row>
    <row r="9947" spans="20:20" hidden="1">
      <c r="T9947" t="str">
        <f>IF(C9947="","",UPPER(LEFT(SUBSTITUTE(C9947," ",""),3))&amp;"-"&amp;TEXT(B9947,"AAMMDD")&amp;"-1")</f>
        <v/>
      </c>
    </row>
    <row r="9948" spans="20:20" hidden="1">
      <c r="T9948" t="str">
        <f>IF(C9948="","",UPPER(LEFT(SUBSTITUTE(C9948," ",""),3))&amp;"-"&amp;TEXT(B9948,"AAMMDD")&amp;"-1")</f>
        <v/>
      </c>
    </row>
    <row r="9949" spans="20:20" hidden="1">
      <c r="T9949" t="str">
        <f>IF(C9949="","",UPPER(LEFT(SUBSTITUTE(C9949," ",""),3))&amp;"-"&amp;TEXT(B9949,"AAMMDD")&amp;"-1")</f>
        <v/>
      </c>
    </row>
    <row r="9950" spans="20:20" hidden="1">
      <c r="T9950" t="str">
        <f>IF(C9950="","",UPPER(LEFT(SUBSTITUTE(C9950," ",""),3))&amp;"-"&amp;TEXT(B9950,"AAMMDD")&amp;"-1")</f>
        <v/>
      </c>
    </row>
    <row r="9951" spans="20:20" hidden="1">
      <c r="T9951" t="str">
        <f>IF(C9951="","",UPPER(LEFT(SUBSTITUTE(C9951," ",""),3))&amp;"-"&amp;TEXT(B9951,"AAMMDD")&amp;"-1")</f>
        <v/>
      </c>
    </row>
    <row r="9952" spans="20:20" hidden="1">
      <c r="T9952" t="str">
        <f>IF(C9952="","",UPPER(LEFT(SUBSTITUTE(C9952," ",""),3))&amp;"-"&amp;TEXT(B9952,"AAMMDD")&amp;"-1")</f>
        <v/>
      </c>
    </row>
    <row r="9953" spans="20:20" hidden="1">
      <c r="T9953" t="str">
        <f>IF(C9953="","",UPPER(LEFT(SUBSTITUTE(C9953," ",""),3))&amp;"-"&amp;TEXT(B9953,"AAMMDD")&amp;"-1")</f>
        <v/>
      </c>
    </row>
    <row r="9954" spans="20:20" hidden="1">
      <c r="T9954" t="str">
        <f>IF(C9954="","",UPPER(LEFT(SUBSTITUTE(C9954," ",""),3))&amp;"-"&amp;TEXT(B9954,"AAMMDD")&amp;"-1")</f>
        <v/>
      </c>
    </row>
    <row r="9955" spans="20:20" hidden="1">
      <c r="T9955" t="str">
        <f>IF(C9955="","",UPPER(LEFT(SUBSTITUTE(C9955," ",""),3))&amp;"-"&amp;TEXT(B9955,"AAMMDD")&amp;"-1")</f>
        <v/>
      </c>
    </row>
    <row r="9956" spans="20:20" hidden="1">
      <c r="T9956" t="str">
        <f>IF(C9956="","",UPPER(LEFT(SUBSTITUTE(C9956," ",""),3))&amp;"-"&amp;TEXT(B9956,"AAMMDD")&amp;"-1")</f>
        <v/>
      </c>
    </row>
    <row r="9957" spans="20:20" hidden="1">
      <c r="T9957" t="str">
        <f>IF(C9957="","",UPPER(LEFT(SUBSTITUTE(C9957," ",""),3))&amp;"-"&amp;TEXT(B9957,"AAMMDD")&amp;"-1")</f>
        <v/>
      </c>
    </row>
    <row r="9958" spans="20:20" hidden="1">
      <c r="T9958" t="str">
        <f>IF(C9958="","",UPPER(LEFT(SUBSTITUTE(C9958," ",""),3))&amp;"-"&amp;TEXT(B9958,"AAMMDD")&amp;"-1")</f>
        <v/>
      </c>
    </row>
    <row r="9959" spans="20:20" hidden="1">
      <c r="T9959" t="str">
        <f>IF(C9959="","",UPPER(LEFT(SUBSTITUTE(C9959," ",""),3))&amp;"-"&amp;TEXT(B9959,"AAMMDD")&amp;"-1")</f>
        <v/>
      </c>
    </row>
    <row r="9960" spans="20:20" hidden="1">
      <c r="T9960" t="str">
        <f>IF(C9960="","",UPPER(LEFT(SUBSTITUTE(C9960," ",""),3))&amp;"-"&amp;TEXT(B9960,"AAMMDD")&amp;"-1")</f>
        <v/>
      </c>
    </row>
    <row r="9961" spans="20:20" hidden="1">
      <c r="T9961" t="str">
        <f>IF(C9961="","",UPPER(LEFT(SUBSTITUTE(C9961," ",""),3))&amp;"-"&amp;TEXT(B9961,"AAMMDD")&amp;"-1")</f>
        <v/>
      </c>
    </row>
    <row r="9962" spans="20:20" hidden="1">
      <c r="T9962" t="str">
        <f>IF(C9962="","",UPPER(LEFT(SUBSTITUTE(C9962," ",""),3))&amp;"-"&amp;TEXT(B9962,"AAMMDD")&amp;"-1")</f>
        <v/>
      </c>
    </row>
    <row r="9963" spans="20:20" hidden="1">
      <c r="T9963" t="str">
        <f>IF(C9963="","",UPPER(LEFT(SUBSTITUTE(C9963," ",""),3))&amp;"-"&amp;TEXT(B9963,"AAMMDD")&amp;"-1")</f>
        <v/>
      </c>
    </row>
    <row r="9964" spans="20:20" hidden="1">
      <c r="T9964" t="str">
        <f>IF(C9964="","",UPPER(LEFT(SUBSTITUTE(C9964," ",""),3))&amp;"-"&amp;TEXT(B9964,"AAMMDD")&amp;"-1")</f>
        <v/>
      </c>
    </row>
    <row r="9965" spans="20:20" hidden="1">
      <c r="T9965" t="str">
        <f>IF(C9965="","",UPPER(LEFT(SUBSTITUTE(C9965," ",""),3))&amp;"-"&amp;TEXT(B9965,"AAMMDD")&amp;"-1")</f>
        <v/>
      </c>
    </row>
    <row r="9966" spans="20:20" hidden="1">
      <c r="T9966" t="str">
        <f>IF(C9966="","",UPPER(LEFT(SUBSTITUTE(C9966," ",""),3))&amp;"-"&amp;TEXT(B9966,"AAMMDD")&amp;"-1")</f>
        <v/>
      </c>
    </row>
    <row r="9967" spans="20:20" hidden="1">
      <c r="T9967" t="str">
        <f>IF(C9967="","",UPPER(LEFT(SUBSTITUTE(C9967," ",""),3))&amp;"-"&amp;TEXT(B9967,"AAMMDD")&amp;"-1")</f>
        <v/>
      </c>
    </row>
    <row r="9968" spans="20:20" hidden="1">
      <c r="T9968" t="str">
        <f>IF(C9968="","",UPPER(LEFT(SUBSTITUTE(C9968," ",""),3))&amp;"-"&amp;TEXT(B9968,"AAMMDD")&amp;"-1")</f>
        <v/>
      </c>
    </row>
    <row r="9969" spans="20:20" hidden="1">
      <c r="T9969" t="str">
        <f>IF(C9969="","",UPPER(LEFT(SUBSTITUTE(C9969," ",""),3))&amp;"-"&amp;TEXT(B9969,"AAMMDD")&amp;"-1")</f>
        <v/>
      </c>
    </row>
    <row r="9970" spans="20:20" hidden="1">
      <c r="T9970" t="str">
        <f>IF(C9970="","",UPPER(LEFT(SUBSTITUTE(C9970," ",""),3))&amp;"-"&amp;TEXT(B9970,"AAMMDD")&amp;"-1")</f>
        <v/>
      </c>
    </row>
    <row r="9971" spans="20:20" hidden="1">
      <c r="T9971" t="str">
        <f>IF(C9971="","",UPPER(LEFT(SUBSTITUTE(C9971," ",""),3))&amp;"-"&amp;TEXT(B9971,"AAMMDD")&amp;"-1")</f>
        <v/>
      </c>
    </row>
    <row r="9972" spans="20:20" hidden="1">
      <c r="T9972" t="str">
        <f>IF(C9972="","",UPPER(LEFT(SUBSTITUTE(C9972," ",""),3))&amp;"-"&amp;TEXT(B9972,"AAMMDD")&amp;"-1")</f>
        <v/>
      </c>
    </row>
    <row r="9973" spans="20:20" hidden="1">
      <c r="T9973" t="str">
        <f>IF(C9973="","",UPPER(LEFT(SUBSTITUTE(C9973," ",""),3))&amp;"-"&amp;TEXT(B9973,"AAMMDD")&amp;"-1")</f>
        <v/>
      </c>
    </row>
    <row r="9974" spans="20:20" hidden="1">
      <c r="T9974" t="str">
        <f>IF(C9974="","",UPPER(LEFT(SUBSTITUTE(C9974," ",""),3))&amp;"-"&amp;TEXT(B9974,"AAMMDD")&amp;"-1")</f>
        <v/>
      </c>
    </row>
    <row r="9975" spans="20:20" hidden="1">
      <c r="T9975" t="str">
        <f>IF(C9975="","",UPPER(LEFT(SUBSTITUTE(C9975," ",""),3))&amp;"-"&amp;TEXT(B9975,"AAMMDD")&amp;"-1")</f>
        <v/>
      </c>
    </row>
    <row r="9976" spans="20:20" hidden="1">
      <c r="T9976" t="str">
        <f>IF(C9976="","",UPPER(LEFT(SUBSTITUTE(C9976," ",""),3))&amp;"-"&amp;TEXT(B9976,"AAMMDD")&amp;"-1")</f>
        <v/>
      </c>
    </row>
    <row r="9977" spans="20:20" hidden="1">
      <c r="T9977" t="str">
        <f>IF(C9977="","",UPPER(LEFT(SUBSTITUTE(C9977," ",""),3))&amp;"-"&amp;TEXT(B9977,"AAMMDD")&amp;"-1")</f>
        <v/>
      </c>
    </row>
    <row r="9978" spans="20:20" hidden="1">
      <c r="T9978" t="str">
        <f>IF(C9978="","",UPPER(LEFT(SUBSTITUTE(C9978," ",""),3))&amp;"-"&amp;TEXT(B9978,"AAMMDD")&amp;"-1")</f>
        <v/>
      </c>
    </row>
    <row r="9979" spans="20:20" hidden="1">
      <c r="T9979" t="str">
        <f>IF(C9979="","",UPPER(LEFT(SUBSTITUTE(C9979," ",""),3))&amp;"-"&amp;TEXT(B9979,"AAMMDD")&amp;"-1")</f>
        <v/>
      </c>
    </row>
    <row r="9980" spans="20:20" hidden="1">
      <c r="T9980" t="str">
        <f>IF(C9980="","",UPPER(LEFT(SUBSTITUTE(C9980," ",""),3))&amp;"-"&amp;TEXT(B9980,"AAMMDD")&amp;"-1")</f>
        <v/>
      </c>
    </row>
    <row r="9981" spans="20:20" hidden="1">
      <c r="T9981" t="str">
        <f>IF(C9981="","",UPPER(LEFT(SUBSTITUTE(C9981," ",""),3))&amp;"-"&amp;TEXT(B9981,"AAMMDD")&amp;"-1")</f>
        <v/>
      </c>
    </row>
    <row r="9982" spans="20:20" hidden="1">
      <c r="T9982" t="str">
        <f>IF(C9982="","",UPPER(LEFT(SUBSTITUTE(C9982," ",""),3))&amp;"-"&amp;TEXT(B9982,"AAMMDD")&amp;"-1")</f>
        <v/>
      </c>
    </row>
    <row r="9983" spans="20:20" hidden="1">
      <c r="T9983" t="str">
        <f>IF(C9983="","",UPPER(LEFT(SUBSTITUTE(C9983," ",""),3))&amp;"-"&amp;TEXT(B9983,"AAMMDD")&amp;"-1")</f>
        <v/>
      </c>
    </row>
    <row r="9984" spans="20:20" hidden="1">
      <c r="T9984" t="str">
        <f>IF(C9984="","",UPPER(LEFT(SUBSTITUTE(C9984," ",""),3))&amp;"-"&amp;TEXT(B9984,"AAMMDD")&amp;"-1")</f>
        <v/>
      </c>
    </row>
    <row r="9985" spans="20:20" hidden="1">
      <c r="T9985" t="str">
        <f>IF(C9985="","",UPPER(LEFT(SUBSTITUTE(C9985," ",""),3))&amp;"-"&amp;TEXT(B9985,"AAMMDD")&amp;"-1")</f>
        <v/>
      </c>
    </row>
    <row r="9986" spans="20:20" hidden="1">
      <c r="T9986" t="str">
        <f>IF(C9986="","",UPPER(LEFT(SUBSTITUTE(C9986," ",""),3))&amp;"-"&amp;TEXT(B9986,"AAMMDD")&amp;"-1")</f>
        <v/>
      </c>
    </row>
    <row r="9987" spans="20:20" hidden="1">
      <c r="T9987" t="str">
        <f>IF(C9987="","",UPPER(LEFT(SUBSTITUTE(C9987," ",""),3))&amp;"-"&amp;TEXT(B9987,"AAMMDD")&amp;"-1")</f>
        <v/>
      </c>
    </row>
    <row r="9988" spans="20:20" hidden="1">
      <c r="T9988" t="str">
        <f>IF(C9988="","",UPPER(LEFT(SUBSTITUTE(C9988," ",""),3))&amp;"-"&amp;TEXT(B9988,"AAMMDD")&amp;"-1")</f>
        <v/>
      </c>
    </row>
    <row r="9989" spans="20:20" hidden="1">
      <c r="T9989" t="str">
        <f>IF(C9989="","",UPPER(LEFT(SUBSTITUTE(C9989," ",""),3))&amp;"-"&amp;TEXT(B9989,"AAMMDD")&amp;"-1")</f>
        <v/>
      </c>
    </row>
    <row r="9990" spans="20:20" hidden="1">
      <c r="T9990" t="str">
        <f>IF(C9990="","",UPPER(LEFT(SUBSTITUTE(C9990," ",""),3))&amp;"-"&amp;TEXT(B9990,"AAMMDD")&amp;"-1")</f>
        <v/>
      </c>
    </row>
    <row r="9991" spans="20:20" hidden="1">
      <c r="T9991" t="str">
        <f>IF(C9991="","",UPPER(LEFT(SUBSTITUTE(C9991," ",""),3))&amp;"-"&amp;TEXT(B9991,"AAMMDD")&amp;"-1")</f>
        <v/>
      </c>
    </row>
    <row r="9992" spans="20:20" hidden="1">
      <c r="T9992" t="str">
        <f>IF(C9992="","",UPPER(LEFT(SUBSTITUTE(C9992," ",""),3))&amp;"-"&amp;TEXT(B9992,"AAMMDD")&amp;"-1")</f>
        <v/>
      </c>
    </row>
    <row r="9993" spans="20:20" hidden="1">
      <c r="T9993" t="str">
        <f>IF(C9993="","",UPPER(LEFT(SUBSTITUTE(C9993," ",""),3))&amp;"-"&amp;TEXT(B9993,"AAMMDD")&amp;"-1")</f>
        <v/>
      </c>
    </row>
    <row r="9994" spans="20:20" hidden="1">
      <c r="T9994" t="str">
        <f>IF(C9994="","",UPPER(LEFT(SUBSTITUTE(C9994," ",""),3))&amp;"-"&amp;TEXT(B9994,"AAMMDD")&amp;"-1")</f>
        <v/>
      </c>
    </row>
    <row r="9995" spans="20:20" hidden="1">
      <c r="T9995" t="str">
        <f>IF(C9995="","",UPPER(LEFT(SUBSTITUTE(C9995," ",""),3))&amp;"-"&amp;TEXT(B9995,"AAMMDD")&amp;"-1")</f>
        <v/>
      </c>
    </row>
    <row r="9996" spans="20:20" hidden="1">
      <c r="T9996" t="str">
        <f>IF(C9996="","",UPPER(LEFT(SUBSTITUTE(C9996," ",""),3))&amp;"-"&amp;TEXT(B9996,"AAMMDD")&amp;"-1")</f>
        <v/>
      </c>
    </row>
    <row r="9997" spans="20:20" hidden="1">
      <c r="T9997" t="str">
        <f>IF(C9997="","",UPPER(LEFT(SUBSTITUTE(C9997," ",""),3))&amp;"-"&amp;TEXT(B9997,"AAMMDD")&amp;"-1")</f>
        <v/>
      </c>
    </row>
    <row r="9998" spans="20:20" hidden="1">
      <c r="T9998" t="str">
        <f>IF(C9998="","",UPPER(LEFT(SUBSTITUTE(C9998," ",""),3))&amp;"-"&amp;TEXT(B9998,"AAMMDD")&amp;"-1")</f>
        <v/>
      </c>
    </row>
    <row r="9999" spans="20:20" hidden="1">
      <c r="T9999" t="str">
        <f>IF(C9999="","",UPPER(LEFT(SUBSTITUTE(C9999," ",""),3))&amp;"-"&amp;TEXT(B9999,"AAMMDD")&amp;"-1")</f>
        <v/>
      </c>
    </row>
    <row r="10000" spans="20:20" hidden="1">
      <c r="T10000" t="str">
        <f>IF(C10000="","",UPPER(LEFT(SUBSTITUTE(C10000," ",""),3))&amp;"-"&amp;TEXT(B10000,"AAMMDD")&amp;"-1")</f>
        <v/>
      </c>
    </row>
    <row r="10001" spans="20:20" hidden="1">
      <c r="T10001" t="str">
        <f>IF(C10001="","",UPPER(LEFT(SUBSTITUTE(C10001," ",""),3))&amp;"-"&amp;TEXT(B10001,"AAMMDD")&amp;"-1")</f>
        <v/>
      </c>
    </row>
    <row r="10002" spans="20:20" hidden="1">
      <c r="T10002" t="str">
        <f>IF(C10002="","",UPPER(LEFT(SUBSTITUTE(C10002," ",""),3))&amp;"-"&amp;TEXT(B10002,"AAMMDD")&amp;"-1")</f>
        <v/>
      </c>
    </row>
    <row r="10003" spans="20:20" hidden="1">
      <c r="T10003" t="str">
        <f>IF(C10003="","",UPPER(LEFT(SUBSTITUTE(C10003," ",""),3))&amp;"-"&amp;TEXT(B10003,"AAMMDD")&amp;"-1")</f>
        <v/>
      </c>
    </row>
    <row r="10004" spans="20:20" hidden="1">
      <c r="T10004" t="str">
        <f>IF(C10004="","",UPPER(LEFT(SUBSTITUTE(C10004," ",""),3))&amp;"-"&amp;TEXT(B10004,"AAMMDD")&amp;"-1")</f>
        <v/>
      </c>
    </row>
    <row r="10005" spans="20:20" hidden="1">
      <c r="T10005" t="str">
        <f>IF(C10005="","",UPPER(LEFT(SUBSTITUTE(C10005," ",""),3))&amp;"-"&amp;TEXT(B10005,"AAMMDD")&amp;"-1")</f>
        <v/>
      </c>
    </row>
    <row r="10006" spans="20:20" hidden="1">
      <c r="T10006" t="str">
        <f>IF(C10006="","",UPPER(LEFT(SUBSTITUTE(C10006," ",""),3))&amp;"-"&amp;TEXT(B10006,"AAMMDD")&amp;"-1")</f>
        <v/>
      </c>
    </row>
    <row r="10007" spans="20:20" hidden="1">
      <c r="T10007" t="str">
        <f>IF(C10007="","",UPPER(LEFT(SUBSTITUTE(C10007," ",""),3))&amp;"-"&amp;TEXT(B10007,"AAMMDD")&amp;"-1")</f>
        <v/>
      </c>
    </row>
    <row r="10008" spans="20:20" hidden="1">
      <c r="T10008" t="str">
        <f>IF(C10008="","",UPPER(LEFT(SUBSTITUTE(C10008," ",""),3))&amp;"-"&amp;TEXT(B10008,"AAMMDD")&amp;"-1")</f>
        <v/>
      </c>
    </row>
    <row r="10009" spans="20:20" hidden="1">
      <c r="T10009" t="str">
        <f>IF(C10009="","",UPPER(LEFT(SUBSTITUTE(C10009," ",""),3))&amp;"-"&amp;TEXT(B10009,"AAMMDD")&amp;"-1")</f>
        <v/>
      </c>
    </row>
    <row r="10010" spans="20:20" hidden="1">
      <c r="T10010" t="str">
        <f>IF(C10010="","",UPPER(LEFT(SUBSTITUTE(C10010," ",""),3))&amp;"-"&amp;TEXT(B10010,"AAMMDD")&amp;"-1")</f>
        <v/>
      </c>
    </row>
    <row r="10011" spans="20:20" hidden="1">
      <c r="T10011" t="str">
        <f>IF(C10011="","",UPPER(LEFT(SUBSTITUTE(C10011," ",""),3))&amp;"-"&amp;TEXT(B10011,"AAMMDD")&amp;"-1")</f>
        <v/>
      </c>
    </row>
    <row r="10012" spans="20:20" hidden="1">
      <c r="T10012" t="str">
        <f>IF(C10012="","",UPPER(LEFT(SUBSTITUTE(C10012," ",""),3))&amp;"-"&amp;TEXT(B10012,"AAMMDD")&amp;"-1")</f>
        <v/>
      </c>
    </row>
    <row r="10013" spans="20:20" hidden="1">
      <c r="T10013" t="str">
        <f>IF(C10013="","",UPPER(LEFT(SUBSTITUTE(C10013," ",""),3))&amp;"-"&amp;TEXT(B10013,"AAMMDD")&amp;"-1")</f>
        <v/>
      </c>
    </row>
    <row r="10014" spans="20:20" hidden="1">
      <c r="T10014" t="str">
        <f>IF(C10014="","",UPPER(LEFT(SUBSTITUTE(C10014," ",""),3))&amp;"-"&amp;TEXT(B10014,"AAMMDD")&amp;"-1")</f>
        <v/>
      </c>
    </row>
    <row r="10015" spans="20:20" hidden="1">
      <c r="T10015" t="str">
        <f>IF(C10015="","",UPPER(LEFT(SUBSTITUTE(C10015," ",""),3))&amp;"-"&amp;TEXT(B10015,"AAMMDD")&amp;"-1")</f>
        <v/>
      </c>
    </row>
    <row r="10016" spans="20:20" hidden="1">
      <c r="T10016" t="str">
        <f>IF(C10016="","",UPPER(LEFT(SUBSTITUTE(C10016," ",""),3))&amp;"-"&amp;TEXT(B10016,"AAMMDD")&amp;"-1")</f>
        <v/>
      </c>
    </row>
    <row r="10017" spans="20:20" hidden="1">
      <c r="T10017" t="str">
        <f>IF(C10017="","",UPPER(LEFT(SUBSTITUTE(C10017," ",""),3))&amp;"-"&amp;TEXT(B10017,"AAMMDD")&amp;"-1")</f>
        <v/>
      </c>
    </row>
    <row r="10018" spans="20:20" hidden="1">
      <c r="T10018" t="str">
        <f>IF(C10018="","",UPPER(LEFT(SUBSTITUTE(C10018," ",""),3))&amp;"-"&amp;TEXT(B10018,"AAMMDD")&amp;"-1")</f>
        <v/>
      </c>
    </row>
    <row r="10019" spans="20:20" hidden="1">
      <c r="T10019" t="str">
        <f>IF(C10019="","",UPPER(LEFT(SUBSTITUTE(C10019," ",""),3))&amp;"-"&amp;TEXT(B10019,"AAMMDD")&amp;"-1")</f>
        <v/>
      </c>
    </row>
    <row r="10020" spans="20:20" hidden="1">
      <c r="T10020" t="str">
        <f>IF(C10020="","",UPPER(LEFT(SUBSTITUTE(C10020," ",""),3))&amp;"-"&amp;TEXT(B10020,"AAMMDD")&amp;"-1")</f>
        <v/>
      </c>
    </row>
    <row r="10021" spans="20:20" hidden="1">
      <c r="T10021" t="str">
        <f>IF(C10021="","",UPPER(LEFT(SUBSTITUTE(C10021," ",""),3))&amp;"-"&amp;TEXT(B10021,"AAMMDD")&amp;"-1")</f>
        <v/>
      </c>
    </row>
    <row r="10022" spans="20:20" hidden="1">
      <c r="T10022" t="str">
        <f>IF(C10022="","",UPPER(LEFT(SUBSTITUTE(C10022," ",""),3))&amp;"-"&amp;TEXT(B10022,"AAMMDD")&amp;"-1")</f>
        <v/>
      </c>
    </row>
    <row r="10023" spans="20:20" hidden="1">
      <c r="T10023" t="str">
        <f>IF(C10023="","",UPPER(LEFT(SUBSTITUTE(C10023," ",""),3))&amp;"-"&amp;TEXT(B10023,"AAMMDD")&amp;"-1")</f>
        <v/>
      </c>
    </row>
    <row r="10024" spans="20:20" hidden="1">
      <c r="T10024" t="str">
        <f>IF(C10024="","",UPPER(LEFT(SUBSTITUTE(C10024," ",""),3))&amp;"-"&amp;TEXT(B10024,"AAMMDD")&amp;"-1")</f>
        <v/>
      </c>
    </row>
    <row r="10025" spans="20:20" hidden="1">
      <c r="T10025" t="str">
        <f>IF(C10025="","",UPPER(LEFT(SUBSTITUTE(C10025," ",""),3))&amp;"-"&amp;TEXT(B10025,"AAMMDD")&amp;"-1")</f>
        <v/>
      </c>
    </row>
    <row r="10026" spans="20:20" hidden="1">
      <c r="T10026" t="str">
        <f>IF(C10026="","",UPPER(LEFT(SUBSTITUTE(C10026," ",""),3))&amp;"-"&amp;TEXT(B10026,"AAMMDD")&amp;"-1")</f>
        <v/>
      </c>
    </row>
    <row r="10027" spans="20:20" hidden="1">
      <c r="T10027" t="str">
        <f>IF(C10027="","",UPPER(LEFT(SUBSTITUTE(C10027," ",""),3))&amp;"-"&amp;TEXT(B10027,"AAMMDD")&amp;"-1")</f>
        <v/>
      </c>
    </row>
    <row r="10028" spans="20:20" hidden="1">
      <c r="T10028" t="str">
        <f>IF(C10028="","",UPPER(LEFT(SUBSTITUTE(C10028," ",""),3))&amp;"-"&amp;TEXT(B10028,"AAMMDD")&amp;"-1")</f>
        <v/>
      </c>
    </row>
    <row r="10029" spans="20:20" hidden="1">
      <c r="T10029" t="str">
        <f>IF(C10029="","",UPPER(LEFT(SUBSTITUTE(C10029," ",""),3))&amp;"-"&amp;TEXT(B10029,"AAMMDD")&amp;"-1")</f>
        <v/>
      </c>
    </row>
    <row r="10030" spans="20:20" hidden="1">
      <c r="T10030" t="str">
        <f>IF(C10030="","",UPPER(LEFT(SUBSTITUTE(C10030," ",""),3))&amp;"-"&amp;TEXT(B10030,"AAMMDD")&amp;"-1")</f>
        <v/>
      </c>
    </row>
    <row r="10031" spans="20:20" hidden="1">
      <c r="T10031" t="str">
        <f>IF(C10031="","",UPPER(LEFT(SUBSTITUTE(C10031," ",""),3))&amp;"-"&amp;TEXT(B10031,"AAMMDD")&amp;"-1")</f>
        <v/>
      </c>
    </row>
    <row r="10032" spans="20:20" hidden="1">
      <c r="T10032" t="str">
        <f>IF(C10032="","",UPPER(LEFT(SUBSTITUTE(C10032," ",""),3))&amp;"-"&amp;TEXT(B10032,"AAMMDD")&amp;"-1")</f>
        <v/>
      </c>
    </row>
    <row r="10033" spans="20:20" hidden="1">
      <c r="T10033" t="str">
        <f>IF(C10033="","",UPPER(LEFT(SUBSTITUTE(C10033," ",""),3))&amp;"-"&amp;TEXT(B10033,"AAMMDD")&amp;"-1")</f>
        <v/>
      </c>
    </row>
    <row r="10034" spans="20:20" hidden="1">
      <c r="T10034" t="str">
        <f>IF(C10034="","",UPPER(LEFT(SUBSTITUTE(C10034," ",""),3))&amp;"-"&amp;TEXT(B10034,"AAMMDD")&amp;"-1")</f>
        <v/>
      </c>
    </row>
    <row r="10035" spans="20:20" hidden="1">
      <c r="T10035" t="str">
        <f>IF(C10035="","",UPPER(LEFT(SUBSTITUTE(C10035," ",""),3))&amp;"-"&amp;TEXT(B10035,"AAMMDD")&amp;"-1")</f>
        <v/>
      </c>
    </row>
    <row r="10036" spans="20:20" hidden="1">
      <c r="T10036" t="str">
        <f>IF(C10036="","",UPPER(LEFT(SUBSTITUTE(C10036," ",""),3))&amp;"-"&amp;TEXT(B10036,"AAMMDD")&amp;"-1")</f>
        <v/>
      </c>
    </row>
    <row r="10037" spans="20:20" hidden="1">
      <c r="T10037" t="str">
        <f>IF(C10037="","",UPPER(LEFT(SUBSTITUTE(C10037," ",""),3))&amp;"-"&amp;TEXT(B10037,"AAMMDD")&amp;"-1")</f>
        <v/>
      </c>
    </row>
    <row r="10038" spans="20:20" hidden="1">
      <c r="T10038" t="str">
        <f>IF(C10038="","",UPPER(LEFT(SUBSTITUTE(C10038," ",""),3))&amp;"-"&amp;TEXT(B10038,"AAMMDD")&amp;"-1")</f>
        <v/>
      </c>
    </row>
    <row r="10039" spans="20:20" hidden="1">
      <c r="T10039" t="str">
        <f>IF(C10039="","",UPPER(LEFT(SUBSTITUTE(C10039," ",""),3))&amp;"-"&amp;TEXT(B10039,"AAMMDD")&amp;"-1")</f>
        <v/>
      </c>
    </row>
    <row r="10040" spans="20:20" hidden="1">
      <c r="T10040" t="str">
        <f>IF(C10040="","",UPPER(LEFT(SUBSTITUTE(C10040," ",""),3))&amp;"-"&amp;TEXT(B10040,"AAMMDD")&amp;"-1")</f>
        <v/>
      </c>
    </row>
    <row r="10041" spans="20:20" hidden="1">
      <c r="T10041" t="str">
        <f>IF(C10041="","",UPPER(LEFT(SUBSTITUTE(C10041," ",""),3))&amp;"-"&amp;TEXT(B10041,"AAMMDD")&amp;"-1")</f>
        <v/>
      </c>
    </row>
    <row r="10042" spans="20:20" hidden="1">
      <c r="T10042" t="str">
        <f>IF(C10042="","",UPPER(LEFT(SUBSTITUTE(C10042," ",""),3))&amp;"-"&amp;TEXT(B10042,"AAMMDD")&amp;"-1")</f>
        <v/>
      </c>
    </row>
    <row r="10043" spans="20:20" hidden="1">
      <c r="T10043" t="str">
        <f>IF(C10043="","",UPPER(LEFT(SUBSTITUTE(C10043," ",""),3))&amp;"-"&amp;TEXT(B10043,"AAMMDD")&amp;"-1")</f>
        <v/>
      </c>
    </row>
    <row r="10044" spans="20:20" hidden="1">
      <c r="T10044" t="str">
        <f>IF(C10044="","",UPPER(LEFT(SUBSTITUTE(C10044," ",""),3))&amp;"-"&amp;TEXT(B10044,"AAMMDD")&amp;"-1")</f>
        <v/>
      </c>
    </row>
    <row r="10045" spans="20:20" hidden="1">
      <c r="T10045" t="str">
        <f>IF(C10045="","",UPPER(LEFT(SUBSTITUTE(C10045," ",""),3))&amp;"-"&amp;TEXT(B10045,"AAMMDD")&amp;"-1")</f>
        <v/>
      </c>
    </row>
    <row r="10046" spans="20:20" hidden="1">
      <c r="T10046" t="str">
        <f>IF(C10046="","",UPPER(LEFT(SUBSTITUTE(C10046," ",""),3))&amp;"-"&amp;TEXT(B10046,"AAMMDD")&amp;"-1")</f>
        <v/>
      </c>
    </row>
    <row r="10047" spans="20:20" hidden="1">
      <c r="T10047" t="str">
        <f>IF(C10047="","",UPPER(LEFT(SUBSTITUTE(C10047," ",""),3))&amp;"-"&amp;TEXT(B10047,"AAMMDD")&amp;"-1")</f>
        <v/>
      </c>
    </row>
    <row r="10048" spans="20:20" hidden="1">
      <c r="T10048" t="str">
        <f>IF(C10048="","",UPPER(LEFT(SUBSTITUTE(C10048," ",""),3))&amp;"-"&amp;TEXT(B10048,"AAMMDD")&amp;"-1")</f>
        <v/>
      </c>
    </row>
    <row r="10049" spans="20:20" hidden="1">
      <c r="T10049" t="str">
        <f>IF(C10049="","",UPPER(LEFT(SUBSTITUTE(C10049," ",""),3))&amp;"-"&amp;TEXT(B10049,"AAMMDD")&amp;"-1")</f>
        <v/>
      </c>
    </row>
    <row r="10050" spans="20:20" hidden="1">
      <c r="T10050" t="str">
        <f>IF(C10050="","",UPPER(LEFT(SUBSTITUTE(C10050," ",""),3))&amp;"-"&amp;TEXT(B10050,"AAMMDD")&amp;"-1")</f>
        <v/>
      </c>
    </row>
    <row r="10051" spans="20:20" hidden="1">
      <c r="T10051" t="str">
        <f>IF(C10051="","",UPPER(LEFT(SUBSTITUTE(C10051," ",""),3))&amp;"-"&amp;TEXT(B10051,"AAMMDD")&amp;"-1")</f>
        <v/>
      </c>
    </row>
    <row r="10052" spans="20:20" hidden="1">
      <c r="T10052" t="str">
        <f>IF(C10052="","",UPPER(LEFT(SUBSTITUTE(C10052," ",""),3))&amp;"-"&amp;TEXT(B10052,"AAMMDD")&amp;"-1")</f>
        <v/>
      </c>
    </row>
    <row r="10053" spans="20:20" hidden="1">
      <c r="T10053" t="str">
        <f>IF(C10053="","",UPPER(LEFT(SUBSTITUTE(C10053," ",""),3))&amp;"-"&amp;TEXT(B10053,"AAMMDD")&amp;"-1")</f>
        <v/>
      </c>
    </row>
    <row r="10054" spans="20:20" hidden="1">
      <c r="T10054" t="str">
        <f>IF(C10054="","",UPPER(LEFT(SUBSTITUTE(C10054," ",""),3))&amp;"-"&amp;TEXT(B10054,"AAMMDD")&amp;"-1")</f>
        <v/>
      </c>
    </row>
    <row r="10055" spans="20:20" hidden="1">
      <c r="T10055" t="str">
        <f>IF(C10055="","",UPPER(LEFT(SUBSTITUTE(C10055," ",""),3))&amp;"-"&amp;TEXT(B10055,"AAMMDD")&amp;"-1")</f>
        <v/>
      </c>
    </row>
    <row r="10056" spans="20:20" hidden="1">
      <c r="T10056" t="str">
        <f>IF(C10056="","",UPPER(LEFT(SUBSTITUTE(C10056," ",""),3))&amp;"-"&amp;TEXT(B10056,"AAMMDD")&amp;"-1")</f>
        <v/>
      </c>
    </row>
    <row r="10057" spans="20:20" hidden="1">
      <c r="T10057" t="str">
        <f>IF(C10057="","",UPPER(LEFT(SUBSTITUTE(C10057," ",""),3))&amp;"-"&amp;TEXT(B10057,"AAMMDD")&amp;"-1")</f>
        <v/>
      </c>
    </row>
    <row r="10058" spans="20:20" hidden="1">
      <c r="T10058" t="str">
        <f>IF(C10058="","",UPPER(LEFT(SUBSTITUTE(C10058," ",""),3))&amp;"-"&amp;TEXT(B10058,"AAMMDD")&amp;"-1")</f>
        <v/>
      </c>
    </row>
    <row r="10059" spans="20:20" hidden="1">
      <c r="T10059" t="str">
        <f>IF(C10059="","",UPPER(LEFT(SUBSTITUTE(C10059," ",""),3))&amp;"-"&amp;TEXT(B10059,"AAMMDD")&amp;"-1")</f>
        <v/>
      </c>
    </row>
    <row r="10060" spans="20:20" hidden="1">
      <c r="T10060" t="str">
        <f>IF(C10060="","",UPPER(LEFT(SUBSTITUTE(C10060," ",""),3))&amp;"-"&amp;TEXT(B10060,"AAMMDD")&amp;"-1")</f>
        <v/>
      </c>
    </row>
    <row r="10061" spans="20:20" hidden="1">
      <c r="T10061" t="str">
        <f>IF(C10061="","",UPPER(LEFT(SUBSTITUTE(C10061," ",""),3))&amp;"-"&amp;TEXT(B10061,"AAMMDD")&amp;"-1")</f>
        <v/>
      </c>
    </row>
    <row r="10062" spans="20:20" hidden="1">
      <c r="T10062" t="str">
        <f>IF(C10062="","",UPPER(LEFT(SUBSTITUTE(C10062," ",""),3))&amp;"-"&amp;TEXT(B10062,"AAMMDD")&amp;"-1")</f>
        <v/>
      </c>
    </row>
    <row r="10063" spans="20:20" hidden="1">
      <c r="T10063" t="str">
        <f>IF(C10063="","",UPPER(LEFT(SUBSTITUTE(C10063," ",""),3))&amp;"-"&amp;TEXT(B10063,"AAMMDD")&amp;"-1")</f>
        <v/>
      </c>
    </row>
    <row r="10064" spans="20:20" hidden="1">
      <c r="T10064" t="str">
        <f>IF(C10064="","",UPPER(LEFT(SUBSTITUTE(C10064," ",""),3))&amp;"-"&amp;TEXT(B10064,"AAMMDD")&amp;"-1")</f>
        <v/>
      </c>
    </row>
    <row r="10065" spans="20:20" hidden="1">
      <c r="T10065" t="str">
        <f>IF(C10065="","",UPPER(LEFT(SUBSTITUTE(C10065," ",""),3))&amp;"-"&amp;TEXT(B10065,"AAMMDD")&amp;"-1")</f>
        <v/>
      </c>
    </row>
    <row r="10066" spans="20:20" hidden="1">
      <c r="T10066" t="str">
        <f>IF(C10066="","",UPPER(LEFT(SUBSTITUTE(C10066," ",""),3))&amp;"-"&amp;TEXT(B10066,"AAMMDD")&amp;"-1")</f>
        <v/>
      </c>
    </row>
    <row r="10067" spans="20:20" hidden="1">
      <c r="T10067" t="str">
        <f>IF(C10067="","",UPPER(LEFT(SUBSTITUTE(C10067," ",""),3))&amp;"-"&amp;TEXT(B10067,"AAMMDD")&amp;"-1")</f>
        <v/>
      </c>
    </row>
    <row r="10068" spans="20:20" hidden="1">
      <c r="T10068" t="str">
        <f>IF(C10068="","",UPPER(LEFT(SUBSTITUTE(C10068," ",""),3))&amp;"-"&amp;TEXT(B10068,"AAMMDD")&amp;"-1")</f>
        <v/>
      </c>
    </row>
    <row r="10069" spans="20:20" hidden="1">
      <c r="T10069" t="str">
        <f>IF(C10069="","",UPPER(LEFT(SUBSTITUTE(C10069," ",""),3))&amp;"-"&amp;TEXT(B10069,"AAMMDD")&amp;"-1")</f>
        <v/>
      </c>
    </row>
    <row r="10070" spans="20:20" hidden="1">
      <c r="T10070" t="str">
        <f>IF(C10070="","",UPPER(LEFT(SUBSTITUTE(C10070," ",""),3))&amp;"-"&amp;TEXT(B10070,"AAMMDD")&amp;"-1")</f>
        <v/>
      </c>
    </row>
    <row r="10071" spans="20:20" hidden="1">
      <c r="T10071" t="str">
        <f>IF(C10071="","",UPPER(LEFT(SUBSTITUTE(C10071," ",""),3))&amp;"-"&amp;TEXT(B10071,"AAMMDD")&amp;"-1")</f>
        <v/>
      </c>
    </row>
    <row r="10072" spans="20:20" hidden="1">
      <c r="T10072" t="str">
        <f>IF(C10072="","",UPPER(LEFT(SUBSTITUTE(C10072," ",""),3))&amp;"-"&amp;TEXT(B10072,"AAMMDD")&amp;"-1")</f>
        <v/>
      </c>
    </row>
    <row r="10073" spans="20:20" hidden="1">
      <c r="T10073" t="str">
        <f>IF(C10073="","",UPPER(LEFT(SUBSTITUTE(C10073," ",""),3))&amp;"-"&amp;TEXT(B10073,"AAMMDD")&amp;"-1")</f>
        <v/>
      </c>
    </row>
    <row r="10074" spans="20:20" hidden="1">
      <c r="T10074" t="str">
        <f>IF(C10074="","",UPPER(LEFT(SUBSTITUTE(C10074," ",""),3))&amp;"-"&amp;TEXT(B10074,"AAMMDD")&amp;"-1")</f>
        <v/>
      </c>
    </row>
    <row r="10075" spans="20:20" hidden="1">
      <c r="T10075" t="str">
        <f>IF(C10075="","",UPPER(LEFT(SUBSTITUTE(C10075," ",""),3))&amp;"-"&amp;TEXT(B10075,"AAMMDD")&amp;"-1")</f>
        <v/>
      </c>
    </row>
    <row r="10076" spans="20:20" hidden="1">
      <c r="T10076" t="str">
        <f>IF(C10076="","",UPPER(LEFT(SUBSTITUTE(C10076," ",""),3))&amp;"-"&amp;TEXT(B10076,"AAMMDD")&amp;"-1")</f>
        <v/>
      </c>
    </row>
    <row r="10077" spans="20:20" hidden="1">
      <c r="T10077" t="str">
        <f>IF(C10077="","",UPPER(LEFT(SUBSTITUTE(C10077," ",""),3))&amp;"-"&amp;TEXT(B10077,"AAMMDD")&amp;"-1")</f>
        <v/>
      </c>
    </row>
    <row r="10078" spans="20:20" hidden="1">
      <c r="T10078" t="str">
        <f>IF(C10078="","",UPPER(LEFT(SUBSTITUTE(C10078," ",""),3))&amp;"-"&amp;TEXT(B10078,"AAMMDD")&amp;"-1")</f>
        <v/>
      </c>
    </row>
    <row r="10079" spans="20:20" hidden="1">
      <c r="T10079" t="str">
        <f>IF(C10079="","",UPPER(LEFT(SUBSTITUTE(C10079," ",""),3))&amp;"-"&amp;TEXT(B10079,"AAMMDD")&amp;"-1")</f>
        <v/>
      </c>
    </row>
    <row r="10080" spans="20:20" hidden="1">
      <c r="T10080" t="str">
        <f>IF(C10080="","",UPPER(LEFT(SUBSTITUTE(C10080," ",""),3))&amp;"-"&amp;TEXT(B10080,"AAMMDD")&amp;"-1")</f>
        <v/>
      </c>
    </row>
    <row r="10081" spans="20:20" hidden="1">
      <c r="T10081" t="str">
        <f>IF(C10081="","",UPPER(LEFT(SUBSTITUTE(C10081," ",""),3))&amp;"-"&amp;TEXT(B10081,"AAMMDD")&amp;"-1")</f>
        <v/>
      </c>
    </row>
    <row r="10082" spans="20:20" hidden="1">
      <c r="T10082" t="str">
        <f>IF(C10082="","",UPPER(LEFT(SUBSTITUTE(C10082," ",""),3))&amp;"-"&amp;TEXT(B10082,"AAMMDD")&amp;"-1")</f>
        <v/>
      </c>
    </row>
    <row r="10083" spans="20:20" hidden="1">
      <c r="T10083" t="str">
        <f>IF(C10083="","",UPPER(LEFT(SUBSTITUTE(C10083," ",""),3))&amp;"-"&amp;TEXT(B10083,"AAMMDD")&amp;"-1")</f>
        <v/>
      </c>
    </row>
    <row r="10084" spans="20:20" hidden="1">
      <c r="T10084" t="str">
        <f>IF(C10084="","",UPPER(LEFT(SUBSTITUTE(C10084," ",""),3))&amp;"-"&amp;TEXT(B10084,"AAMMDD")&amp;"-1")</f>
        <v/>
      </c>
    </row>
    <row r="10085" spans="20:20" hidden="1">
      <c r="T10085" t="str">
        <f>IF(C10085="","",UPPER(LEFT(SUBSTITUTE(C10085," ",""),3))&amp;"-"&amp;TEXT(B10085,"AAMMDD")&amp;"-1")</f>
        <v/>
      </c>
    </row>
    <row r="10086" spans="20:20" hidden="1">
      <c r="T10086" t="str">
        <f>IF(C10086="","",UPPER(LEFT(SUBSTITUTE(C10086," ",""),3))&amp;"-"&amp;TEXT(B10086,"AAMMDD")&amp;"-1")</f>
        <v/>
      </c>
    </row>
    <row r="10087" spans="20:20" hidden="1">
      <c r="T10087" t="str">
        <f>IF(C10087="","",UPPER(LEFT(SUBSTITUTE(C10087," ",""),3))&amp;"-"&amp;TEXT(B10087,"AAMMDD")&amp;"-1")</f>
        <v/>
      </c>
    </row>
    <row r="10088" spans="20:20" hidden="1">
      <c r="T10088" t="str">
        <f>IF(C10088="","",UPPER(LEFT(SUBSTITUTE(C10088," ",""),3))&amp;"-"&amp;TEXT(B10088,"AAMMDD")&amp;"-1")</f>
        <v/>
      </c>
    </row>
    <row r="10089" spans="20:20" hidden="1">
      <c r="T10089" t="str">
        <f>IF(C10089="","",UPPER(LEFT(SUBSTITUTE(C10089," ",""),3))&amp;"-"&amp;TEXT(B10089,"AAMMDD")&amp;"-1")</f>
        <v/>
      </c>
    </row>
    <row r="10090" spans="20:20" hidden="1">
      <c r="T10090" t="str">
        <f>IF(C10090="","",UPPER(LEFT(SUBSTITUTE(C10090," ",""),3))&amp;"-"&amp;TEXT(B10090,"AAMMDD")&amp;"-1")</f>
        <v/>
      </c>
    </row>
    <row r="10091" spans="20:20" hidden="1">
      <c r="T10091" t="str">
        <f>IF(C10091="","",UPPER(LEFT(SUBSTITUTE(C10091," ",""),3))&amp;"-"&amp;TEXT(B10091,"AAMMDD")&amp;"-1")</f>
        <v/>
      </c>
    </row>
    <row r="10092" spans="20:20" hidden="1">
      <c r="T10092" t="str">
        <f>IF(C10092="","",UPPER(LEFT(SUBSTITUTE(C10092," ",""),3))&amp;"-"&amp;TEXT(B10092,"AAMMDD")&amp;"-1")</f>
        <v/>
      </c>
    </row>
    <row r="10093" spans="20:20" hidden="1">
      <c r="T10093" t="str">
        <f>IF(C10093="","",UPPER(LEFT(SUBSTITUTE(C10093," ",""),3))&amp;"-"&amp;TEXT(B10093,"AAMMDD")&amp;"-1")</f>
        <v/>
      </c>
    </row>
    <row r="10094" spans="20:20" hidden="1">
      <c r="T10094" t="str">
        <f>IF(C10094="","",UPPER(LEFT(SUBSTITUTE(C10094," ",""),3))&amp;"-"&amp;TEXT(B10094,"AAMMDD")&amp;"-1")</f>
        <v/>
      </c>
    </row>
    <row r="10095" spans="20:20" hidden="1">
      <c r="T10095" t="str">
        <f>IF(C10095="","",UPPER(LEFT(SUBSTITUTE(C10095," ",""),3))&amp;"-"&amp;TEXT(B10095,"AAMMDD")&amp;"-1")</f>
        <v/>
      </c>
    </row>
    <row r="10096" spans="20:20" hidden="1">
      <c r="T10096" t="str">
        <f>IF(C10096="","",UPPER(LEFT(SUBSTITUTE(C10096," ",""),3))&amp;"-"&amp;TEXT(B10096,"AAMMDD")&amp;"-1")</f>
        <v/>
      </c>
    </row>
    <row r="10097" spans="20:20" hidden="1">
      <c r="T10097" t="str">
        <f>IF(C10097="","",UPPER(LEFT(SUBSTITUTE(C10097," ",""),3))&amp;"-"&amp;TEXT(B10097,"AAMMDD")&amp;"-1")</f>
        <v/>
      </c>
    </row>
    <row r="10098" spans="20:20" hidden="1">
      <c r="T10098" t="str">
        <f>IF(C10098="","",UPPER(LEFT(SUBSTITUTE(C10098," ",""),3))&amp;"-"&amp;TEXT(B10098,"AAMMDD")&amp;"-1")</f>
        <v/>
      </c>
    </row>
    <row r="10099" spans="20:20" hidden="1">
      <c r="T10099" t="str">
        <f>IF(C10099="","",UPPER(LEFT(SUBSTITUTE(C10099," ",""),3))&amp;"-"&amp;TEXT(B10099,"AAMMDD")&amp;"-1")</f>
        <v/>
      </c>
    </row>
    <row r="10100" spans="20:20" hidden="1">
      <c r="T10100" t="str">
        <f>IF(C10100="","",UPPER(LEFT(SUBSTITUTE(C10100," ",""),3))&amp;"-"&amp;TEXT(B10100,"AAMMDD")&amp;"-1")</f>
        <v/>
      </c>
    </row>
    <row r="10101" spans="20:20" hidden="1">
      <c r="T10101" t="str">
        <f>IF(C10101="","",UPPER(LEFT(SUBSTITUTE(C10101," ",""),3))&amp;"-"&amp;TEXT(B10101,"AAMMDD")&amp;"-1")</f>
        <v/>
      </c>
    </row>
    <row r="10102" spans="20:20" hidden="1">
      <c r="T10102" t="str">
        <f>IF(C10102="","",UPPER(LEFT(SUBSTITUTE(C10102," ",""),3))&amp;"-"&amp;TEXT(B10102,"AAMMDD")&amp;"-1")</f>
        <v/>
      </c>
    </row>
    <row r="10103" spans="20:20" hidden="1">
      <c r="T10103" t="str">
        <f>IF(C10103="","",UPPER(LEFT(SUBSTITUTE(C10103," ",""),3))&amp;"-"&amp;TEXT(B10103,"AAMMDD")&amp;"-1")</f>
        <v/>
      </c>
    </row>
    <row r="10104" spans="20:20" hidden="1">
      <c r="T10104" t="str">
        <f>IF(C10104="","",UPPER(LEFT(SUBSTITUTE(C10104," ",""),3))&amp;"-"&amp;TEXT(B10104,"AAMMDD")&amp;"-1")</f>
        <v/>
      </c>
    </row>
    <row r="10105" spans="20:20" hidden="1">
      <c r="T10105" t="str">
        <f>IF(C10105="","",UPPER(LEFT(SUBSTITUTE(C10105," ",""),3))&amp;"-"&amp;TEXT(B10105,"AAMMDD")&amp;"-1")</f>
        <v/>
      </c>
    </row>
    <row r="10106" spans="20:20" hidden="1">
      <c r="T10106" t="str">
        <f>IF(C10106="","",UPPER(LEFT(SUBSTITUTE(C10106," ",""),3))&amp;"-"&amp;TEXT(B10106,"AAMMDD")&amp;"-1")</f>
        <v/>
      </c>
    </row>
    <row r="10107" spans="20:20" hidden="1">
      <c r="T10107" t="str">
        <f>IF(C10107="","",UPPER(LEFT(SUBSTITUTE(C10107," ",""),3))&amp;"-"&amp;TEXT(B10107,"AAMMDD")&amp;"-1")</f>
        <v/>
      </c>
    </row>
    <row r="10108" spans="20:20" hidden="1">
      <c r="T10108" t="str">
        <f>IF(C10108="","",UPPER(LEFT(SUBSTITUTE(C10108," ",""),3))&amp;"-"&amp;TEXT(B10108,"AAMMDD")&amp;"-1")</f>
        <v/>
      </c>
    </row>
    <row r="10109" spans="20:20" hidden="1">
      <c r="T10109" t="str">
        <f>IF(C10109="","",UPPER(LEFT(SUBSTITUTE(C10109," ",""),3))&amp;"-"&amp;TEXT(B10109,"AAMMDD")&amp;"-1")</f>
        <v/>
      </c>
    </row>
    <row r="10110" spans="20:20" hidden="1">
      <c r="T10110" t="str">
        <f>IF(C10110="","",UPPER(LEFT(SUBSTITUTE(C10110," ",""),3))&amp;"-"&amp;TEXT(B10110,"AAMMDD")&amp;"-1")</f>
        <v/>
      </c>
    </row>
    <row r="10111" spans="20:20" hidden="1">
      <c r="T10111" t="str">
        <f>IF(C10111="","",UPPER(LEFT(SUBSTITUTE(C10111," ",""),3))&amp;"-"&amp;TEXT(B10111,"AAMMDD")&amp;"-1")</f>
        <v/>
      </c>
    </row>
    <row r="10112" spans="20:20" hidden="1">
      <c r="T10112" t="str">
        <f>IF(C10112="","",UPPER(LEFT(SUBSTITUTE(C10112," ",""),3))&amp;"-"&amp;TEXT(B10112,"AAMMDD")&amp;"-1")</f>
        <v/>
      </c>
    </row>
    <row r="10113" spans="20:20" hidden="1">
      <c r="T10113" t="str">
        <f>IF(C10113="","",UPPER(LEFT(SUBSTITUTE(C10113," ",""),3))&amp;"-"&amp;TEXT(B10113,"AAMMDD")&amp;"-1")</f>
        <v/>
      </c>
    </row>
    <row r="10114" spans="20:20" hidden="1">
      <c r="T10114" t="str">
        <f>IF(C10114="","",UPPER(LEFT(SUBSTITUTE(C10114," ",""),3))&amp;"-"&amp;TEXT(B10114,"AAMMDD")&amp;"-1")</f>
        <v/>
      </c>
    </row>
    <row r="10115" spans="20:20" hidden="1">
      <c r="T10115" t="str">
        <f>IF(C10115="","",UPPER(LEFT(SUBSTITUTE(C10115," ",""),3))&amp;"-"&amp;TEXT(B10115,"AAMMDD")&amp;"-1")</f>
        <v/>
      </c>
    </row>
    <row r="10116" spans="20:20" hidden="1">
      <c r="T10116" t="str">
        <f>IF(C10116="","",UPPER(LEFT(SUBSTITUTE(C10116," ",""),3))&amp;"-"&amp;TEXT(B10116,"AAMMDD")&amp;"-1")</f>
        <v/>
      </c>
    </row>
    <row r="10117" spans="20:20" hidden="1">
      <c r="T10117" t="str">
        <f>IF(C10117="","",UPPER(LEFT(SUBSTITUTE(C10117," ",""),3))&amp;"-"&amp;TEXT(B10117,"AAMMDD")&amp;"-1")</f>
        <v/>
      </c>
    </row>
    <row r="10118" spans="20:20" hidden="1">
      <c r="T10118" t="str">
        <f>IF(C10118="","",UPPER(LEFT(SUBSTITUTE(C10118," ",""),3))&amp;"-"&amp;TEXT(B10118,"AAMMDD")&amp;"-1")</f>
        <v/>
      </c>
    </row>
    <row r="10119" spans="20:20" hidden="1">
      <c r="T10119" t="str">
        <f>IF(C10119="","",UPPER(LEFT(SUBSTITUTE(C10119," ",""),3))&amp;"-"&amp;TEXT(B10119,"AAMMDD")&amp;"-1")</f>
        <v/>
      </c>
    </row>
    <row r="10120" spans="20:20" hidden="1">
      <c r="T10120" t="str">
        <f>IF(C10120="","",UPPER(LEFT(SUBSTITUTE(C10120," ",""),3))&amp;"-"&amp;TEXT(B10120,"AAMMDD")&amp;"-1")</f>
        <v/>
      </c>
    </row>
    <row r="10121" spans="20:20" hidden="1">
      <c r="T10121" t="str">
        <f>IF(C10121="","",UPPER(LEFT(SUBSTITUTE(C10121," ",""),3))&amp;"-"&amp;TEXT(B10121,"AAMMDD")&amp;"-1")</f>
        <v/>
      </c>
    </row>
    <row r="10122" spans="20:20" hidden="1">
      <c r="T10122" t="str">
        <f>IF(C10122="","",UPPER(LEFT(SUBSTITUTE(C10122," ",""),3))&amp;"-"&amp;TEXT(B10122,"AAMMDD")&amp;"-1")</f>
        <v/>
      </c>
    </row>
    <row r="10123" spans="20:20" hidden="1">
      <c r="T10123" t="str">
        <f>IF(C10123="","",UPPER(LEFT(SUBSTITUTE(C10123," ",""),3))&amp;"-"&amp;TEXT(B10123,"AAMMDD")&amp;"-1")</f>
        <v/>
      </c>
    </row>
    <row r="10124" spans="20:20" hidden="1">
      <c r="T10124" t="str">
        <f>IF(C10124="","",UPPER(LEFT(SUBSTITUTE(C10124," ",""),3))&amp;"-"&amp;TEXT(B10124,"AAMMDD")&amp;"-1")</f>
        <v/>
      </c>
    </row>
    <row r="10125" spans="20:20" hidden="1">
      <c r="T10125" t="str">
        <f>IF(C10125="","",UPPER(LEFT(SUBSTITUTE(C10125," ",""),3))&amp;"-"&amp;TEXT(B10125,"AAMMDD")&amp;"-1")</f>
        <v/>
      </c>
    </row>
    <row r="10126" spans="20:20" hidden="1">
      <c r="T10126" t="str">
        <f>IF(C10126="","",UPPER(LEFT(SUBSTITUTE(C10126," ",""),3))&amp;"-"&amp;TEXT(B10126,"AAMMDD")&amp;"-1")</f>
        <v/>
      </c>
    </row>
    <row r="10127" spans="20:20" hidden="1">
      <c r="T10127" t="str">
        <f>IF(C10127="","",UPPER(LEFT(SUBSTITUTE(C10127," ",""),3))&amp;"-"&amp;TEXT(B10127,"AAMMDD")&amp;"-1")</f>
        <v/>
      </c>
    </row>
    <row r="10128" spans="20:20" hidden="1">
      <c r="T10128" t="str">
        <f>IF(C10128="","",UPPER(LEFT(SUBSTITUTE(C10128," ",""),3))&amp;"-"&amp;TEXT(B10128,"AAMMDD")&amp;"-1")</f>
        <v/>
      </c>
    </row>
    <row r="10129" spans="20:20" hidden="1">
      <c r="T10129" t="str">
        <f>IF(C10129="","",UPPER(LEFT(SUBSTITUTE(C10129," ",""),3))&amp;"-"&amp;TEXT(B10129,"AAMMDD")&amp;"-1")</f>
        <v/>
      </c>
    </row>
    <row r="10130" spans="20:20" hidden="1">
      <c r="T10130" t="str">
        <f>IF(C10130="","",UPPER(LEFT(SUBSTITUTE(C10130," ",""),3))&amp;"-"&amp;TEXT(B10130,"AAMMDD")&amp;"-1")</f>
        <v/>
      </c>
    </row>
    <row r="10131" spans="20:20" hidden="1">
      <c r="T10131" t="str">
        <f>IF(C10131="","",UPPER(LEFT(SUBSTITUTE(C10131," ",""),3))&amp;"-"&amp;TEXT(B10131,"AAMMDD")&amp;"-1")</f>
        <v/>
      </c>
    </row>
    <row r="10132" spans="20:20" hidden="1">
      <c r="T10132" t="str">
        <f>IF(C10132="","",UPPER(LEFT(SUBSTITUTE(C10132," ",""),3))&amp;"-"&amp;TEXT(B10132,"AAMMDD")&amp;"-1")</f>
        <v/>
      </c>
    </row>
    <row r="10133" spans="20:20" hidden="1">
      <c r="T10133" t="str">
        <f>IF(C10133="","",UPPER(LEFT(SUBSTITUTE(C10133," ",""),3))&amp;"-"&amp;TEXT(B10133,"AAMMDD")&amp;"-1")</f>
        <v/>
      </c>
    </row>
    <row r="10134" spans="20:20" hidden="1">
      <c r="T10134" t="str">
        <f>IF(C10134="","",UPPER(LEFT(SUBSTITUTE(C10134," ",""),3))&amp;"-"&amp;TEXT(B10134,"AAMMDD")&amp;"-1")</f>
        <v/>
      </c>
    </row>
    <row r="10135" spans="20:20" hidden="1">
      <c r="T10135" t="str">
        <f>IF(C10135="","",UPPER(LEFT(SUBSTITUTE(C10135," ",""),3))&amp;"-"&amp;TEXT(B10135,"AAMMDD")&amp;"-1")</f>
        <v/>
      </c>
    </row>
    <row r="10136" spans="20:20" hidden="1">
      <c r="T10136" t="str">
        <f>IF(C10136="","",UPPER(LEFT(SUBSTITUTE(C10136," ",""),3))&amp;"-"&amp;TEXT(B10136,"AAMMDD")&amp;"-1")</f>
        <v/>
      </c>
    </row>
    <row r="10137" spans="20:20" hidden="1">
      <c r="T10137" t="str">
        <f>IF(C10137="","",UPPER(LEFT(SUBSTITUTE(C10137," ",""),3))&amp;"-"&amp;TEXT(B10137,"AAMMDD")&amp;"-1")</f>
        <v/>
      </c>
    </row>
    <row r="10138" spans="20:20" hidden="1">
      <c r="T10138" t="str">
        <f>IF(C10138="","",UPPER(LEFT(SUBSTITUTE(C10138," ",""),3))&amp;"-"&amp;TEXT(B10138,"AAMMDD")&amp;"-1")</f>
        <v/>
      </c>
    </row>
    <row r="10139" spans="20:20" hidden="1">
      <c r="T10139" t="str">
        <f>IF(C10139="","",UPPER(LEFT(SUBSTITUTE(C10139," ",""),3))&amp;"-"&amp;TEXT(B10139,"AAMMDD")&amp;"-1")</f>
        <v/>
      </c>
    </row>
    <row r="10140" spans="20:20" hidden="1">
      <c r="T10140" t="str">
        <f>IF(C10140="","",UPPER(LEFT(SUBSTITUTE(C10140," ",""),3))&amp;"-"&amp;TEXT(B10140,"AAMMDD")&amp;"-1")</f>
        <v/>
      </c>
    </row>
    <row r="10141" spans="20:20" hidden="1">
      <c r="T10141" t="str">
        <f>IF(C10141="","",UPPER(LEFT(SUBSTITUTE(C10141," ",""),3))&amp;"-"&amp;TEXT(B10141,"AAMMDD")&amp;"-1")</f>
        <v/>
      </c>
    </row>
    <row r="10142" spans="20:20" hidden="1">
      <c r="T10142" t="str">
        <f>IF(C10142="","",UPPER(LEFT(SUBSTITUTE(C10142," ",""),3))&amp;"-"&amp;TEXT(B10142,"AAMMDD")&amp;"-1")</f>
        <v/>
      </c>
    </row>
    <row r="10143" spans="20:20" hidden="1">
      <c r="T10143" t="str">
        <f>IF(C10143="","",UPPER(LEFT(SUBSTITUTE(C10143," ",""),3))&amp;"-"&amp;TEXT(B10143,"AAMMDD")&amp;"-1")</f>
        <v/>
      </c>
    </row>
    <row r="10144" spans="20:20" hidden="1">
      <c r="T10144" t="str">
        <f>IF(C10144="","",UPPER(LEFT(SUBSTITUTE(C10144," ",""),3))&amp;"-"&amp;TEXT(B10144,"AAMMDD")&amp;"-1")</f>
        <v/>
      </c>
    </row>
    <row r="10145" spans="20:20" hidden="1">
      <c r="T10145" t="str">
        <f>IF(C10145="","",UPPER(LEFT(SUBSTITUTE(C10145," ",""),3))&amp;"-"&amp;TEXT(B10145,"AAMMDD")&amp;"-1")</f>
        <v/>
      </c>
    </row>
    <row r="10146" spans="20:20" hidden="1">
      <c r="T10146" t="str">
        <f>IF(C10146="","",UPPER(LEFT(SUBSTITUTE(C10146," ",""),3))&amp;"-"&amp;TEXT(B10146,"AAMMDD")&amp;"-1")</f>
        <v/>
      </c>
    </row>
    <row r="10147" spans="20:20" hidden="1">
      <c r="T10147" t="str">
        <f>IF(C10147="","",UPPER(LEFT(SUBSTITUTE(C10147," ",""),3))&amp;"-"&amp;TEXT(B10147,"AAMMDD")&amp;"-1")</f>
        <v/>
      </c>
    </row>
    <row r="10148" spans="20:20" hidden="1">
      <c r="T10148" t="str">
        <f>IF(C10148="","",UPPER(LEFT(SUBSTITUTE(C10148," ",""),3))&amp;"-"&amp;TEXT(B10148,"AAMMDD")&amp;"-1")</f>
        <v/>
      </c>
    </row>
    <row r="10149" spans="20:20" hidden="1">
      <c r="T10149" t="str">
        <f>IF(C10149="","",UPPER(LEFT(SUBSTITUTE(C10149," ",""),3))&amp;"-"&amp;TEXT(B10149,"AAMMDD")&amp;"-1")</f>
        <v/>
      </c>
    </row>
    <row r="10150" spans="20:20" hidden="1">
      <c r="T10150" t="str">
        <f>IF(C10150="","",UPPER(LEFT(SUBSTITUTE(C10150," ",""),3))&amp;"-"&amp;TEXT(B10150,"AAMMDD")&amp;"-1")</f>
        <v/>
      </c>
    </row>
    <row r="10151" spans="20:20" hidden="1">
      <c r="T10151" t="str">
        <f>IF(C10151="","",UPPER(LEFT(SUBSTITUTE(C10151," ",""),3))&amp;"-"&amp;TEXT(B10151,"AAMMDD")&amp;"-1")</f>
        <v/>
      </c>
    </row>
    <row r="10152" spans="20:20" hidden="1">
      <c r="T10152" t="str">
        <f>IF(C10152="","",UPPER(LEFT(SUBSTITUTE(C10152," ",""),3))&amp;"-"&amp;TEXT(B10152,"AAMMDD")&amp;"-1")</f>
        <v/>
      </c>
    </row>
    <row r="10153" spans="20:20" hidden="1">
      <c r="T10153" t="str">
        <f>IF(C10153="","",UPPER(LEFT(SUBSTITUTE(C10153," ",""),3))&amp;"-"&amp;TEXT(B10153,"AAMMDD")&amp;"-1")</f>
        <v/>
      </c>
    </row>
    <row r="10154" spans="20:20" hidden="1">
      <c r="T10154" t="str">
        <f>IF(C10154="","",UPPER(LEFT(SUBSTITUTE(C10154," ",""),3))&amp;"-"&amp;TEXT(B10154,"AAMMDD")&amp;"-1")</f>
        <v/>
      </c>
    </row>
    <row r="10155" spans="20:20" hidden="1">
      <c r="T10155" t="str">
        <f>IF(C10155="","",UPPER(LEFT(SUBSTITUTE(C10155," ",""),3))&amp;"-"&amp;TEXT(B10155,"AAMMDD")&amp;"-1")</f>
        <v/>
      </c>
    </row>
    <row r="10156" spans="20:20" hidden="1">
      <c r="T10156" t="str">
        <f>IF(C10156="","",UPPER(LEFT(SUBSTITUTE(C10156," ",""),3))&amp;"-"&amp;TEXT(B10156,"AAMMDD")&amp;"-1")</f>
        <v/>
      </c>
    </row>
    <row r="10157" spans="20:20" hidden="1">
      <c r="T10157" t="str">
        <f>IF(C10157="","",UPPER(LEFT(SUBSTITUTE(C10157," ",""),3))&amp;"-"&amp;TEXT(B10157,"AAMMDD")&amp;"-1")</f>
        <v/>
      </c>
    </row>
    <row r="10158" spans="20:20" hidden="1">
      <c r="T10158" t="str">
        <f>IF(C10158="","",UPPER(LEFT(SUBSTITUTE(C10158," ",""),3))&amp;"-"&amp;TEXT(B10158,"AAMMDD")&amp;"-1")</f>
        <v/>
      </c>
    </row>
    <row r="10159" spans="20:20" hidden="1">
      <c r="T10159" t="str">
        <f>IF(C10159="","",UPPER(LEFT(SUBSTITUTE(C10159," ",""),3))&amp;"-"&amp;TEXT(B10159,"AAMMDD")&amp;"-1")</f>
        <v/>
      </c>
    </row>
    <row r="10160" spans="20:20" hidden="1">
      <c r="T10160" t="str">
        <f>IF(C10160="","",UPPER(LEFT(SUBSTITUTE(C10160," ",""),3))&amp;"-"&amp;TEXT(B10160,"AAMMDD")&amp;"-1")</f>
        <v/>
      </c>
    </row>
    <row r="10161" spans="20:20" hidden="1">
      <c r="T10161" t="str">
        <f>IF(C10161="","",UPPER(LEFT(SUBSTITUTE(C10161," ",""),3))&amp;"-"&amp;TEXT(B10161,"AAMMDD")&amp;"-1")</f>
        <v/>
      </c>
    </row>
    <row r="10162" spans="20:20" hidden="1">
      <c r="T10162" t="str">
        <f>IF(C10162="","",UPPER(LEFT(SUBSTITUTE(C10162," ",""),3))&amp;"-"&amp;TEXT(B10162,"AAMMDD")&amp;"-1")</f>
        <v/>
      </c>
    </row>
    <row r="10163" spans="20:20" hidden="1">
      <c r="T10163" t="str">
        <f>IF(C10163="","",UPPER(LEFT(SUBSTITUTE(C10163," ",""),3))&amp;"-"&amp;TEXT(B10163,"AAMMDD")&amp;"-1")</f>
        <v/>
      </c>
    </row>
    <row r="10164" spans="20:20" hidden="1">
      <c r="T10164" t="str">
        <f>IF(C10164="","",UPPER(LEFT(SUBSTITUTE(C10164," ",""),3))&amp;"-"&amp;TEXT(B10164,"AAMMDD")&amp;"-1")</f>
        <v/>
      </c>
    </row>
    <row r="10165" spans="20:20" hidden="1">
      <c r="T10165" t="str">
        <f>IF(C10165="","",UPPER(LEFT(SUBSTITUTE(C10165," ",""),3))&amp;"-"&amp;TEXT(B10165,"AAMMDD")&amp;"-1")</f>
        <v/>
      </c>
    </row>
    <row r="10166" spans="20:20" hidden="1">
      <c r="T10166" t="str">
        <f>IF(C10166="","",UPPER(LEFT(SUBSTITUTE(C10166," ",""),3))&amp;"-"&amp;TEXT(B10166,"AAMMDD")&amp;"-1")</f>
        <v/>
      </c>
    </row>
    <row r="10167" spans="20:20" hidden="1">
      <c r="T10167" t="str">
        <f>IF(C10167="","",UPPER(LEFT(SUBSTITUTE(C10167," ",""),3))&amp;"-"&amp;TEXT(B10167,"AAMMDD")&amp;"-1")</f>
        <v/>
      </c>
    </row>
    <row r="10168" spans="20:20" hidden="1">
      <c r="T10168" t="str">
        <f>IF(C10168="","",UPPER(LEFT(SUBSTITUTE(C10168," ",""),3))&amp;"-"&amp;TEXT(B10168,"AAMMDD")&amp;"-1")</f>
        <v/>
      </c>
    </row>
    <row r="10169" spans="20:20" hidden="1">
      <c r="T10169" t="str">
        <f>IF(C10169="","",UPPER(LEFT(SUBSTITUTE(C10169," ",""),3))&amp;"-"&amp;TEXT(B10169,"AAMMDD")&amp;"-1")</f>
        <v/>
      </c>
    </row>
    <row r="10170" spans="20:20" hidden="1">
      <c r="T10170" t="str">
        <f>IF(C10170="","",UPPER(LEFT(SUBSTITUTE(C10170," ",""),3))&amp;"-"&amp;TEXT(B10170,"AAMMDD")&amp;"-1")</f>
        <v/>
      </c>
    </row>
    <row r="10171" spans="20:20" hidden="1">
      <c r="T10171" t="str">
        <f>IF(C10171="","",UPPER(LEFT(SUBSTITUTE(C10171," ",""),3))&amp;"-"&amp;TEXT(B10171,"AAMMDD")&amp;"-1")</f>
        <v/>
      </c>
    </row>
    <row r="10172" spans="20:20" hidden="1">
      <c r="T10172" t="str">
        <f>IF(C10172="","",UPPER(LEFT(SUBSTITUTE(C10172," ",""),3))&amp;"-"&amp;TEXT(B10172,"AAMMDD")&amp;"-1")</f>
        <v/>
      </c>
    </row>
    <row r="10173" spans="20:20" hidden="1">
      <c r="T10173" t="str">
        <f>IF(C10173="","",UPPER(LEFT(SUBSTITUTE(C10173," ",""),3))&amp;"-"&amp;TEXT(B10173,"AAMMDD")&amp;"-1")</f>
        <v/>
      </c>
    </row>
    <row r="10174" spans="20:20" hidden="1">
      <c r="T10174" t="str">
        <f>IF(C10174="","",UPPER(LEFT(SUBSTITUTE(C10174," ",""),3))&amp;"-"&amp;TEXT(B10174,"AAMMDD")&amp;"-1")</f>
        <v/>
      </c>
    </row>
    <row r="10175" spans="20:20" hidden="1">
      <c r="T10175" t="str">
        <f>IF(C10175="","",UPPER(LEFT(SUBSTITUTE(C10175," ",""),3))&amp;"-"&amp;TEXT(B10175,"AAMMDD")&amp;"-1")</f>
        <v/>
      </c>
    </row>
    <row r="10176" spans="20:20" hidden="1">
      <c r="T10176" t="str">
        <f>IF(C10176="","",UPPER(LEFT(SUBSTITUTE(C10176," ",""),3))&amp;"-"&amp;TEXT(B10176,"AAMMDD")&amp;"-1")</f>
        <v/>
      </c>
    </row>
    <row r="10177" spans="20:20" hidden="1">
      <c r="T10177" t="str">
        <f>IF(C10177="","",UPPER(LEFT(SUBSTITUTE(C10177," ",""),3))&amp;"-"&amp;TEXT(B10177,"AAMMDD")&amp;"-1")</f>
        <v/>
      </c>
    </row>
    <row r="10178" spans="20:20" hidden="1">
      <c r="T10178" t="str">
        <f>IF(C10178="","",UPPER(LEFT(SUBSTITUTE(C10178," ",""),3))&amp;"-"&amp;TEXT(B10178,"AAMMDD")&amp;"-1")</f>
        <v/>
      </c>
    </row>
    <row r="10179" spans="20:20" hidden="1">
      <c r="T10179" t="str">
        <f>IF(C10179="","",UPPER(LEFT(SUBSTITUTE(C10179," ",""),3))&amp;"-"&amp;TEXT(B10179,"AAMMDD")&amp;"-1")</f>
        <v/>
      </c>
    </row>
    <row r="10180" spans="20:20" hidden="1">
      <c r="T10180" t="str">
        <f>IF(C10180="","",UPPER(LEFT(SUBSTITUTE(C10180," ",""),3))&amp;"-"&amp;TEXT(B10180,"AAMMDD")&amp;"-1")</f>
        <v/>
      </c>
    </row>
    <row r="10181" spans="20:20" hidden="1">
      <c r="T10181" t="str">
        <f>IF(C10181="","",UPPER(LEFT(SUBSTITUTE(C10181," ",""),3))&amp;"-"&amp;TEXT(B10181,"AAMMDD")&amp;"-1")</f>
        <v/>
      </c>
    </row>
    <row r="10182" spans="20:20" hidden="1">
      <c r="T10182" t="str">
        <f>IF(C10182="","",UPPER(LEFT(SUBSTITUTE(C10182," ",""),3))&amp;"-"&amp;TEXT(B10182,"AAMMDD")&amp;"-1")</f>
        <v/>
      </c>
    </row>
    <row r="10183" spans="20:20" hidden="1">
      <c r="T10183" t="str">
        <f>IF(C10183="","",UPPER(LEFT(SUBSTITUTE(C10183," ",""),3))&amp;"-"&amp;TEXT(B10183,"AAMMDD")&amp;"-1")</f>
        <v/>
      </c>
    </row>
    <row r="10184" spans="20:20" hidden="1">
      <c r="T10184" t="str">
        <f>IF(C10184="","",UPPER(LEFT(SUBSTITUTE(C10184," ",""),3))&amp;"-"&amp;TEXT(B10184,"AAMMDD")&amp;"-1")</f>
        <v/>
      </c>
    </row>
    <row r="10185" spans="20:20" hidden="1">
      <c r="T10185" t="str">
        <f>IF(C10185="","",UPPER(LEFT(SUBSTITUTE(C10185," ",""),3))&amp;"-"&amp;TEXT(B10185,"AAMMDD")&amp;"-1")</f>
        <v/>
      </c>
    </row>
    <row r="10186" spans="20:20" hidden="1">
      <c r="T10186" t="str">
        <f>IF(C10186="","",UPPER(LEFT(SUBSTITUTE(C10186," ",""),3))&amp;"-"&amp;TEXT(B10186,"AAMMDD")&amp;"-1")</f>
        <v/>
      </c>
    </row>
    <row r="10187" spans="20:20" hidden="1">
      <c r="T10187" t="str">
        <f>IF(C10187="","",UPPER(LEFT(SUBSTITUTE(C10187," ",""),3))&amp;"-"&amp;TEXT(B10187,"AAMMDD")&amp;"-1")</f>
        <v/>
      </c>
    </row>
    <row r="10188" spans="20:20" hidden="1">
      <c r="T10188" t="str">
        <f>IF(C10188="","",UPPER(LEFT(SUBSTITUTE(C10188," ",""),3))&amp;"-"&amp;TEXT(B10188,"AAMMDD")&amp;"-1")</f>
        <v/>
      </c>
    </row>
    <row r="10189" spans="20:20" hidden="1">
      <c r="T10189" t="str">
        <f>IF(C10189="","",UPPER(LEFT(SUBSTITUTE(C10189," ",""),3))&amp;"-"&amp;TEXT(B10189,"AAMMDD")&amp;"-1")</f>
        <v/>
      </c>
    </row>
    <row r="10190" spans="20:20" hidden="1">
      <c r="T10190" t="str">
        <f>IF(C10190="","",UPPER(LEFT(SUBSTITUTE(C10190," ",""),3))&amp;"-"&amp;TEXT(B10190,"AAMMDD")&amp;"-1")</f>
        <v/>
      </c>
    </row>
    <row r="10191" spans="20:20" hidden="1">
      <c r="T10191" t="str">
        <f>IF(C10191="","",UPPER(LEFT(SUBSTITUTE(C10191," ",""),3))&amp;"-"&amp;TEXT(B10191,"AAMMDD")&amp;"-1")</f>
        <v/>
      </c>
    </row>
    <row r="10192" spans="20:20" hidden="1">
      <c r="T10192" t="str">
        <f>IF(C10192="","",UPPER(LEFT(SUBSTITUTE(C10192," ",""),3))&amp;"-"&amp;TEXT(B10192,"AAMMDD")&amp;"-1")</f>
        <v/>
      </c>
    </row>
    <row r="10193" spans="20:20" hidden="1">
      <c r="T10193" t="str">
        <f>IF(C10193="","",UPPER(LEFT(SUBSTITUTE(C10193," ",""),3))&amp;"-"&amp;TEXT(B10193,"AAMMDD")&amp;"-1")</f>
        <v/>
      </c>
    </row>
    <row r="10194" spans="20:20" hidden="1">
      <c r="T10194" t="str">
        <f>IF(C10194="","",UPPER(LEFT(SUBSTITUTE(C10194," ",""),3))&amp;"-"&amp;TEXT(B10194,"AAMMDD")&amp;"-1")</f>
        <v/>
      </c>
    </row>
    <row r="10195" spans="20:20" hidden="1">
      <c r="T10195" t="str">
        <f>IF(C10195="","",UPPER(LEFT(SUBSTITUTE(C10195," ",""),3))&amp;"-"&amp;TEXT(B10195,"AAMMDD")&amp;"-1")</f>
        <v/>
      </c>
    </row>
    <row r="10196" spans="20:20" hidden="1">
      <c r="T10196" t="str">
        <f>IF(C10196="","",UPPER(LEFT(SUBSTITUTE(C10196," ",""),3))&amp;"-"&amp;TEXT(B10196,"AAMMDD")&amp;"-1")</f>
        <v/>
      </c>
    </row>
    <row r="10197" spans="20:20" hidden="1">
      <c r="T10197" t="str">
        <f>IF(C10197="","",UPPER(LEFT(SUBSTITUTE(C10197," ",""),3))&amp;"-"&amp;TEXT(B10197,"AAMMDD")&amp;"-1")</f>
        <v/>
      </c>
    </row>
    <row r="10198" spans="20:20" hidden="1">
      <c r="T10198" t="str">
        <f>IF(C10198="","",UPPER(LEFT(SUBSTITUTE(C10198," ",""),3))&amp;"-"&amp;TEXT(B10198,"AAMMDD")&amp;"-1")</f>
        <v/>
      </c>
    </row>
    <row r="10199" spans="20:20" hidden="1">
      <c r="T10199" t="str">
        <f>IF(C10199="","",UPPER(LEFT(SUBSTITUTE(C10199," ",""),3))&amp;"-"&amp;TEXT(B10199,"AAMMDD")&amp;"-1")</f>
        <v/>
      </c>
    </row>
    <row r="10200" spans="20:20" hidden="1">
      <c r="T10200" t="str">
        <f>IF(C10200="","",UPPER(LEFT(SUBSTITUTE(C10200," ",""),3))&amp;"-"&amp;TEXT(B10200,"AAMMDD")&amp;"-1")</f>
        <v/>
      </c>
    </row>
    <row r="10201" spans="20:20" hidden="1">
      <c r="T10201" t="str">
        <f>IF(C10201="","",UPPER(LEFT(SUBSTITUTE(C10201," ",""),3))&amp;"-"&amp;TEXT(B10201,"AAMMDD")&amp;"-1")</f>
        <v/>
      </c>
    </row>
    <row r="10202" spans="20:20" hidden="1">
      <c r="T10202" t="str">
        <f>IF(C10202="","",UPPER(LEFT(SUBSTITUTE(C10202," ",""),3))&amp;"-"&amp;TEXT(B10202,"AAMMDD")&amp;"-1")</f>
        <v/>
      </c>
    </row>
    <row r="10203" spans="20:20" hidden="1">
      <c r="T10203" t="str">
        <f>IF(C10203="","",UPPER(LEFT(SUBSTITUTE(C10203," ",""),3))&amp;"-"&amp;TEXT(B10203,"AAMMDD")&amp;"-1")</f>
        <v/>
      </c>
    </row>
    <row r="10204" spans="20:20" hidden="1">
      <c r="T10204" t="str">
        <f>IF(C10204="","",UPPER(LEFT(SUBSTITUTE(C10204," ",""),3))&amp;"-"&amp;TEXT(B10204,"AAMMDD")&amp;"-1")</f>
        <v/>
      </c>
    </row>
    <row r="10205" spans="20:20" hidden="1">
      <c r="T10205" t="str">
        <f>IF(C10205="","",UPPER(LEFT(SUBSTITUTE(C10205," ",""),3))&amp;"-"&amp;TEXT(B10205,"AAMMDD")&amp;"-1")</f>
        <v/>
      </c>
    </row>
    <row r="10206" spans="20:20" hidden="1">
      <c r="T10206" t="str">
        <f>IF(C10206="","",UPPER(LEFT(SUBSTITUTE(C10206," ",""),3))&amp;"-"&amp;TEXT(B10206,"AAMMDD")&amp;"-1")</f>
        <v/>
      </c>
    </row>
    <row r="10207" spans="20:20" hidden="1">
      <c r="T10207" t="str">
        <f>IF(C10207="","",UPPER(LEFT(SUBSTITUTE(C10207," ",""),3))&amp;"-"&amp;TEXT(B10207,"AAMMDD")&amp;"-1")</f>
        <v/>
      </c>
    </row>
    <row r="10208" spans="20:20" hidden="1">
      <c r="T10208" t="str">
        <f>IF(C10208="","",UPPER(LEFT(SUBSTITUTE(C10208," ",""),3))&amp;"-"&amp;TEXT(B10208,"AAMMDD")&amp;"-1")</f>
        <v/>
      </c>
    </row>
    <row r="10209" spans="20:20" hidden="1">
      <c r="T10209" t="str">
        <f>IF(C10209="","",UPPER(LEFT(SUBSTITUTE(C10209," ",""),3))&amp;"-"&amp;TEXT(B10209,"AAMMDD")&amp;"-1")</f>
        <v/>
      </c>
    </row>
    <row r="10210" spans="20:20" hidden="1">
      <c r="T10210" t="str">
        <f>IF(C10210="","",UPPER(LEFT(SUBSTITUTE(C10210," ",""),3))&amp;"-"&amp;TEXT(B10210,"AAMMDD")&amp;"-1")</f>
        <v/>
      </c>
    </row>
    <row r="10211" spans="20:20" hidden="1">
      <c r="T10211" t="str">
        <f>IF(C10211="","",UPPER(LEFT(SUBSTITUTE(C10211," ",""),3))&amp;"-"&amp;TEXT(B10211,"AAMMDD")&amp;"-1")</f>
        <v/>
      </c>
    </row>
    <row r="10212" spans="20:20" hidden="1">
      <c r="T10212" t="str">
        <f>IF(C10212="","",UPPER(LEFT(SUBSTITUTE(C10212," ",""),3))&amp;"-"&amp;TEXT(B10212,"AAMMDD")&amp;"-1")</f>
        <v/>
      </c>
    </row>
    <row r="10213" spans="20:20" hidden="1">
      <c r="T10213" t="str">
        <f>IF(C10213="","",UPPER(LEFT(SUBSTITUTE(C10213," ",""),3))&amp;"-"&amp;TEXT(B10213,"AAMMDD")&amp;"-1")</f>
        <v/>
      </c>
    </row>
    <row r="10214" spans="20:20" hidden="1">
      <c r="T10214" t="str">
        <f>IF(C10214="","",UPPER(LEFT(SUBSTITUTE(C10214," ",""),3))&amp;"-"&amp;TEXT(B10214,"AAMMDD")&amp;"-1")</f>
        <v/>
      </c>
    </row>
    <row r="10215" spans="20:20" hidden="1">
      <c r="T10215" t="str">
        <f>IF(C10215="","",UPPER(LEFT(SUBSTITUTE(C10215," ",""),3))&amp;"-"&amp;TEXT(B10215,"AAMMDD")&amp;"-1")</f>
        <v/>
      </c>
    </row>
    <row r="10216" spans="20:20" hidden="1">
      <c r="T10216" t="str">
        <f>IF(C10216="","",UPPER(LEFT(SUBSTITUTE(C10216," ",""),3))&amp;"-"&amp;TEXT(B10216,"AAMMDD")&amp;"-1")</f>
        <v/>
      </c>
    </row>
    <row r="10217" spans="20:20" hidden="1">
      <c r="T10217" t="str">
        <f>IF(C10217="","",UPPER(LEFT(SUBSTITUTE(C10217," ",""),3))&amp;"-"&amp;TEXT(B10217,"AAMMDD")&amp;"-1")</f>
        <v/>
      </c>
    </row>
    <row r="10218" spans="20:20" hidden="1">
      <c r="T10218" t="str">
        <f>IF(C10218="","",UPPER(LEFT(SUBSTITUTE(C10218," ",""),3))&amp;"-"&amp;TEXT(B10218,"AAMMDD")&amp;"-1")</f>
        <v/>
      </c>
    </row>
    <row r="10219" spans="20:20" hidden="1">
      <c r="T10219" t="str">
        <f>IF(C10219="","",UPPER(LEFT(SUBSTITUTE(C10219," ",""),3))&amp;"-"&amp;TEXT(B10219,"AAMMDD")&amp;"-1")</f>
        <v/>
      </c>
    </row>
    <row r="10220" spans="20:20" hidden="1">
      <c r="T10220" t="str">
        <f>IF(C10220="","",UPPER(LEFT(SUBSTITUTE(C10220," ",""),3))&amp;"-"&amp;TEXT(B10220,"AAMMDD")&amp;"-1")</f>
        <v/>
      </c>
    </row>
    <row r="10221" spans="20:20" hidden="1">
      <c r="T10221" t="str">
        <f>IF(C10221="","",UPPER(LEFT(SUBSTITUTE(C10221," ",""),3))&amp;"-"&amp;TEXT(B10221,"AAMMDD")&amp;"-1")</f>
        <v/>
      </c>
    </row>
    <row r="10222" spans="20:20" hidden="1">
      <c r="T10222" t="str">
        <f>IF(C10222="","",UPPER(LEFT(SUBSTITUTE(C10222," ",""),3))&amp;"-"&amp;TEXT(B10222,"AAMMDD")&amp;"-1")</f>
        <v/>
      </c>
    </row>
    <row r="10223" spans="20:20" hidden="1">
      <c r="T10223" t="str">
        <f>IF(C10223="","",UPPER(LEFT(SUBSTITUTE(C10223," ",""),3))&amp;"-"&amp;TEXT(B10223,"AAMMDD")&amp;"-1")</f>
        <v/>
      </c>
    </row>
    <row r="10224" spans="20:20" hidden="1">
      <c r="T10224" t="str">
        <f>IF(C10224="","",UPPER(LEFT(SUBSTITUTE(C10224," ",""),3))&amp;"-"&amp;TEXT(B10224,"AAMMDD")&amp;"-1")</f>
        <v/>
      </c>
    </row>
    <row r="10225" spans="20:20" hidden="1">
      <c r="T10225" t="str">
        <f>IF(C10225="","",UPPER(LEFT(SUBSTITUTE(C10225," ",""),3))&amp;"-"&amp;TEXT(B10225,"AAMMDD")&amp;"-1")</f>
        <v/>
      </c>
    </row>
    <row r="10226" spans="20:20" hidden="1">
      <c r="T10226" t="str">
        <f>IF(C10226="","",UPPER(LEFT(SUBSTITUTE(C10226," ",""),3))&amp;"-"&amp;TEXT(B10226,"AAMMDD")&amp;"-1")</f>
        <v/>
      </c>
    </row>
    <row r="10227" spans="20:20" hidden="1">
      <c r="T10227" t="str">
        <f>IF(C10227="","",UPPER(LEFT(SUBSTITUTE(C10227," ",""),3))&amp;"-"&amp;TEXT(B10227,"AAMMDD")&amp;"-1")</f>
        <v/>
      </c>
    </row>
    <row r="10228" spans="20:20" hidden="1">
      <c r="T10228" t="str">
        <f>IF(C10228="","",UPPER(LEFT(SUBSTITUTE(C10228," ",""),3))&amp;"-"&amp;TEXT(B10228,"AAMMDD")&amp;"-1")</f>
        <v/>
      </c>
    </row>
    <row r="10229" spans="20:20" hidden="1">
      <c r="T10229" t="str">
        <f>IF(C10229="","",UPPER(LEFT(SUBSTITUTE(C10229," ",""),3))&amp;"-"&amp;TEXT(B10229,"AAMMDD")&amp;"-1")</f>
        <v/>
      </c>
    </row>
    <row r="10230" spans="20:20" hidden="1">
      <c r="T10230" t="str">
        <f>IF(C10230="","",UPPER(LEFT(SUBSTITUTE(C10230," ",""),3))&amp;"-"&amp;TEXT(B10230,"AAMMDD")&amp;"-1")</f>
        <v/>
      </c>
    </row>
    <row r="10231" spans="20:20" hidden="1">
      <c r="T10231" t="str">
        <f>IF(C10231="","",UPPER(LEFT(SUBSTITUTE(C10231," ",""),3))&amp;"-"&amp;TEXT(B10231,"AAMMDD")&amp;"-1")</f>
        <v/>
      </c>
    </row>
    <row r="10232" spans="20:20" hidden="1">
      <c r="T10232" t="str">
        <f>IF(C10232="","",UPPER(LEFT(SUBSTITUTE(C10232," ",""),3))&amp;"-"&amp;TEXT(B10232,"AAMMDD")&amp;"-1")</f>
        <v/>
      </c>
    </row>
    <row r="10233" spans="20:20" hidden="1">
      <c r="T10233" t="str">
        <f>IF(C10233="","",UPPER(LEFT(SUBSTITUTE(C10233," ",""),3))&amp;"-"&amp;TEXT(B10233,"AAMMDD")&amp;"-1")</f>
        <v/>
      </c>
    </row>
    <row r="10234" spans="20:20" hidden="1">
      <c r="T10234" t="str">
        <f>IF(C10234="","",UPPER(LEFT(SUBSTITUTE(C10234," ",""),3))&amp;"-"&amp;TEXT(B10234,"AAMMDD")&amp;"-1")</f>
        <v/>
      </c>
    </row>
    <row r="10235" spans="20:20" hidden="1">
      <c r="T10235" t="str">
        <f>IF(C10235="","",UPPER(LEFT(SUBSTITUTE(C10235," ",""),3))&amp;"-"&amp;TEXT(B10235,"AAMMDD")&amp;"-1")</f>
        <v/>
      </c>
    </row>
    <row r="10236" spans="20:20" hidden="1">
      <c r="T10236" t="str">
        <f>IF(C10236="","",UPPER(LEFT(SUBSTITUTE(C10236," ",""),3))&amp;"-"&amp;TEXT(B10236,"AAMMDD")&amp;"-1")</f>
        <v/>
      </c>
    </row>
    <row r="10237" spans="20:20" hidden="1">
      <c r="T10237" t="str">
        <f>IF(C10237="","",UPPER(LEFT(SUBSTITUTE(C10237," ",""),3))&amp;"-"&amp;TEXT(B10237,"AAMMDD")&amp;"-1")</f>
        <v/>
      </c>
    </row>
    <row r="10238" spans="20:20" hidden="1">
      <c r="T10238" t="str">
        <f>IF(C10238="","",UPPER(LEFT(SUBSTITUTE(C10238," ",""),3))&amp;"-"&amp;TEXT(B10238,"AAMMDD")&amp;"-1")</f>
        <v/>
      </c>
    </row>
    <row r="10239" spans="20:20" hidden="1">
      <c r="T10239" t="str">
        <f>IF(C10239="","",UPPER(LEFT(SUBSTITUTE(C10239," ",""),3))&amp;"-"&amp;TEXT(B10239,"AAMMDD")&amp;"-1")</f>
        <v/>
      </c>
    </row>
    <row r="10240" spans="20:20" hidden="1">
      <c r="T10240" t="str">
        <f>IF(C10240="","",UPPER(LEFT(SUBSTITUTE(C10240," ",""),3))&amp;"-"&amp;TEXT(B10240,"AAMMDD")&amp;"-1")</f>
        <v/>
      </c>
    </row>
    <row r="10241" spans="20:20" hidden="1">
      <c r="T10241" t="str">
        <f>IF(C10241="","",UPPER(LEFT(SUBSTITUTE(C10241," ",""),3))&amp;"-"&amp;TEXT(B10241,"AAMMDD")&amp;"-1")</f>
        <v/>
      </c>
    </row>
    <row r="10242" spans="20:20" hidden="1">
      <c r="T10242" t="str">
        <f>IF(C10242="","",UPPER(LEFT(SUBSTITUTE(C10242," ",""),3))&amp;"-"&amp;TEXT(B10242,"AAMMDD")&amp;"-1")</f>
        <v/>
      </c>
    </row>
    <row r="10243" spans="20:20" hidden="1">
      <c r="T10243" t="str">
        <f>IF(C10243="","",UPPER(LEFT(SUBSTITUTE(C10243," ",""),3))&amp;"-"&amp;TEXT(B10243,"AAMMDD")&amp;"-1")</f>
        <v/>
      </c>
    </row>
    <row r="10244" spans="20:20" hidden="1">
      <c r="T10244" t="str">
        <f>IF(C10244="","",UPPER(LEFT(SUBSTITUTE(C10244," ",""),3))&amp;"-"&amp;TEXT(B10244,"AAMMDD")&amp;"-1")</f>
        <v/>
      </c>
    </row>
    <row r="10245" spans="20:20" hidden="1">
      <c r="T10245" t="str">
        <f>IF(C10245="","",UPPER(LEFT(SUBSTITUTE(C10245," ",""),3))&amp;"-"&amp;TEXT(B10245,"AAMMDD")&amp;"-1")</f>
        <v/>
      </c>
    </row>
    <row r="10246" spans="20:20" hidden="1">
      <c r="T10246" t="str">
        <f>IF(C10246="","",UPPER(LEFT(SUBSTITUTE(C10246," ",""),3))&amp;"-"&amp;TEXT(B10246,"AAMMDD")&amp;"-1")</f>
        <v/>
      </c>
    </row>
    <row r="10247" spans="20:20" hidden="1">
      <c r="T10247" t="str">
        <f>IF(C10247="","",UPPER(LEFT(SUBSTITUTE(C10247," ",""),3))&amp;"-"&amp;TEXT(B10247,"AAMMDD")&amp;"-1")</f>
        <v/>
      </c>
    </row>
    <row r="10248" spans="20:20" hidden="1">
      <c r="T10248" t="str">
        <f>IF(C10248="","",UPPER(LEFT(SUBSTITUTE(C10248," ",""),3))&amp;"-"&amp;TEXT(B10248,"AAMMDD")&amp;"-1")</f>
        <v/>
      </c>
    </row>
    <row r="10249" spans="20:20" hidden="1">
      <c r="T10249" t="str">
        <f>IF(C10249="","",UPPER(LEFT(SUBSTITUTE(C10249," ",""),3))&amp;"-"&amp;TEXT(B10249,"AAMMDD")&amp;"-1")</f>
        <v/>
      </c>
    </row>
    <row r="10250" spans="20:20" hidden="1">
      <c r="T10250" t="str">
        <f>IF(C10250="","",UPPER(LEFT(SUBSTITUTE(C10250," ",""),3))&amp;"-"&amp;TEXT(B10250,"AAMMDD")&amp;"-1")</f>
        <v/>
      </c>
    </row>
    <row r="10251" spans="20:20" hidden="1">
      <c r="T10251" t="str">
        <f>IF(C10251="","",UPPER(LEFT(SUBSTITUTE(C10251," ",""),3))&amp;"-"&amp;TEXT(B10251,"AAMMDD")&amp;"-1")</f>
        <v/>
      </c>
    </row>
    <row r="10252" spans="20:20" hidden="1">
      <c r="T10252" t="str">
        <f>IF(C10252="","",UPPER(LEFT(SUBSTITUTE(C10252," ",""),3))&amp;"-"&amp;TEXT(B10252,"AAMMDD")&amp;"-1")</f>
        <v/>
      </c>
    </row>
    <row r="10253" spans="20:20" hidden="1">
      <c r="T10253" t="str">
        <f>IF(C10253="","",UPPER(LEFT(SUBSTITUTE(C10253," ",""),3))&amp;"-"&amp;TEXT(B10253,"AAMMDD")&amp;"-1")</f>
        <v/>
      </c>
    </row>
    <row r="10254" spans="20:20" hidden="1">
      <c r="T10254" t="str">
        <f>IF(C10254="","",UPPER(LEFT(SUBSTITUTE(C10254," ",""),3))&amp;"-"&amp;TEXT(B10254,"AAMMDD")&amp;"-1")</f>
        <v/>
      </c>
    </row>
    <row r="10255" spans="20:20" hidden="1">
      <c r="T10255" t="str">
        <f>IF(C10255="","",UPPER(LEFT(SUBSTITUTE(C10255," ",""),3))&amp;"-"&amp;TEXT(B10255,"AAMMDD")&amp;"-1")</f>
        <v/>
      </c>
    </row>
    <row r="10256" spans="20:20" hidden="1">
      <c r="T10256" t="str">
        <f>IF(C10256="","",UPPER(LEFT(SUBSTITUTE(C10256," ",""),3))&amp;"-"&amp;TEXT(B10256,"AAMMDD")&amp;"-1")</f>
        <v/>
      </c>
    </row>
    <row r="10257" spans="20:20" hidden="1">
      <c r="T10257" t="str">
        <f>IF(C10257="","",UPPER(LEFT(SUBSTITUTE(C10257," ",""),3))&amp;"-"&amp;TEXT(B10257,"AAMMDD")&amp;"-1")</f>
        <v/>
      </c>
    </row>
    <row r="10258" spans="20:20" hidden="1">
      <c r="T10258" t="str">
        <f>IF(C10258="","",UPPER(LEFT(SUBSTITUTE(C10258," ",""),3))&amp;"-"&amp;TEXT(B10258,"AAMMDD")&amp;"-1")</f>
        <v/>
      </c>
    </row>
    <row r="10259" spans="20:20" hidden="1">
      <c r="T10259" t="str">
        <f>IF(C10259="","",UPPER(LEFT(SUBSTITUTE(C10259," ",""),3))&amp;"-"&amp;TEXT(B10259,"AAMMDD")&amp;"-1")</f>
        <v/>
      </c>
    </row>
    <row r="10260" spans="20:20" hidden="1">
      <c r="T10260" t="str">
        <f>IF(C10260="","",UPPER(LEFT(SUBSTITUTE(C10260," ",""),3))&amp;"-"&amp;TEXT(B10260,"AAMMDD")&amp;"-1")</f>
        <v/>
      </c>
    </row>
    <row r="10261" spans="20:20" hidden="1">
      <c r="T10261" t="str">
        <f>IF(C10261="","",UPPER(LEFT(SUBSTITUTE(C10261," ",""),3))&amp;"-"&amp;TEXT(B10261,"AAMMDD")&amp;"-1")</f>
        <v/>
      </c>
    </row>
    <row r="10262" spans="20:20" hidden="1">
      <c r="T10262" t="str">
        <f>IF(C10262="","",UPPER(LEFT(SUBSTITUTE(C10262," ",""),3))&amp;"-"&amp;TEXT(B10262,"AAMMDD")&amp;"-1")</f>
        <v/>
      </c>
    </row>
    <row r="10263" spans="20:20" hidden="1">
      <c r="T10263" t="str">
        <f>IF(C10263="","",UPPER(LEFT(SUBSTITUTE(C10263," ",""),3))&amp;"-"&amp;TEXT(B10263,"AAMMDD")&amp;"-1")</f>
        <v/>
      </c>
    </row>
    <row r="10264" spans="20:20" hidden="1">
      <c r="T10264" t="str">
        <f>IF(C10264="","",UPPER(LEFT(SUBSTITUTE(C10264," ",""),3))&amp;"-"&amp;TEXT(B10264,"AAMMDD")&amp;"-1")</f>
        <v/>
      </c>
    </row>
    <row r="10265" spans="20:20" hidden="1">
      <c r="T10265" t="str">
        <f>IF(C10265="","",UPPER(LEFT(SUBSTITUTE(C10265," ",""),3))&amp;"-"&amp;TEXT(B10265,"AAMMDD")&amp;"-1")</f>
        <v/>
      </c>
    </row>
    <row r="10266" spans="20:20" hidden="1">
      <c r="T10266" t="str">
        <f>IF(C10266="","",UPPER(LEFT(SUBSTITUTE(C10266," ",""),3))&amp;"-"&amp;TEXT(B10266,"AAMMDD")&amp;"-1")</f>
        <v/>
      </c>
    </row>
    <row r="10267" spans="20:20" hidden="1">
      <c r="T10267" t="str">
        <f>IF(C10267="","",UPPER(LEFT(SUBSTITUTE(C10267," ",""),3))&amp;"-"&amp;TEXT(B10267,"AAMMDD")&amp;"-1")</f>
        <v/>
      </c>
    </row>
    <row r="10268" spans="20:20" hidden="1">
      <c r="T10268" t="str">
        <f>IF(C10268="","",UPPER(LEFT(SUBSTITUTE(C10268," ",""),3))&amp;"-"&amp;TEXT(B10268,"AAMMDD")&amp;"-1")</f>
        <v/>
      </c>
    </row>
    <row r="10269" spans="20:20" hidden="1">
      <c r="T10269" t="str">
        <f>IF(C10269="","",UPPER(LEFT(SUBSTITUTE(C10269," ",""),3))&amp;"-"&amp;TEXT(B10269,"AAMMDD")&amp;"-1")</f>
        <v/>
      </c>
    </row>
    <row r="10270" spans="20:20" hidden="1">
      <c r="T10270" t="str">
        <f>IF(C10270="","",UPPER(LEFT(SUBSTITUTE(C10270," ",""),3))&amp;"-"&amp;TEXT(B10270,"AAMMDD")&amp;"-1")</f>
        <v/>
      </c>
    </row>
    <row r="10271" spans="20:20" hidden="1">
      <c r="T10271" t="str">
        <f>IF(C10271="","",UPPER(LEFT(SUBSTITUTE(C10271," ",""),3))&amp;"-"&amp;TEXT(B10271,"AAMMDD")&amp;"-1")</f>
        <v/>
      </c>
    </row>
    <row r="10272" spans="20:20" hidden="1">
      <c r="T10272" t="str">
        <f>IF(C10272="","",UPPER(LEFT(SUBSTITUTE(C10272," ",""),3))&amp;"-"&amp;TEXT(B10272,"AAMMDD")&amp;"-1")</f>
        <v/>
      </c>
    </row>
    <row r="10273" spans="20:20" hidden="1">
      <c r="T10273" t="str">
        <f>IF(C10273="","",UPPER(LEFT(SUBSTITUTE(C10273," ",""),3))&amp;"-"&amp;TEXT(B10273,"AAMMDD")&amp;"-1")</f>
        <v/>
      </c>
    </row>
    <row r="10274" spans="20:20" hidden="1">
      <c r="T10274" t="str">
        <f>IF(C10274="","",UPPER(LEFT(SUBSTITUTE(C10274," ",""),3))&amp;"-"&amp;TEXT(B10274,"AAMMDD")&amp;"-1")</f>
        <v/>
      </c>
    </row>
    <row r="10275" spans="20:20" hidden="1">
      <c r="T10275" t="str">
        <f>IF(C10275="","",UPPER(LEFT(SUBSTITUTE(C10275," ",""),3))&amp;"-"&amp;TEXT(B10275,"AAMMDD")&amp;"-1")</f>
        <v/>
      </c>
    </row>
    <row r="10276" spans="20:20" hidden="1">
      <c r="T10276" t="str">
        <f>IF(C10276="","",UPPER(LEFT(SUBSTITUTE(C10276," ",""),3))&amp;"-"&amp;TEXT(B10276,"AAMMDD")&amp;"-1")</f>
        <v/>
      </c>
    </row>
    <row r="10277" spans="20:20" hidden="1">
      <c r="T10277" t="str">
        <f>IF(C10277="","",UPPER(LEFT(SUBSTITUTE(C10277," ",""),3))&amp;"-"&amp;TEXT(B10277,"AAMMDD")&amp;"-1")</f>
        <v/>
      </c>
    </row>
    <row r="10278" spans="20:20" hidden="1">
      <c r="T10278" t="str">
        <f>IF(C10278="","",UPPER(LEFT(SUBSTITUTE(C10278," ",""),3))&amp;"-"&amp;TEXT(B10278,"AAMMDD")&amp;"-1")</f>
        <v/>
      </c>
    </row>
    <row r="10279" spans="20:20" hidden="1">
      <c r="T10279" t="str">
        <f>IF(C10279="","",UPPER(LEFT(SUBSTITUTE(C10279," ",""),3))&amp;"-"&amp;TEXT(B10279,"AAMMDD")&amp;"-1")</f>
        <v/>
      </c>
    </row>
    <row r="10280" spans="20:20" hidden="1">
      <c r="T10280" t="str">
        <f>IF(C10280="","",UPPER(LEFT(SUBSTITUTE(C10280," ",""),3))&amp;"-"&amp;TEXT(B10280,"AAMMDD")&amp;"-1")</f>
        <v/>
      </c>
    </row>
    <row r="10281" spans="20:20" hidden="1">
      <c r="T10281" t="str">
        <f>IF(C10281="","",UPPER(LEFT(SUBSTITUTE(C10281," ",""),3))&amp;"-"&amp;TEXT(B10281,"AAMMDD")&amp;"-1")</f>
        <v/>
      </c>
    </row>
    <row r="10282" spans="20:20" hidden="1">
      <c r="T10282" t="str">
        <f>IF(C10282="","",UPPER(LEFT(SUBSTITUTE(C10282," ",""),3))&amp;"-"&amp;TEXT(B10282,"AAMMDD")&amp;"-1")</f>
        <v/>
      </c>
    </row>
    <row r="10283" spans="20:20" hidden="1">
      <c r="T10283" t="str">
        <f>IF(C10283="","",UPPER(LEFT(SUBSTITUTE(C10283," ",""),3))&amp;"-"&amp;TEXT(B10283,"AAMMDD")&amp;"-1")</f>
        <v/>
      </c>
    </row>
    <row r="10284" spans="20:20" hidden="1">
      <c r="T10284" t="str">
        <f>IF(C10284="","",UPPER(LEFT(SUBSTITUTE(C10284," ",""),3))&amp;"-"&amp;TEXT(B10284,"AAMMDD")&amp;"-1")</f>
        <v/>
      </c>
    </row>
    <row r="10285" spans="20:20" hidden="1">
      <c r="T10285" t="str">
        <f>IF(C10285="","",UPPER(LEFT(SUBSTITUTE(C10285," ",""),3))&amp;"-"&amp;TEXT(B10285,"AAMMDD")&amp;"-1")</f>
        <v/>
      </c>
    </row>
    <row r="10286" spans="20:20" hidden="1">
      <c r="T10286" t="str">
        <f>IF(C10286="","",UPPER(LEFT(SUBSTITUTE(C10286," ",""),3))&amp;"-"&amp;TEXT(B10286,"AAMMDD")&amp;"-1")</f>
        <v/>
      </c>
    </row>
    <row r="10287" spans="20:20" hidden="1">
      <c r="T10287" t="str">
        <f>IF(C10287="","",UPPER(LEFT(SUBSTITUTE(C10287," ",""),3))&amp;"-"&amp;TEXT(B10287,"AAMMDD")&amp;"-1")</f>
        <v/>
      </c>
    </row>
    <row r="10288" spans="20:20" hidden="1">
      <c r="T10288" t="str">
        <f>IF(C10288="","",UPPER(LEFT(SUBSTITUTE(C10288," ",""),3))&amp;"-"&amp;TEXT(B10288,"AAMMDD")&amp;"-1")</f>
        <v/>
      </c>
    </row>
    <row r="10289" spans="20:20" hidden="1">
      <c r="T10289" t="str">
        <f>IF(C10289="","",UPPER(LEFT(SUBSTITUTE(C10289," ",""),3))&amp;"-"&amp;TEXT(B10289,"AAMMDD")&amp;"-1")</f>
        <v/>
      </c>
    </row>
    <row r="10290" spans="20:20" hidden="1">
      <c r="T10290" t="str">
        <f>IF(C10290="","",UPPER(LEFT(SUBSTITUTE(C10290," ",""),3))&amp;"-"&amp;TEXT(B10290,"AAMMDD")&amp;"-1")</f>
        <v/>
      </c>
    </row>
    <row r="10291" spans="20:20" hidden="1">
      <c r="T10291" t="str">
        <f>IF(C10291="","",UPPER(LEFT(SUBSTITUTE(C10291," ",""),3))&amp;"-"&amp;TEXT(B10291,"AAMMDD")&amp;"-1")</f>
        <v/>
      </c>
    </row>
    <row r="10292" spans="20:20" hidden="1">
      <c r="T10292" t="str">
        <f>IF(C10292="","",UPPER(LEFT(SUBSTITUTE(C10292," ",""),3))&amp;"-"&amp;TEXT(B10292,"AAMMDD")&amp;"-1")</f>
        <v/>
      </c>
    </row>
    <row r="10293" spans="20:20" hidden="1">
      <c r="T10293" t="str">
        <f>IF(C10293="","",UPPER(LEFT(SUBSTITUTE(C10293," ",""),3))&amp;"-"&amp;TEXT(B10293,"AAMMDD")&amp;"-1")</f>
        <v/>
      </c>
    </row>
    <row r="10294" spans="20:20" hidden="1">
      <c r="T10294" t="str">
        <f>IF(C10294="","",UPPER(LEFT(SUBSTITUTE(C10294," ",""),3))&amp;"-"&amp;TEXT(B10294,"AAMMDD")&amp;"-1")</f>
        <v/>
      </c>
    </row>
    <row r="10295" spans="20:20" hidden="1">
      <c r="T10295" t="str">
        <f>IF(C10295="","",UPPER(LEFT(SUBSTITUTE(C10295," ",""),3))&amp;"-"&amp;TEXT(B10295,"AAMMDD")&amp;"-1")</f>
        <v/>
      </c>
    </row>
    <row r="10296" spans="20:20" hidden="1">
      <c r="T10296" t="str">
        <f>IF(C10296="","",UPPER(LEFT(SUBSTITUTE(C10296," ",""),3))&amp;"-"&amp;TEXT(B10296,"AAMMDD")&amp;"-1")</f>
        <v/>
      </c>
    </row>
    <row r="10297" spans="20:20" hidden="1">
      <c r="T10297" t="str">
        <f>IF(C10297="","",UPPER(LEFT(SUBSTITUTE(C10297," ",""),3))&amp;"-"&amp;TEXT(B10297,"AAMMDD")&amp;"-1")</f>
        <v/>
      </c>
    </row>
    <row r="10298" spans="20:20" hidden="1">
      <c r="T10298" t="str">
        <f>IF(C10298="","",UPPER(LEFT(SUBSTITUTE(C10298," ",""),3))&amp;"-"&amp;TEXT(B10298,"AAMMDD")&amp;"-1")</f>
        <v/>
      </c>
    </row>
    <row r="10299" spans="20:20" hidden="1">
      <c r="T10299" t="str">
        <f>IF(C10299="","",UPPER(LEFT(SUBSTITUTE(C10299," ",""),3))&amp;"-"&amp;TEXT(B10299,"AAMMDD")&amp;"-1")</f>
        <v/>
      </c>
    </row>
    <row r="10300" spans="20:20" hidden="1">
      <c r="T10300" t="str">
        <f>IF(C10300="","",UPPER(LEFT(SUBSTITUTE(C10300," ",""),3))&amp;"-"&amp;TEXT(B10300,"AAMMDD")&amp;"-1")</f>
        <v/>
      </c>
    </row>
    <row r="10301" spans="20:20" hidden="1">
      <c r="T10301" t="str">
        <f>IF(C10301="","",UPPER(LEFT(SUBSTITUTE(C10301," ",""),3))&amp;"-"&amp;TEXT(B10301,"AAMMDD")&amp;"-1")</f>
        <v/>
      </c>
    </row>
    <row r="10302" spans="20:20" hidden="1">
      <c r="T10302" t="str">
        <f>IF(C10302="","",UPPER(LEFT(SUBSTITUTE(C10302," ",""),3))&amp;"-"&amp;TEXT(B10302,"AAMMDD")&amp;"-1")</f>
        <v/>
      </c>
    </row>
    <row r="10303" spans="20:20" hidden="1">
      <c r="T10303" t="str">
        <f>IF(C10303="","",UPPER(LEFT(SUBSTITUTE(C10303," ",""),3))&amp;"-"&amp;TEXT(B10303,"AAMMDD")&amp;"-1")</f>
        <v/>
      </c>
    </row>
    <row r="10304" spans="20:20" hidden="1">
      <c r="T10304" t="str">
        <f>IF(C10304="","",UPPER(LEFT(SUBSTITUTE(C10304," ",""),3))&amp;"-"&amp;TEXT(B10304,"AAMMDD")&amp;"-1")</f>
        <v/>
      </c>
    </row>
    <row r="10305" spans="20:20" hidden="1">
      <c r="T10305" t="str">
        <f>IF(C10305="","",UPPER(LEFT(SUBSTITUTE(C10305," ",""),3))&amp;"-"&amp;TEXT(B10305,"AAMMDD")&amp;"-1")</f>
        <v/>
      </c>
    </row>
    <row r="10306" spans="20:20" hidden="1">
      <c r="T10306" t="str">
        <f>IF(C10306="","",UPPER(LEFT(SUBSTITUTE(C10306," ",""),3))&amp;"-"&amp;TEXT(B10306,"AAMMDD")&amp;"-1")</f>
        <v/>
      </c>
    </row>
    <row r="10307" spans="20:20" hidden="1">
      <c r="T10307" t="str">
        <f>IF(C10307="","",UPPER(LEFT(SUBSTITUTE(C10307," ",""),3))&amp;"-"&amp;TEXT(B10307,"AAMMDD")&amp;"-1")</f>
        <v/>
      </c>
    </row>
    <row r="10308" spans="20:20" hidden="1">
      <c r="T10308" t="str">
        <f>IF(C10308="","",UPPER(LEFT(SUBSTITUTE(C10308," ",""),3))&amp;"-"&amp;TEXT(B10308,"AAMMDD")&amp;"-1")</f>
        <v/>
      </c>
    </row>
    <row r="10309" spans="20:20" hidden="1">
      <c r="T10309" t="str">
        <f>IF(C10309="","",UPPER(LEFT(SUBSTITUTE(C10309," ",""),3))&amp;"-"&amp;TEXT(B10309,"AAMMDD")&amp;"-1")</f>
        <v/>
      </c>
    </row>
    <row r="10310" spans="20:20" hidden="1">
      <c r="T10310" t="str">
        <f>IF(C10310="","",UPPER(LEFT(SUBSTITUTE(C10310," ",""),3))&amp;"-"&amp;TEXT(B10310,"AAMMDD")&amp;"-1")</f>
        <v/>
      </c>
    </row>
    <row r="10311" spans="20:20" hidden="1">
      <c r="T10311" t="str">
        <f>IF(C10311="","",UPPER(LEFT(SUBSTITUTE(C10311," ",""),3))&amp;"-"&amp;TEXT(B10311,"AAMMDD")&amp;"-1")</f>
        <v/>
      </c>
    </row>
    <row r="10312" spans="20:20" hidden="1">
      <c r="T10312" t="str">
        <f>IF(C10312="","",UPPER(LEFT(SUBSTITUTE(C10312," ",""),3))&amp;"-"&amp;TEXT(B10312,"AAMMDD")&amp;"-1")</f>
        <v/>
      </c>
    </row>
    <row r="10313" spans="20:20" hidden="1">
      <c r="T10313" t="str">
        <f>IF(C10313="","",UPPER(LEFT(SUBSTITUTE(C10313," ",""),3))&amp;"-"&amp;TEXT(B10313,"AAMMDD")&amp;"-1")</f>
        <v/>
      </c>
    </row>
    <row r="10314" spans="20:20" hidden="1">
      <c r="T10314" t="str">
        <f>IF(C10314="","",UPPER(LEFT(SUBSTITUTE(C10314," ",""),3))&amp;"-"&amp;TEXT(B10314,"AAMMDD")&amp;"-1")</f>
        <v/>
      </c>
    </row>
    <row r="10315" spans="20:20" hidden="1">
      <c r="T10315" t="str">
        <f>IF(C10315="","",UPPER(LEFT(SUBSTITUTE(C10315," ",""),3))&amp;"-"&amp;TEXT(B10315,"AAMMDD")&amp;"-1")</f>
        <v/>
      </c>
    </row>
    <row r="10316" spans="20:20" hidden="1">
      <c r="T10316" t="str">
        <f>IF(C10316="","",UPPER(LEFT(SUBSTITUTE(C10316," ",""),3))&amp;"-"&amp;TEXT(B10316,"AAMMDD")&amp;"-1")</f>
        <v/>
      </c>
    </row>
    <row r="10317" spans="20:20" hidden="1">
      <c r="T10317" t="str">
        <f>IF(C10317="","",UPPER(LEFT(SUBSTITUTE(C10317," ",""),3))&amp;"-"&amp;TEXT(B10317,"AAMMDD")&amp;"-1")</f>
        <v/>
      </c>
    </row>
    <row r="10318" spans="20:20" hidden="1">
      <c r="T10318" t="str">
        <f>IF(C10318="","",UPPER(LEFT(SUBSTITUTE(C10318," ",""),3))&amp;"-"&amp;TEXT(B10318,"AAMMDD")&amp;"-1")</f>
        <v/>
      </c>
    </row>
    <row r="10319" spans="20:20" hidden="1">
      <c r="T10319" t="str">
        <f>IF(C10319="","",UPPER(LEFT(SUBSTITUTE(C10319," ",""),3))&amp;"-"&amp;TEXT(B10319,"AAMMDD")&amp;"-1")</f>
        <v/>
      </c>
    </row>
    <row r="10320" spans="20:20" hidden="1">
      <c r="T10320" t="str">
        <f>IF(C10320="","",UPPER(LEFT(SUBSTITUTE(C10320," ",""),3))&amp;"-"&amp;TEXT(B10320,"AAMMDD")&amp;"-1")</f>
        <v/>
      </c>
    </row>
    <row r="10321" spans="20:20" hidden="1">
      <c r="T10321" t="str">
        <f>IF(C10321="","",UPPER(LEFT(SUBSTITUTE(C10321," ",""),3))&amp;"-"&amp;TEXT(B10321,"AAMMDD")&amp;"-1")</f>
        <v/>
      </c>
    </row>
    <row r="10322" spans="20:20" hidden="1">
      <c r="T10322" t="str">
        <f>IF(C10322="","",UPPER(LEFT(SUBSTITUTE(C10322," ",""),3))&amp;"-"&amp;TEXT(B10322,"AAMMDD")&amp;"-1")</f>
        <v/>
      </c>
    </row>
    <row r="10323" spans="20:20" hidden="1">
      <c r="T10323" t="str">
        <f>IF(C10323="","",UPPER(LEFT(SUBSTITUTE(C10323," ",""),3))&amp;"-"&amp;TEXT(B10323,"AAMMDD")&amp;"-1")</f>
        <v/>
      </c>
    </row>
    <row r="10324" spans="20:20" hidden="1">
      <c r="T10324" t="str">
        <f>IF(C10324="","",UPPER(LEFT(SUBSTITUTE(C10324," ",""),3))&amp;"-"&amp;TEXT(B10324,"AAMMDD")&amp;"-1")</f>
        <v/>
      </c>
    </row>
    <row r="10325" spans="20:20" hidden="1">
      <c r="T10325" t="str">
        <f>IF(C10325="","",UPPER(LEFT(SUBSTITUTE(C10325," ",""),3))&amp;"-"&amp;TEXT(B10325,"AAMMDD")&amp;"-1")</f>
        <v/>
      </c>
    </row>
    <row r="10326" spans="20:20" hidden="1">
      <c r="T10326" t="str">
        <f>IF(C10326="","",UPPER(LEFT(SUBSTITUTE(C10326," ",""),3))&amp;"-"&amp;TEXT(B10326,"AAMMDD")&amp;"-1")</f>
        <v/>
      </c>
    </row>
    <row r="10327" spans="20:20" hidden="1">
      <c r="T10327" t="str">
        <f>IF(C10327="","",UPPER(LEFT(SUBSTITUTE(C10327," ",""),3))&amp;"-"&amp;TEXT(B10327,"AAMMDD")&amp;"-1")</f>
        <v/>
      </c>
    </row>
    <row r="10328" spans="20:20" hidden="1">
      <c r="T10328" t="str">
        <f>IF(C10328="","",UPPER(LEFT(SUBSTITUTE(C10328," ",""),3))&amp;"-"&amp;TEXT(B10328,"AAMMDD")&amp;"-1")</f>
        <v/>
      </c>
    </row>
    <row r="10329" spans="20:20" hidden="1">
      <c r="T10329" t="str">
        <f>IF(C10329="","",UPPER(LEFT(SUBSTITUTE(C10329," ",""),3))&amp;"-"&amp;TEXT(B10329,"AAMMDD")&amp;"-1")</f>
        <v/>
      </c>
    </row>
    <row r="10330" spans="20:20" hidden="1">
      <c r="T10330" t="str">
        <f>IF(C10330="","",UPPER(LEFT(SUBSTITUTE(C10330," ",""),3))&amp;"-"&amp;TEXT(B10330,"AAMMDD")&amp;"-1")</f>
        <v/>
      </c>
    </row>
    <row r="10331" spans="20:20" hidden="1">
      <c r="T10331" t="str">
        <f>IF(C10331="","",UPPER(LEFT(SUBSTITUTE(C10331," ",""),3))&amp;"-"&amp;TEXT(B10331,"AAMMDD")&amp;"-1")</f>
        <v/>
      </c>
    </row>
    <row r="10332" spans="20:20" hidden="1">
      <c r="T10332" t="str">
        <f>IF(C10332="","",UPPER(LEFT(SUBSTITUTE(C10332," ",""),3))&amp;"-"&amp;TEXT(B10332,"AAMMDD")&amp;"-1")</f>
        <v/>
      </c>
    </row>
    <row r="10333" spans="20:20" hidden="1">
      <c r="T10333" t="str">
        <f>IF(C10333="","",UPPER(LEFT(SUBSTITUTE(C10333," ",""),3))&amp;"-"&amp;TEXT(B10333,"AAMMDD")&amp;"-1")</f>
        <v/>
      </c>
    </row>
    <row r="10334" spans="20:20" hidden="1">
      <c r="T10334" t="str">
        <f>IF(C10334="","",UPPER(LEFT(SUBSTITUTE(C10334," ",""),3))&amp;"-"&amp;TEXT(B10334,"AAMMDD")&amp;"-1")</f>
        <v/>
      </c>
    </row>
    <row r="10335" spans="20:20" hidden="1">
      <c r="T10335" t="str">
        <f>IF(C10335="","",UPPER(LEFT(SUBSTITUTE(C10335," ",""),3))&amp;"-"&amp;TEXT(B10335,"AAMMDD")&amp;"-1")</f>
        <v/>
      </c>
    </row>
    <row r="10336" spans="20:20" hidden="1">
      <c r="T10336" t="str">
        <f>IF(C10336="","",UPPER(LEFT(SUBSTITUTE(C10336," ",""),3))&amp;"-"&amp;TEXT(B10336,"AAMMDD")&amp;"-1")</f>
        <v/>
      </c>
    </row>
    <row r="10337" spans="20:20" hidden="1">
      <c r="T10337" t="str">
        <f>IF(C10337="","",UPPER(LEFT(SUBSTITUTE(C10337," ",""),3))&amp;"-"&amp;TEXT(B10337,"AAMMDD")&amp;"-1")</f>
        <v/>
      </c>
    </row>
    <row r="10338" spans="20:20" hidden="1">
      <c r="T10338" t="str">
        <f>IF(C10338="","",UPPER(LEFT(SUBSTITUTE(C10338," ",""),3))&amp;"-"&amp;TEXT(B10338,"AAMMDD")&amp;"-1")</f>
        <v/>
      </c>
    </row>
    <row r="10339" spans="20:20" hidden="1">
      <c r="T10339" t="str">
        <f>IF(C10339="","",UPPER(LEFT(SUBSTITUTE(C10339," ",""),3))&amp;"-"&amp;TEXT(B10339,"AAMMDD")&amp;"-1")</f>
        <v/>
      </c>
    </row>
    <row r="10340" spans="20:20" hidden="1">
      <c r="T10340" t="str">
        <f>IF(C10340="","",UPPER(LEFT(SUBSTITUTE(C10340," ",""),3))&amp;"-"&amp;TEXT(B10340,"AAMMDD")&amp;"-1")</f>
        <v/>
      </c>
    </row>
    <row r="10341" spans="20:20" hidden="1">
      <c r="T10341" t="str">
        <f>IF(C10341="","",UPPER(LEFT(SUBSTITUTE(C10341," ",""),3))&amp;"-"&amp;TEXT(B10341,"AAMMDD")&amp;"-1")</f>
        <v/>
      </c>
    </row>
    <row r="10342" spans="20:20" hidden="1">
      <c r="T10342" t="str">
        <f>IF(C10342="","",UPPER(LEFT(SUBSTITUTE(C10342," ",""),3))&amp;"-"&amp;TEXT(B10342,"AAMMDD")&amp;"-1")</f>
        <v/>
      </c>
    </row>
    <row r="10343" spans="20:20" hidden="1">
      <c r="T10343" t="str">
        <f>IF(C10343="","",UPPER(LEFT(SUBSTITUTE(C10343," ",""),3))&amp;"-"&amp;TEXT(B10343,"AAMMDD")&amp;"-1")</f>
        <v/>
      </c>
    </row>
    <row r="10344" spans="20:20" hidden="1">
      <c r="T10344" t="str">
        <f>IF(C10344="","",UPPER(LEFT(SUBSTITUTE(C10344," ",""),3))&amp;"-"&amp;TEXT(B10344,"AAMMDD")&amp;"-1")</f>
        <v/>
      </c>
    </row>
    <row r="10345" spans="20:20" hidden="1">
      <c r="T10345" t="str">
        <f>IF(C10345="","",UPPER(LEFT(SUBSTITUTE(C10345," ",""),3))&amp;"-"&amp;TEXT(B10345,"AAMMDD")&amp;"-1")</f>
        <v/>
      </c>
    </row>
    <row r="10346" spans="20:20" hidden="1">
      <c r="T10346" t="str">
        <f>IF(C10346="","",UPPER(LEFT(SUBSTITUTE(C10346," ",""),3))&amp;"-"&amp;TEXT(B10346,"AAMMDD")&amp;"-1")</f>
        <v/>
      </c>
    </row>
    <row r="10347" spans="20:20" hidden="1">
      <c r="T10347" t="str">
        <f>IF(C10347="","",UPPER(LEFT(SUBSTITUTE(C10347," ",""),3))&amp;"-"&amp;TEXT(B10347,"AAMMDD")&amp;"-1")</f>
        <v/>
      </c>
    </row>
    <row r="10348" spans="20:20" hidden="1">
      <c r="T10348" t="str">
        <f>IF(C10348="","",UPPER(LEFT(SUBSTITUTE(C10348," ",""),3))&amp;"-"&amp;TEXT(B10348,"AAMMDD")&amp;"-1")</f>
        <v/>
      </c>
    </row>
    <row r="10349" spans="20:20" hidden="1">
      <c r="T10349" t="str">
        <f>IF(C10349="","",UPPER(LEFT(SUBSTITUTE(C10349," ",""),3))&amp;"-"&amp;TEXT(B10349,"AAMMDD")&amp;"-1")</f>
        <v/>
      </c>
    </row>
    <row r="10350" spans="20:20" hidden="1">
      <c r="T10350" t="str">
        <f>IF(C10350="","",UPPER(LEFT(SUBSTITUTE(C10350," ",""),3))&amp;"-"&amp;TEXT(B10350,"AAMMDD")&amp;"-1")</f>
        <v/>
      </c>
    </row>
    <row r="10351" spans="20:20" hidden="1">
      <c r="T10351" t="str">
        <f>IF(C10351="","",UPPER(LEFT(SUBSTITUTE(C10351," ",""),3))&amp;"-"&amp;TEXT(B10351,"AAMMDD")&amp;"-1")</f>
        <v/>
      </c>
    </row>
    <row r="10352" spans="20:20" hidden="1">
      <c r="T10352" t="str">
        <f>IF(C10352="","",UPPER(LEFT(SUBSTITUTE(C10352," ",""),3))&amp;"-"&amp;TEXT(B10352,"AAMMDD")&amp;"-1")</f>
        <v/>
      </c>
    </row>
    <row r="10353" spans="20:20" hidden="1">
      <c r="T10353" t="str">
        <f>IF(C10353="","",UPPER(LEFT(SUBSTITUTE(C10353," ",""),3))&amp;"-"&amp;TEXT(B10353,"AAMMDD")&amp;"-1")</f>
        <v/>
      </c>
    </row>
    <row r="10354" spans="20:20" hidden="1">
      <c r="T10354" t="str">
        <f>IF(C10354="","",UPPER(LEFT(SUBSTITUTE(C10354," ",""),3))&amp;"-"&amp;TEXT(B10354,"AAMMDD")&amp;"-1")</f>
        <v/>
      </c>
    </row>
    <row r="10355" spans="20:20" hidden="1">
      <c r="T10355" t="str">
        <f>IF(C10355="","",UPPER(LEFT(SUBSTITUTE(C10355," ",""),3))&amp;"-"&amp;TEXT(B10355,"AAMMDD")&amp;"-1")</f>
        <v/>
      </c>
    </row>
    <row r="10356" spans="20:20" hidden="1">
      <c r="T10356" t="str">
        <f>IF(C10356="","",UPPER(LEFT(SUBSTITUTE(C10356," ",""),3))&amp;"-"&amp;TEXT(B10356,"AAMMDD")&amp;"-1")</f>
        <v/>
      </c>
    </row>
    <row r="10357" spans="20:20" hidden="1">
      <c r="T10357" t="str">
        <f>IF(C10357="","",UPPER(LEFT(SUBSTITUTE(C10357," ",""),3))&amp;"-"&amp;TEXT(B10357,"AAMMDD")&amp;"-1")</f>
        <v/>
      </c>
    </row>
    <row r="10358" spans="20:20" hidden="1">
      <c r="T10358" t="str">
        <f>IF(C10358="","",UPPER(LEFT(SUBSTITUTE(C10358," ",""),3))&amp;"-"&amp;TEXT(B10358,"AAMMDD")&amp;"-1")</f>
        <v/>
      </c>
    </row>
    <row r="10359" spans="20:20" hidden="1">
      <c r="T10359" t="str">
        <f>IF(C10359="","",UPPER(LEFT(SUBSTITUTE(C10359," ",""),3))&amp;"-"&amp;TEXT(B10359,"AAMMDD")&amp;"-1")</f>
        <v/>
      </c>
    </row>
    <row r="10360" spans="20:20" hidden="1">
      <c r="T10360" t="str">
        <f>IF(C10360="","",UPPER(LEFT(SUBSTITUTE(C10360," ",""),3))&amp;"-"&amp;TEXT(B10360,"AAMMDD")&amp;"-1")</f>
        <v/>
      </c>
    </row>
    <row r="10361" spans="20:20" hidden="1">
      <c r="T10361" t="str">
        <f>IF(C10361="","",UPPER(LEFT(SUBSTITUTE(C10361," ",""),3))&amp;"-"&amp;TEXT(B10361,"AAMMDD")&amp;"-1")</f>
        <v/>
      </c>
    </row>
    <row r="10362" spans="20:20" hidden="1">
      <c r="T10362" t="str">
        <f>IF(C10362="","",UPPER(LEFT(SUBSTITUTE(C10362," ",""),3))&amp;"-"&amp;TEXT(B10362,"AAMMDD")&amp;"-1")</f>
        <v/>
      </c>
    </row>
    <row r="10363" spans="20:20" hidden="1">
      <c r="T10363" t="str">
        <f>IF(C10363="","",UPPER(LEFT(SUBSTITUTE(C10363," ",""),3))&amp;"-"&amp;TEXT(B10363,"AAMMDD")&amp;"-1")</f>
        <v/>
      </c>
    </row>
    <row r="10364" spans="20:20" hidden="1">
      <c r="T10364" t="str">
        <f>IF(C10364="","",UPPER(LEFT(SUBSTITUTE(C10364," ",""),3))&amp;"-"&amp;TEXT(B10364,"AAMMDD")&amp;"-1")</f>
        <v/>
      </c>
    </row>
    <row r="10365" spans="20:20" hidden="1">
      <c r="T10365" t="str">
        <f>IF(C10365="","",UPPER(LEFT(SUBSTITUTE(C10365," ",""),3))&amp;"-"&amp;TEXT(B10365,"AAMMDD")&amp;"-1")</f>
        <v/>
      </c>
    </row>
    <row r="10366" spans="20:20" hidden="1">
      <c r="T10366" t="str">
        <f>IF(C10366="","",UPPER(LEFT(SUBSTITUTE(C10366," ",""),3))&amp;"-"&amp;TEXT(B10366,"AAMMDD")&amp;"-1")</f>
        <v/>
      </c>
    </row>
    <row r="10367" spans="20:20" hidden="1">
      <c r="T10367" t="str">
        <f>IF(C10367="","",UPPER(LEFT(SUBSTITUTE(C10367," ",""),3))&amp;"-"&amp;TEXT(B10367,"AAMMDD")&amp;"-1")</f>
        <v/>
      </c>
    </row>
    <row r="10368" spans="20:20" hidden="1">
      <c r="T10368" t="str">
        <f>IF(C10368="","",UPPER(LEFT(SUBSTITUTE(C10368," ",""),3))&amp;"-"&amp;TEXT(B10368,"AAMMDD")&amp;"-1")</f>
        <v/>
      </c>
    </row>
    <row r="10369" spans="20:20" hidden="1">
      <c r="T10369" t="str">
        <f>IF(C10369="","",UPPER(LEFT(SUBSTITUTE(C10369," ",""),3))&amp;"-"&amp;TEXT(B10369,"AAMMDD")&amp;"-1")</f>
        <v/>
      </c>
    </row>
    <row r="10370" spans="20:20" hidden="1">
      <c r="T10370" t="str">
        <f>IF(C10370="","",UPPER(LEFT(SUBSTITUTE(C10370," ",""),3))&amp;"-"&amp;TEXT(B10370,"AAMMDD")&amp;"-1")</f>
        <v/>
      </c>
    </row>
    <row r="10371" spans="20:20" hidden="1">
      <c r="T10371" t="str">
        <f>IF(C10371="","",UPPER(LEFT(SUBSTITUTE(C10371," ",""),3))&amp;"-"&amp;TEXT(B10371,"AAMMDD")&amp;"-1")</f>
        <v/>
      </c>
    </row>
    <row r="10372" spans="20:20" hidden="1">
      <c r="T10372" t="str">
        <f>IF(C10372="","",UPPER(LEFT(SUBSTITUTE(C10372," ",""),3))&amp;"-"&amp;TEXT(B10372,"AAMMDD")&amp;"-1")</f>
        <v/>
      </c>
    </row>
    <row r="10373" spans="20:20" hidden="1">
      <c r="T10373" t="str">
        <f>IF(C10373="","",UPPER(LEFT(SUBSTITUTE(C10373," ",""),3))&amp;"-"&amp;TEXT(B10373,"AAMMDD")&amp;"-1")</f>
        <v/>
      </c>
    </row>
    <row r="10374" spans="20:20" hidden="1">
      <c r="T10374" t="str">
        <f>IF(C10374="","",UPPER(LEFT(SUBSTITUTE(C10374," ",""),3))&amp;"-"&amp;TEXT(B10374,"AAMMDD")&amp;"-1")</f>
        <v/>
      </c>
    </row>
    <row r="10375" spans="20:20" hidden="1">
      <c r="T10375" t="str">
        <f>IF(C10375="","",UPPER(LEFT(SUBSTITUTE(C10375," ",""),3))&amp;"-"&amp;TEXT(B10375,"AAMMDD")&amp;"-1")</f>
        <v/>
      </c>
    </row>
    <row r="10376" spans="20:20" hidden="1">
      <c r="T10376" t="str">
        <f>IF(C10376="","",UPPER(LEFT(SUBSTITUTE(C10376," ",""),3))&amp;"-"&amp;TEXT(B10376,"AAMMDD")&amp;"-1")</f>
        <v/>
      </c>
    </row>
    <row r="10377" spans="20:20" hidden="1">
      <c r="T10377" t="str">
        <f>IF(C10377="","",UPPER(LEFT(SUBSTITUTE(C10377," ",""),3))&amp;"-"&amp;TEXT(B10377,"AAMMDD")&amp;"-1")</f>
        <v/>
      </c>
    </row>
    <row r="10378" spans="20:20" hidden="1">
      <c r="T10378" t="str">
        <f>IF(C10378="","",UPPER(LEFT(SUBSTITUTE(C10378," ",""),3))&amp;"-"&amp;TEXT(B10378,"AAMMDD")&amp;"-1")</f>
        <v/>
      </c>
    </row>
    <row r="10379" spans="20:20" hidden="1">
      <c r="T10379" t="str">
        <f>IF(C10379="","",UPPER(LEFT(SUBSTITUTE(C10379," ",""),3))&amp;"-"&amp;TEXT(B10379,"AAMMDD")&amp;"-1")</f>
        <v/>
      </c>
    </row>
    <row r="10380" spans="20:20" hidden="1">
      <c r="T10380" t="str">
        <f>IF(C10380="","",UPPER(LEFT(SUBSTITUTE(C10380," ",""),3))&amp;"-"&amp;TEXT(B10380,"AAMMDD")&amp;"-1")</f>
        <v/>
      </c>
    </row>
    <row r="10381" spans="20:20" hidden="1">
      <c r="T10381" t="str">
        <f>IF(C10381="","",UPPER(LEFT(SUBSTITUTE(C10381," ",""),3))&amp;"-"&amp;TEXT(B10381,"AAMMDD")&amp;"-1")</f>
        <v/>
      </c>
    </row>
    <row r="10382" spans="20:20" hidden="1">
      <c r="T10382" t="str">
        <f>IF(C10382="","",UPPER(LEFT(SUBSTITUTE(C10382," ",""),3))&amp;"-"&amp;TEXT(B10382,"AAMMDD")&amp;"-1")</f>
        <v/>
      </c>
    </row>
    <row r="10383" spans="20:20" hidden="1">
      <c r="T10383" t="str">
        <f>IF(C10383="","",UPPER(LEFT(SUBSTITUTE(C10383," ",""),3))&amp;"-"&amp;TEXT(B10383,"AAMMDD")&amp;"-1")</f>
        <v/>
      </c>
    </row>
    <row r="10384" spans="20:20" hidden="1">
      <c r="T10384" t="str">
        <f>IF(C10384="","",UPPER(LEFT(SUBSTITUTE(C10384," ",""),3))&amp;"-"&amp;TEXT(B10384,"AAMMDD")&amp;"-1")</f>
        <v/>
      </c>
    </row>
    <row r="10385" spans="20:20" hidden="1">
      <c r="T10385" t="str">
        <f>IF(C10385="","",UPPER(LEFT(SUBSTITUTE(C10385," ",""),3))&amp;"-"&amp;TEXT(B10385,"AAMMDD")&amp;"-1")</f>
        <v/>
      </c>
    </row>
    <row r="10386" spans="20:20" hidden="1">
      <c r="T10386" t="str">
        <f>IF(C10386="","",UPPER(LEFT(SUBSTITUTE(C10386," ",""),3))&amp;"-"&amp;TEXT(B10386,"AAMMDD")&amp;"-1")</f>
        <v/>
      </c>
    </row>
    <row r="10387" spans="20:20" hidden="1">
      <c r="T10387" t="str">
        <f>IF(C10387="","",UPPER(LEFT(SUBSTITUTE(C10387," ",""),3))&amp;"-"&amp;TEXT(B10387,"AAMMDD")&amp;"-1")</f>
        <v/>
      </c>
    </row>
    <row r="10388" spans="20:20" hidden="1">
      <c r="T10388" t="str">
        <f>IF(C10388="","",UPPER(LEFT(SUBSTITUTE(C10388," ",""),3))&amp;"-"&amp;TEXT(B10388,"AAMMDD")&amp;"-1")</f>
        <v/>
      </c>
    </row>
    <row r="10389" spans="20:20" hidden="1">
      <c r="T10389" t="str">
        <f>IF(C10389="","",UPPER(LEFT(SUBSTITUTE(C10389," ",""),3))&amp;"-"&amp;TEXT(B10389,"AAMMDD")&amp;"-1")</f>
        <v/>
      </c>
    </row>
    <row r="10390" spans="20:20" hidden="1">
      <c r="T10390" t="str">
        <f>IF(C10390="","",UPPER(LEFT(SUBSTITUTE(C10390," ",""),3))&amp;"-"&amp;TEXT(B10390,"AAMMDD")&amp;"-1")</f>
        <v/>
      </c>
    </row>
    <row r="10391" spans="20:20" hidden="1">
      <c r="T10391" t="str">
        <f>IF(C10391="","",UPPER(LEFT(SUBSTITUTE(C10391," ",""),3))&amp;"-"&amp;TEXT(B10391,"AAMMDD")&amp;"-1")</f>
        <v/>
      </c>
    </row>
    <row r="10392" spans="20:20" hidden="1">
      <c r="T10392" t="str">
        <f>IF(C10392="","",UPPER(LEFT(SUBSTITUTE(C10392," ",""),3))&amp;"-"&amp;TEXT(B10392,"AAMMDD")&amp;"-1")</f>
        <v/>
      </c>
    </row>
    <row r="10393" spans="20:20" hidden="1">
      <c r="T10393" t="str">
        <f>IF(C10393="","",UPPER(LEFT(SUBSTITUTE(C10393," ",""),3))&amp;"-"&amp;TEXT(B10393,"AAMMDD")&amp;"-1")</f>
        <v/>
      </c>
    </row>
    <row r="10394" spans="20:20" hidden="1">
      <c r="T10394" t="str">
        <f>IF(C10394="","",UPPER(LEFT(SUBSTITUTE(C10394," ",""),3))&amp;"-"&amp;TEXT(B10394,"AAMMDD")&amp;"-1")</f>
        <v/>
      </c>
    </row>
    <row r="10395" spans="20:20" hidden="1">
      <c r="T10395" t="str">
        <f>IF(C10395="","",UPPER(LEFT(SUBSTITUTE(C10395," ",""),3))&amp;"-"&amp;TEXT(B10395,"AAMMDD")&amp;"-1")</f>
        <v/>
      </c>
    </row>
    <row r="10396" spans="20:20" hidden="1">
      <c r="T10396" t="str">
        <f>IF(C10396="","",UPPER(LEFT(SUBSTITUTE(C10396," ",""),3))&amp;"-"&amp;TEXT(B10396,"AAMMDD")&amp;"-1")</f>
        <v/>
      </c>
    </row>
    <row r="10397" spans="20:20" hidden="1">
      <c r="T10397" t="str">
        <f>IF(C10397="","",UPPER(LEFT(SUBSTITUTE(C10397," ",""),3))&amp;"-"&amp;TEXT(B10397,"AAMMDD")&amp;"-1")</f>
        <v/>
      </c>
    </row>
    <row r="10398" spans="20:20" hidden="1">
      <c r="T10398" t="str">
        <f>IF(C10398="","",UPPER(LEFT(SUBSTITUTE(C10398," ",""),3))&amp;"-"&amp;TEXT(B10398,"AAMMDD")&amp;"-1")</f>
        <v/>
      </c>
    </row>
    <row r="10399" spans="20:20" hidden="1">
      <c r="T10399" t="str">
        <f>IF(C10399="","",UPPER(LEFT(SUBSTITUTE(C10399," ",""),3))&amp;"-"&amp;TEXT(B10399,"AAMMDD")&amp;"-1")</f>
        <v/>
      </c>
    </row>
    <row r="10400" spans="20:20" hidden="1">
      <c r="T10400" t="str">
        <f>IF(C10400="","",UPPER(LEFT(SUBSTITUTE(C10400," ",""),3))&amp;"-"&amp;TEXT(B10400,"AAMMDD")&amp;"-1")</f>
        <v/>
      </c>
    </row>
    <row r="10401" spans="20:20" hidden="1">
      <c r="T10401" t="str">
        <f>IF(C10401="","",UPPER(LEFT(SUBSTITUTE(C10401," ",""),3))&amp;"-"&amp;TEXT(B10401,"AAMMDD")&amp;"-1")</f>
        <v/>
      </c>
    </row>
    <row r="10402" spans="20:20" hidden="1">
      <c r="T10402" t="str">
        <f>IF(C10402="","",UPPER(LEFT(SUBSTITUTE(C10402," ",""),3))&amp;"-"&amp;TEXT(B10402,"AAMMDD")&amp;"-1")</f>
        <v/>
      </c>
    </row>
    <row r="10403" spans="20:20" hidden="1">
      <c r="T10403" t="str">
        <f>IF(C10403="","",UPPER(LEFT(SUBSTITUTE(C10403," ",""),3))&amp;"-"&amp;TEXT(B10403,"AAMMDD")&amp;"-1")</f>
        <v/>
      </c>
    </row>
    <row r="10404" spans="20:20" hidden="1">
      <c r="T10404" t="str">
        <f>IF(C10404="","",UPPER(LEFT(SUBSTITUTE(C10404," ",""),3))&amp;"-"&amp;TEXT(B10404,"AAMMDD")&amp;"-1")</f>
        <v/>
      </c>
    </row>
    <row r="10405" spans="20:20" hidden="1">
      <c r="T10405" t="str">
        <f>IF(C10405="","",UPPER(LEFT(SUBSTITUTE(C10405," ",""),3))&amp;"-"&amp;TEXT(B10405,"AAMMDD")&amp;"-1")</f>
        <v/>
      </c>
    </row>
    <row r="10406" spans="20:20" hidden="1">
      <c r="T10406" t="str">
        <f>IF(C10406="","",UPPER(LEFT(SUBSTITUTE(C10406," ",""),3))&amp;"-"&amp;TEXT(B10406,"AAMMDD")&amp;"-1")</f>
        <v/>
      </c>
    </row>
    <row r="10407" spans="20:20" hidden="1">
      <c r="T10407" t="str">
        <f>IF(C10407="","",UPPER(LEFT(SUBSTITUTE(C10407," ",""),3))&amp;"-"&amp;TEXT(B10407,"AAMMDD")&amp;"-1")</f>
        <v/>
      </c>
    </row>
    <row r="10408" spans="20:20" hidden="1">
      <c r="T10408" t="str">
        <f>IF(C10408="","",UPPER(LEFT(SUBSTITUTE(C10408," ",""),3))&amp;"-"&amp;TEXT(B10408,"AAMMDD")&amp;"-1")</f>
        <v/>
      </c>
    </row>
    <row r="10409" spans="20:20" hidden="1">
      <c r="T10409" t="str">
        <f>IF(C10409="","",UPPER(LEFT(SUBSTITUTE(C10409," ",""),3))&amp;"-"&amp;TEXT(B10409,"AAMMDD")&amp;"-1")</f>
        <v/>
      </c>
    </row>
    <row r="10410" spans="20:20" hidden="1">
      <c r="T10410" t="str">
        <f>IF(C10410="","",UPPER(LEFT(SUBSTITUTE(C10410," ",""),3))&amp;"-"&amp;TEXT(B10410,"AAMMDD")&amp;"-1")</f>
        <v/>
      </c>
    </row>
    <row r="10411" spans="20:20" hidden="1">
      <c r="T10411" t="str">
        <f>IF(C10411="","",UPPER(LEFT(SUBSTITUTE(C10411," ",""),3))&amp;"-"&amp;TEXT(B10411,"AAMMDD")&amp;"-1")</f>
        <v/>
      </c>
    </row>
    <row r="10412" spans="20:20" hidden="1">
      <c r="T10412" t="str">
        <f>IF(C10412="","",UPPER(LEFT(SUBSTITUTE(C10412," ",""),3))&amp;"-"&amp;TEXT(B10412,"AAMMDD")&amp;"-1")</f>
        <v/>
      </c>
    </row>
    <row r="10413" spans="20:20" hidden="1">
      <c r="T10413" t="str">
        <f>IF(C10413="","",UPPER(LEFT(SUBSTITUTE(C10413," ",""),3))&amp;"-"&amp;TEXT(B10413,"AAMMDD")&amp;"-1")</f>
        <v/>
      </c>
    </row>
    <row r="10414" spans="20:20" hidden="1">
      <c r="T10414" t="str">
        <f>IF(C10414="","",UPPER(LEFT(SUBSTITUTE(C10414," ",""),3))&amp;"-"&amp;TEXT(B10414,"AAMMDD")&amp;"-1")</f>
        <v/>
      </c>
    </row>
    <row r="10415" spans="20:20" hidden="1">
      <c r="T10415" t="str">
        <f>IF(C10415="","",UPPER(LEFT(SUBSTITUTE(C10415," ",""),3))&amp;"-"&amp;TEXT(B10415,"AAMMDD")&amp;"-1")</f>
        <v/>
      </c>
    </row>
    <row r="10416" spans="20:20" hidden="1">
      <c r="T10416" t="str">
        <f>IF(C10416="","",UPPER(LEFT(SUBSTITUTE(C10416," ",""),3))&amp;"-"&amp;TEXT(B10416,"AAMMDD")&amp;"-1")</f>
        <v/>
      </c>
    </row>
    <row r="10417" spans="20:20" hidden="1">
      <c r="T10417" t="str">
        <f>IF(C10417="","",UPPER(LEFT(SUBSTITUTE(C10417," ",""),3))&amp;"-"&amp;TEXT(B10417,"AAMMDD")&amp;"-1")</f>
        <v/>
      </c>
    </row>
    <row r="10418" spans="20:20" hidden="1">
      <c r="T10418" t="str">
        <f>IF(C10418="","",UPPER(LEFT(SUBSTITUTE(C10418," ",""),3))&amp;"-"&amp;TEXT(B10418,"AAMMDD")&amp;"-1")</f>
        <v/>
      </c>
    </row>
    <row r="10419" spans="20:20" hidden="1">
      <c r="T10419" t="str">
        <f>IF(C10419="","",UPPER(LEFT(SUBSTITUTE(C10419," ",""),3))&amp;"-"&amp;TEXT(B10419,"AAMMDD")&amp;"-1")</f>
        <v/>
      </c>
    </row>
    <row r="10420" spans="20:20" hidden="1">
      <c r="T10420" t="str">
        <f>IF(C10420="","",UPPER(LEFT(SUBSTITUTE(C10420," ",""),3))&amp;"-"&amp;TEXT(B10420,"AAMMDD")&amp;"-1")</f>
        <v/>
      </c>
    </row>
    <row r="10421" spans="20:20" hidden="1">
      <c r="T10421" t="str">
        <f>IF(C10421="","",UPPER(LEFT(SUBSTITUTE(C10421," ",""),3))&amp;"-"&amp;TEXT(B10421,"AAMMDD")&amp;"-1")</f>
        <v/>
      </c>
    </row>
    <row r="10422" spans="20:20" hidden="1">
      <c r="T10422" t="str">
        <f>IF(C10422="","",UPPER(LEFT(SUBSTITUTE(C10422," ",""),3))&amp;"-"&amp;TEXT(B10422,"AAMMDD")&amp;"-1")</f>
        <v/>
      </c>
    </row>
    <row r="10423" spans="20:20" hidden="1">
      <c r="T10423" t="str">
        <f>IF(C10423="","",UPPER(LEFT(SUBSTITUTE(C10423," ",""),3))&amp;"-"&amp;TEXT(B10423,"AAMMDD")&amp;"-1")</f>
        <v/>
      </c>
    </row>
    <row r="10424" spans="20:20" hidden="1">
      <c r="T10424" t="str">
        <f>IF(C10424="","",UPPER(LEFT(SUBSTITUTE(C10424," ",""),3))&amp;"-"&amp;TEXT(B10424,"AAMMDD")&amp;"-1")</f>
        <v/>
      </c>
    </row>
    <row r="10425" spans="20:20" hidden="1">
      <c r="T10425" t="str">
        <f>IF(C10425="","",UPPER(LEFT(SUBSTITUTE(C10425," ",""),3))&amp;"-"&amp;TEXT(B10425,"AAMMDD")&amp;"-1")</f>
        <v/>
      </c>
    </row>
    <row r="10426" spans="20:20" hidden="1">
      <c r="T10426" t="str">
        <f>IF(C10426="","",UPPER(LEFT(SUBSTITUTE(C10426," ",""),3))&amp;"-"&amp;TEXT(B10426,"AAMMDD")&amp;"-1")</f>
        <v/>
      </c>
    </row>
    <row r="10427" spans="20:20" hidden="1">
      <c r="T10427" t="str">
        <f>IF(C10427="","",UPPER(LEFT(SUBSTITUTE(C10427," ",""),3))&amp;"-"&amp;TEXT(B10427,"AAMMDD")&amp;"-1")</f>
        <v/>
      </c>
    </row>
    <row r="10428" spans="20:20" hidden="1">
      <c r="T10428" t="str">
        <f>IF(C10428="","",UPPER(LEFT(SUBSTITUTE(C10428," ",""),3))&amp;"-"&amp;TEXT(B10428,"AAMMDD")&amp;"-1")</f>
        <v/>
      </c>
    </row>
    <row r="10429" spans="20:20" hidden="1">
      <c r="T10429" t="str">
        <f>IF(C10429="","",UPPER(LEFT(SUBSTITUTE(C10429," ",""),3))&amp;"-"&amp;TEXT(B10429,"AAMMDD")&amp;"-1")</f>
        <v/>
      </c>
    </row>
    <row r="10430" spans="20:20" hidden="1">
      <c r="T10430" t="str">
        <f>IF(C10430="","",UPPER(LEFT(SUBSTITUTE(C10430," ",""),3))&amp;"-"&amp;TEXT(B10430,"AAMMDD")&amp;"-1")</f>
        <v/>
      </c>
    </row>
    <row r="10431" spans="20:20" hidden="1">
      <c r="T10431" t="str">
        <f>IF(C10431="","",UPPER(LEFT(SUBSTITUTE(C10431," ",""),3))&amp;"-"&amp;TEXT(B10431,"AAMMDD")&amp;"-1")</f>
        <v/>
      </c>
    </row>
    <row r="10432" spans="20:20" hidden="1">
      <c r="T10432" t="str">
        <f>IF(C10432="","",UPPER(LEFT(SUBSTITUTE(C10432," ",""),3))&amp;"-"&amp;TEXT(B10432,"AAMMDD")&amp;"-1")</f>
        <v/>
      </c>
    </row>
    <row r="10433" spans="20:20" hidden="1">
      <c r="T10433" t="str">
        <f>IF(C10433="","",UPPER(LEFT(SUBSTITUTE(C10433," ",""),3))&amp;"-"&amp;TEXT(B10433,"AAMMDD")&amp;"-1")</f>
        <v/>
      </c>
    </row>
    <row r="10434" spans="20:20" hidden="1">
      <c r="T10434" t="str">
        <f>IF(C10434="","",UPPER(LEFT(SUBSTITUTE(C10434," ",""),3))&amp;"-"&amp;TEXT(B10434,"AAMMDD")&amp;"-1")</f>
        <v/>
      </c>
    </row>
    <row r="10435" spans="20:20" hidden="1">
      <c r="T10435" t="str">
        <f>IF(C10435="","",UPPER(LEFT(SUBSTITUTE(C10435," ",""),3))&amp;"-"&amp;TEXT(B10435,"AAMMDD")&amp;"-1")</f>
        <v/>
      </c>
    </row>
    <row r="10436" spans="20:20" hidden="1">
      <c r="T10436" t="str">
        <f>IF(C10436="","",UPPER(LEFT(SUBSTITUTE(C10436," ",""),3))&amp;"-"&amp;TEXT(B10436,"AAMMDD")&amp;"-1")</f>
        <v/>
      </c>
    </row>
    <row r="10437" spans="20:20" hidden="1">
      <c r="T10437" t="str">
        <f>IF(C10437="","",UPPER(LEFT(SUBSTITUTE(C10437," ",""),3))&amp;"-"&amp;TEXT(B10437,"AAMMDD")&amp;"-1")</f>
        <v/>
      </c>
    </row>
    <row r="10438" spans="20:20" hidden="1">
      <c r="T10438" t="str">
        <f>IF(C10438="","",UPPER(LEFT(SUBSTITUTE(C10438," ",""),3))&amp;"-"&amp;TEXT(B10438,"AAMMDD")&amp;"-1")</f>
        <v/>
      </c>
    </row>
    <row r="10439" spans="20:20" hidden="1">
      <c r="T10439" t="str">
        <f>IF(C10439="","",UPPER(LEFT(SUBSTITUTE(C10439," ",""),3))&amp;"-"&amp;TEXT(B10439,"AAMMDD")&amp;"-1")</f>
        <v/>
      </c>
    </row>
    <row r="10440" spans="20:20" hidden="1">
      <c r="T10440" t="str">
        <f>IF(C10440="","",UPPER(LEFT(SUBSTITUTE(C10440," ",""),3))&amp;"-"&amp;TEXT(B10440,"AAMMDD")&amp;"-1")</f>
        <v/>
      </c>
    </row>
    <row r="10441" spans="20:20" hidden="1">
      <c r="T10441" t="str">
        <f>IF(C10441="","",UPPER(LEFT(SUBSTITUTE(C10441," ",""),3))&amp;"-"&amp;TEXT(B10441,"AAMMDD")&amp;"-1")</f>
        <v/>
      </c>
    </row>
    <row r="10442" spans="20:20" hidden="1">
      <c r="T10442" t="str">
        <f>IF(C10442="","",UPPER(LEFT(SUBSTITUTE(C10442," ",""),3))&amp;"-"&amp;TEXT(B10442,"AAMMDD")&amp;"-1")</f>
        <v/>
      </c>
    </row>
    <row r="10443" spans="20:20" hidden="1">
      <c r="T10443" t="str">
        <f>IF(C10443="","",UPPER(LEFT(SUBSTITUTE(C10443," ",""),3))&amp;"-"&amp;TEXT(B10443,"AAMMDD")&amp;"-1")</f>
        <v/>
      </c>
    </row>
    <row r="10444" spans="20:20" hidden="1">
      <c r="T10444" t="str">
        <f>IF(C10444="","",UPPER(LEFT(SUBSTITUTE(C10444," ",""),3))&amp;"-"&amp;TEXT(B10444,"AAMMDD")&amp;"-1")</f>
        <v/>
      </c>
    </row>
    <row r="10445" spans="20:20" hidden="1">
      <c r="T10445" t="str">
        <f>IF(C10445="","",UPPER(LEFT(SUBSTITUTE(C10445," ",""),3))&amp;"-"&amp;TEXT(B10445,"AAMMDD")&amp;"-1")</f>
        <v/>
      </c>
    </row>
    <row r="10446" spans="20:20" hidden="1">
      <c r="T10446" t="str">
        <f>IF(C10446="","",UPPER(LEFT(SUBSTITUTE(C10446," ",""),3))&amp;"-"&amp;TEXT(B10446,"AAMMDD")&amp;"-1")</f>
        <v/>
      </c>
    </row>
    <row r="10447" spans="20:20" hidden="1">
      <c r="T10447" t="str">
        <f>IF(C10447="","",UPPER(LEFT(SUBSTITUTE(C10447," ",""),3))&amp;"-"&amp;TEXT(B10447,"AAMMDD")&amp;"-1")</f>
        <v/>
      </c>
    </row>
    <row r="10448" spans="20:20" hidden="1">
      <c r="T10448" t="str">
        <f>IF(C10448="","",UPPER(LEFT(SUBSTITUTE(C10448," ",""),3))&amp;"-"&amp;TEXT(B10448,"AAMMDD")&amp;"-1")</f>
        <v/>
      </c>
    </row>
    <row r="10449" spans="20:20" hidden="1">
      <c r="T10449" t="str">
        <f>IF(C10449="","",UPPER(LEFT(SUBSTITUTE(C10449," ",""),3))&amp;"-"&amp;TEXT(B10449,"AAMMDD")&amp;"-1")</f>
        <v/>
      </c>
    </row>
    <row r="10450" spans="20:20" hidden="1">
      <c r="T10450" t="str">
        <f>IF(C10450="","",UPPER(LEFT(SUBSTITUTE(C10450," ",""),3))&amp;"-"&amp;TEXT(B10450,"AAMMDD")&amp;"-1")</f>
        <v/>
      </c>
    </row>
    <row r="10451" spans="20:20" hidden="1">
      <c r="T10451" t="str">
        <f>IF(C10451="","",UPPER(LEFT(SUBSTITUTE(C10451," ",""),3))&amp;"-"&amp;TEXT(B10451,"AAMMDD")&amp;"-1")</f>
        <v/>
      </c>
    </row>
    <row r="10452" spans="20:20" hidden="1">
      <c r="T10452" t="str">
        <f>IF(C10452="","",UPPER(LEFT(SUBSTITUTE(C10452," ",""),3))&amp;"-"&amp;TEXT(B10452,"AAMMDD")&amp;"-1")</f>
        <v/>
      </c>
    </row>
    <row r="10453" spans="20:20" hidden="1">
      <c r="T10453" t="str">
        <f>IF(C10453="","",UPPER(LEFT(SUBSTITUTE(C10453," ",""),3))&amp;"-"&amp;TEXT(B10453,"AAMMDD")&amp;"-1")</f>
        <v/>
      </c>
    </row>
    <row r="10454" spans="20:20" hidden="1">
      <c r="T10454" t="str">
        <f>IF(C10454="","",UPPER(LEFT(SUBSTITUTE(C10454," ",""),3))&amp;"-"&amp;TEXT(B10454,"AAMMDD")&amp;"-1")</f>
        <v/>
      </c>
    </row>
    <row r="10455" spans="20:20" hidden="1">
      <c r="T10455" t="str">
        <f>IF(C10455="","",UPPER(LEFT(SUBSTITUTE(C10455," ",""),3))&amp;"-"&amp;TEXT(B10455,"AAMMDD")&amp;"-1")</f>
        <v/>
      </c>
    </row>
    <row r="10456" spans="20:20" hidden="1">
      <c r="T10456" t="str">
        <f>IF(C10456="","",UPPER(LEFT(SUBSTITUTE(C10456," ",""),3))&amp;"-"&amp;TEXT(B10456,"AAMMDD")&amp;"-1")</f>
        <v/>
      </c>
    </row>
    <row r="10457" spans="20:20" hidden="1">
      <c r="T10457" t="str">
        <f>IF(C10457="","",UPPER(LEFT(SUBSTITUTE(C10457," ",""),3))&amp;"-"&amp;TEXT(B10457,"AAMMDD")&amp;"-1")</f>
        <v/>
      </c>
    </row>
    <row r="10458" spans="20:20" hidden="1">
      <c r="T10458" t="str">
        <f>IF(C10458="","",UPPER(LEFT(SUBSTITUTE(C10458," ",""),3))&amp;"-"&amp;TEXT(B10458,"AAMMDD")&amp;"-1")</f>
        <v/>
      </c>
    </row>
    <row r="10459" spans="20:20" hidden="1">
      <c r="T10459" t="str">
        <f>IF(C10459="","",UPPER(LEFT(SUBSTITUTE(C10459," ",""),3))&amp;"-"&amp;TEXT(B10459,"AAMMDD")&amp;"-1")</f>
        <v/>
      </c>
    </row>
    <row r="10460" spans="20:20" hidden="1">
      <c r="T10460" t="str">
        <f>IF(C10460="","",UPPER(LEFT(SUBSTITUTE(C10460," ",""),3))&amp;"-"&amp;TEXT(B10460,"AAMMDD")&amp;"-1")</f>
        <v/>
      </c>
    </row>
    <row r="10461" spans="20:20" hidden="1">
      <c r="T10461" t="str">
        <f>IF(C10461="","",UPPER(LEFT(SUBSTITUTE(C10461," ",""),3))&amp;"-"&amp;TEXT(B10461,"AAMMDD")&amp;"-1")</f>
        <v/>
      </c>
    </row>
    <row r="10462" spans="20:20" hidden="1">
      <c r="T10462" t="str">
        <f>IF(C10462="","",UPPER(LEFT(SUBSTITUTE(C10462," ",""),3))&amp;"-"&amp;TEXT(B10462,"AAMMDD")&amp;"-1")</f>
        <v/>
      </c>
    </row>
    <row r="10463" spans="20:20" hidden="1">
      <c r="T10463" t="str">
        <f>IF(C10463="","",UPPER(LEFT(SUBSTITUTE(C10463," ",""),3))&amp;"-"&amp;TEXT(B10463,"AAMMDD")&amp;"-1")</f>
        <v/>
      </c>
    </row>
    <row r="10464" spans="20:20" hidden="1">
      <c r="T10464" t="str">
        <f>IF(C10464="","",UPPER(LEFT(SUBSTITUTE(C10464," ",""),3))&amp;"-"&amp;TEXT(B10464,"AAMMDD")&amp;"-1")</f>
        <v/>
      </c>
    </row>
    <row r="10465" spans="20:20" hidden="1">
      <c r="T10465" t="str">
        <f>IF(C10465="","",UPPER(LEFT(SUBSTITUTE(C10465," ",""),3))&amp;"-"&amp;TEXT(B10465,"AAMMDD")&amp;"-1")</f>
        <v/>
      </c>
    </row>
    <row r="10466" spans="20:20" hidden="1">
      <c r="T10466" t="str">
        <f>IF(C10466="","",UPPER(LEFT(SUBSTITUTE(C10466," ",""),3))&amp;"-"&amp;TEXT(B10466,"AAMMDD")&amp;"-1")</f>
        <v/>
      </c>
    </row>
    <row r="10467" spans="20:20" hidden="1">
      <c r="T10467" t="str">
        <f>IF(C10467="","",UPPER(LEFT(SUBSTITUTE(C10467," ",""),3))&amp;"-"&amp;TEXT(B10467,"AAMMDD")&amp;"-1")</f>
        <v/>
      </c>
    </row>
    <row r="10468" spans="20:20" hidden="1">
      <c r="T10468" t="str">
        <f>IF(C10468="","",UPPER(LEFT(SUBSTITUTE(C10468," ",""),3))&amp;"-"&amp;TEXT(B10468,"AAMMDD")&amp;"-1")</f>
        <v/>
      </c>
    </row>
    <row r="10469" spans="20:20" hidden="1">
      <c r="T10469" t="str">
        <f>IF(C10469="","",UPPER(LEFT(SUBSTITUTE(C10469," ",""),3))&amp;"-"&amp;TEXT(B10469,"AAMMDD")&amp;"-1")</f>
        <v/>
      </c>
    </row>
    <row r="10470" spans="20:20" hidden="1">
      <c r="T10470" t="str">
        <f>IF(C10470="","",UPPER(LEFT(SUBSTITUTE(C10470," ",""),3))&amp;"-"&amp;TEXT(B10470,"AAMMDD")&amp;"-1")</f>
        <v/>
      </c>
    </row>
    <row r="10471" spans="20:20" hidden="1">
      <c r="T10471" t="str">
        <f>IF(C10471="","",UPPER(LEFT(SUBSTITUTE(C10471," ",""),3))&amp;"-"&amp;TEXT(B10471,"AAMMDD")&amp;"-1")</f>
        <v/>
      </c>
    </row>
    <row r="10472" spans="20:20" hidden="1">
      <c r="T10472" t="str">
        <f>IF(C10472="","",UPPER(LEFT(SUBSTITUTE(C10472," ",""),3))&amp;"-"&amp;TEXT(B10472,"AAMMDD")&amp;"-1")</f>
        <v/>
      </c>
    </row>
    <row r="10473" spans="20:20" hidden="1">
      <c r="T10473" t="str">
        <f>IF(C10473="","",UPPER(LEFT(SUBSTITUTE(C10473," ",""),3))&amp;"-"&amp;TEXT(B10473,"AAMMDD")&amp;"-1")</f>
        <v/>
      </c>
    </row>
    <row r="10474" spans="20:20" hidden="1">
      <c r="T10474" t="str">
        <f>IF(C10474="","",UPPER(LEFT(SUBSTITUTE(C10474," ",""),3))&amp;"-"&amp;TEXT(B10474,"AAMMDD")&amp;"-1")</f>
        <v/>
      </c>
    </row>
    <row r="10475" spans="20:20" hidden="1">
      <c r="T10475" t="str">
        <f>IF(C10475="","",UPPER(LEFT(SUBSTITUTE(C10475," ",""),3))&amp;"-"&amp;TEXT(B10475,"AAMMDD")&amp;"-1")</f>
        <v/>
      </c>
    </row>
    <row r="10476" spans="20:20" hidden="1">
      <c r="T10476" t="str">
        <f>IF(C10476="","",UPPER(LEFT(SUBSTITUTE(C10476," ",""),3))&amp;"-"&amp;TEXT(B10476,"AAMMDD")&amp;"-1")</f>
        <v/>
      </c>
    </row>
    <row r="10477" spans="20:20" hidden="1">
      <c r="T10477" t="str">
        <f>IF(C10477="","",UPPER(LEFT(SUBSTITUTE(C10477," ",""),3))&amp;"-"&amp;TEXT(B10477,"AAMMDD")&amp;"-1")</f>
        <v/>
      </c>
    </row>
    <row r="10478" spans="20:20" hidden="1">
      <c r="T10478" t="str">
        <f>IF(C10478="","",UPPER(LEFT(SUBSTITUTE(C10478," ",""),3))&amp;"-"&amp;TEXT(B10478,"AAMMDD")&amp;"-1")</f>
        <v/>
      </c>
    </row>
    <row r="10479" spans="20:20" hidden="1">
      <c r="T10479" t="str">
        <f>IF(C10479="","",UPPER(LEFT(SUBSTITUTE(C10479," ",""),3))&amp;"-"&amp;TEXT(B10479,"AAMMDD")&amp;"-1")</f>
        <v/>
      </c>
    </row>
    <row r="10480" spans="20:20" hidden="1">
      <c r="T10480" t="str">
        <f>IF(C10480="","",UPPER(LEFT(SUBSTITUTE(C10480," ",""),3))&amp;"-"&amp;TEXT(B10480,"AAMMDD")&amp;"-1")</f>
        <v/>
      </c>
    </row>
    <row r="10481" spans="20:20" hidden="1">
      <c r="T10481" t="str">
        <f>IF(C10481="","",UPPER(LEFT(SUBSTITUTE(C10481," ",""),3))&amp;"-"&amp;TEXT(B10481,"AAMMDD")&amp;"-1")</f>
        <v/>
      </c>
    </row>
    <row r="10482" spans="20:20" hidden="1">
      <c r="T10482" t="str">
        <f>IF(C10482="","",UPPER(LEFT(SUBSTITUTE(C10482," ",""),3))&amp;"-"&amp;TEXT(B10482,"AAMMDD")&amp;"-1")</f>
        <v/>
      </c>
    </row>
    <row r="10483" spans="20:20" hidden="1">
      <c r="T10483" t="str">
        <f>IF(C10483="","",UPPER(LEFT(SUBSTITUTE(C10483," ",""),3))&amp;"-"&amp;TEXT(B10483,"AAMMDD")&amp;"-1")</f>
        <v/>
      </c>
    </row>
    <row r="10484" spans="20:20" hidden="1">
      <c r="T10484" t="str">
        <f>IF(C10484="","",UPPER(LEFT(SUBSTITUTE(C10484," ",""),3))&amp;"-"&amp;TEXT(B10484,"AAMMDD")&amp;"-1")</f>
        <v/>
      </c>
    </row>
    <row r="10485" spans="20:20" hidden="1">
      <c r="T10485" t="str">
        <f>IF(C10485="","",UPPER(LEFT(SUBSTITUTE(C10485," ",""),3))&amp;"-"&amp;TEXT(B10485,"AAMMDD")&amp;"-1")</f>
        <v/>
      </c>
    </row>
    <row r="10486" spans="20:20" hidden="1">
      <c r="T10486" t="str">
        <f>IF(C10486="","",UPPER(LEFT(SUBSTITUTE(C10486," ",""),3))&amp;"-"&amp;TEXT(B10486,"AAMMDD")&amp;"-1")</f>
        <v/>
      </c>
    </row>
    <row r="10487" spans="20:20" hidden="1">
      <c r="T10487" t="str">
        <f>IF(C10487="","",UPPER(LEFT(SUBSTITUTE(C10487," ",""),3))&amp;"-"&amp;TEXT(B10487,"AAMMDD")&amp;"-1")</f>
        <v/>
      </c>
    </row>
    <row r="10488" spans="20:20" hidden="1">
      <c r="T10488" t="str">
        <f>IF(C10488="","",UPPER(LEFT(SUBSTITUTE(C10488," ",""),3))&amp;"-"&amp;TEXT(B10488,"AAMMDD")&amp;"-1")</f>
        <v/>
      </c>
    </row>
    <row r="10489" spans="20:20" hidden="1">
      <c r="T10489" t="str">
        <f>IF(C10489="","",UPPER(LEFT(SUBSTITUTE(C10489," ",""),3))&amp;"-"&amp;TEXT(B10489,"AAMMDD")&amp;"-1")</f>
        <v/>
      </c>
    </row>
    <row r="10490" spans="20:20" hidden="1">
      <c r="T10490" t="str">
        <f>IF(C10490="","",UPPER(LEFT(SUBSTITUTE(C10490," ",""),3))&amp;"-"&amp;TEXT(B10490,"AAMMDD")&amp;"-1")</f>
        <v/>
      </c>
    </row>
    <row r="10491" spans="20:20" hidden="1">
      <c r="T10491" t="str">
        <f>IF(C10491="","",UPPER(LEFT(SUBSTITUTE(C10491," ",""),3))&amp;"-"&amp;TEXT(B10491,"AAMMDD")&amp;"-1")</f>
        <v/>
      </c>
    </row>
    <row r="10492" spans="20:20" hidden="1">
      <c r="T10492" t="str">
        <f>IF(C10492="","",UPPER(LEFT(SUBSTITUTE(C10492," ",""),3))&amp;"-"&amp;TEXT(B10492,"AAMMDD")&amp;"-1")</f>
        <v/>
      </c>
    </row>
    <row r="10493" spans="20:20" hidden="1">
      <c r="T10493" t="str">
        <f>IF(C10493="","",UPPER(LEFT(SUBSTITUTE(C10493," ",""),3))&amp;"-"&amp;TEXT(B10493,"AAMMDD")&amp;"-1")</f>
        <v/>
      </c>
    </row>
    <row r="10494" spans="20:20" hidden="1">
      <c r="T10494" t="str">
        <f>IF(C10494="","",UPPER(LEFT(SUBSTITUTE(C10494," ",""),3))&amp;"-"&amp;TEXT(B10494,"AAMMDD")&amp;"-1")</f>
        <v/>
      </c>
    </row>
    <row r="10495" spans="20:20" hidden="1">
      <c r="T10495" t="str">
        <f>IF(C10495="","",UPPER(LEFT(SUBSTITUTE(C10495," ",""),3))&amp;"-"&amp;TEXT(B10495,"AAMMDD")&amp;"-1")</f>
        <v/>
      </c>
    </row>
    <row r="10496" spans="20:20" hidden="1">
      <c r="T10496" t="str">
        <f>IF(C10496="","",UPPER(LEFT(SUBSTITUTE(C10496," ",""),3))&amp;"-"&amp;TEXT(B10496,"AAMMDD")&amp;"-1")</f>
        <v/>
      </c>
    </row>
    <row r="10497" spans="20:20" hidden="1">
      <c r="T10497" t="str">
        <f>IF(C10497="","",UPPER(LEFT(SUBSTITUTE(C10497," ",""),3))&amp;"-"&amp;TEXT(B10497,"AAMMDD")&amp;"-1")</f>
        <v/>
      </c>
    </row>
    <row r="10498" spans="20:20" hidden="1">
      <c r="T10498" t="str">
        <f>IF(C10498="","",UPPER(LEFT(SUBSTITUTE(C10498," ",""),3))&amp;"-"&amp;TEXT(B10498,"AAMMDD")&amp;"-1")</f>
        <v/>
      </c>
    </row>
    <row r="10499" spans="20:20" hidden="1">
      <c r="T10499" t="str">
        <f>IF(C10499="","",UPPER(LEFT(SUBSTITUTE(C10499," ",""),3))&amp;"-"&amp;TEXT(B10499,"AAMMDD")&amp;"-1")</f>
        <v/>
      </c>
    </row>
    <row r="10500" spans="20:20" hidden="1">
      <c r="T10500" t="str">
        <f>IF(C10500="","",UPPER(LEFT(SUBSTITUTE(C10500," ",""),3))&amp;"-"&amp;TEXT(B10500,"AAMMDD")&amp;"-1")</f>
        <v/>
      </c>
    </row>
    <row r="10501" spans="20:20" hidden="1">
      <c r="T10501" t="str">
        <f>IF(C10501="","",UPPER(LEFT(SUBSTITUTE(C10501," ",""),3))&amp;"-"&amp;TEXT(B10501,"AAMMDD")&amp;"-1")</f>
        <v/>
      </c>
    </row>
    <row r="10502" spans="20:20" hidden="1">
      <c r="T10502" t="str">
        <f>IF(C10502="","",UPPER(LEFT(SUBSTITUTE(C10502," ",""),3))&amp;"-"&amp;TEXT(B10502,"AAMMDD")&amp;"-1")</f>
        <v/>
      </c>
    </row>
    <row r="10503" spans="20:20" hidden="1">
      <c r="T10503" t="str">
        <f>IF(C10503="","",UPPER(LEFT(SUBSTITUTE(C10503," ",""),3))&amp;"-"&amp;TEXT(B10503,"AAMMDD")&amp;"-1")</f>
        <v/>
      </c>
    </row>
    <row r="10504" spans="20:20" hidden="1">
      <c r="T10504" t="str">
        <f>IF(C10504="","",UPPER(LEFT(SUBSTITUTE(C10504," ",""),3))&amp;"-"&amp;TEXT(B10504,"AAMMDD")&amp;"-1")</f>
        <v/>
      </c>
    </row>
    <row r="10505" spans="20:20" hidden="1">
      <c r="T10505" t="str">
        <f>IF(C10505="","",UPPER(LEFT(SUBSTITUTE(C10505," ",""),3))&amp;"-"&amp;TEXT(B10505,"AAMMDD")&amp;"-1")</f>
        <v/>
      </c>
    </row>
    <row r="10506" spans="20:20" hidden="1">
      <c r="T10506" t="str">
        <f>IF(C10506="","",UPPER(LEFT(SUBSTITUTE(C10506," ",""),3))&amp;"-"&amp;TEXT(B10506,"AAMMDD")&amp;"-1")</f>
        <v/>
      </c>
    </row>
    <row r="10507" spans="20:20" hidden="1">
      <c r="T10507" t="str">
        <f>IF(C10507="","",UPPER(LEFT(SUBSTITUTE(C10507," ",""),3))&amp;"-"&amp;TEXT(B10507,"AAMMDD")&amp;"-1")</f>
        <v/>
      </c>
    </row>
    <row r="10508" spans="20:20" hidden="1">
      <c r="T10508" t="str">
        <f>IF(C10508="","",UPPER(LEFT(SUBSTITUTE(C10508," ",""),3))&amp;"-"&amp;TEXT(B10508,"AAMMDD")&amp;"-1")</f>
        <v/>
      </c>
    </row>
    <row r="10509" spans="20:20" hidden="1">
      <c r="T10509" t="str">
        <f>IF(C10509="","",UPPER(LEFT(SUBSTITUTE(C10509," ",""),3))&amp;"-"&amp;TEXT(B10509,"AAMMDD")&amp;"-1")</f>
        <v/>
      </c>
    </row>
    <row r="10510" spans="20:20" hidden="1">
      <c r="T10510" t="str">
        <f>IF(C10510="","",UPPER(LEFT(SUBSTITUTE(C10510," ",""),3))&amp;"-"&amp;TEXT(B10510,"AAMMDD")&amp;"-1")</f>
        <v/>
      </c>
    </row>
    <row r="10511" spans="20:20" hidden="1">
      <c r="T10511" t="str">
        <f>IF(C10511="","",UPPER(LEFT(SUBSTITUTE(C10511," ",""),3))&amp;"-"&amp;TEXT(B10511,"AAMMDD")&amp;"-1")</f>
        <v/>
      </c>
    </row>
    <row r="10512" spans="20:20" hidden="1">
      <c r="T10512" t="str">
        <f>IF(C10512="","",UPPER(LEFT(SUBSTITUTE(C10512," ",""),3))&amp;"-"&amp;TEXT(B10512,"AAMMDD")&amp;"-1")</f>
        <v/>
      </c>
    </row>
    <row r="10513" spans="20:20" hidden="1">
      <c r="T10513" t="str">
        <f>IF(C10513="","",UPPER(LEFT(SUBSTITUTE(C10513," ",""),3))&amp;"-"&amp;TEXT(B10513,"AAMMDD")&amp;"-1")</f>
        <v/>
      </c>
    </row>
    <row r="10514" spans="20:20" hidden="1">
      <c r="T10514" t="str">
        <f>IF(C10514="","",UPPER(LEFT(SUBSTITUTE(C10514," ",""),3))&amp;"-"&amp;TEXT(B10514,"AAMMDD")&amp;"-1")</f>
        <v/>
      </c>
    </row>
    <row r="10515" spans="20:20" hidden="1">
      <c r="T10515" t="str">
        <f>IF(C10515="","",UPPER(LEFT(SUBSTITUTE(C10515," ",""),3))&amp;"-"&amp;TEXT(B10515,"AAMMDD")&amp;"-1")</f>
        <v/>
      </c>
    </row>
    <row r="10516" spans="20:20" hidden="1">
      <c r="T10516" t="str">
        <f>IF(C10516="","",UPPER(LEFT(SUBSTITUTE(C10516," ",""),3))&amp;"-"&amp;TEXT(B10516,"AAMMDD")&amp;"-1")</f>
        <v/>
      </c>
    </row>
    <row r="10517" spans="20:20" hidden="1">
      <c r="T10517" t="str">
        <f>IF(C10517="","",UPPER(LEFT(SUBSTITUTE(C10517," ",""),3))&amp;"-"&amp;TEXT(B10517,"AAMMDD")&amp;"-1")</f>
        <v/>
      </c>
    </row>
    <row r="10518" spans="20:20" hidden="1">
      <c r="T10518" t="str">
        <f>IF(C10518="","",UPPER(LEFT(SUBSTITUTE(C10518," ",""),3))&amp;"-"&amp;TEXT(B10518,"AAMMDD")&amp;"-1")</f>
        <v/>
      </c>
    </row>
    <row r="10519" spans="20:20" hidden="1">
      <c r="T10519" t="str">
        <f>IF(C10519="","",UPPER(LEFT(SUBSTITUTE(C10519," ",""),3))&amp;"-"&amp;TEXT(B10519,"AAMMDD")&amp;"-1")</f>
        <v/>
      </c>
    </row>
    <row r="10520" spans="20:20" hidden="1">
      <c r="T10520" t="str">
        <f>IF(C10520="","",UPPER(LEFT(SUBSTITUTE(C10520," ",""),3))&amp;"-"&amp;TEXT(B10520,"AAMMDD")&amp;"-1")</f>
        <v/>
      </c>
    </row>
    <row r="10521" spans="20:20" hidden="1">
      <c r="T10521" t="str">
        <f>IF(C10521="","",UPPER(LEFT(SUBSTITUTE(C10521," ",""),3))&amp;"-"&amp;TEXT(B10521,"AAMMDD")&amp;"-1")</f>
        <v/>
      </c>
    </row>
    <row r="10522" spans="20:20" hidden="1">
      <c r="T10522" t="str">
        <f>IF(C10522="","",UPPER(LEFT(SUBSTITUTE(C10522," ",""),3))&amp;"-"&amp;TEXT(B10522,"AAMMDD")&amp;"-1")</f>
        <v/>
      </c>
    </row>
    <row r="10523" spans="20:20" hidden="1">
      <c r="T10523" t="str">
        <f>IF(C10523="","",UPPER(LEFT(SUBSTITUTE(C10523," ",""),3))&amp;"-"&amp;TEXT(B10523,"AAMMDD")&amp;"-1")</f>
        <v/>
      </c>
    </row>
    <row r="10524" spans="20:20" hidden="1">
      <c r="T10524" t="str">
        <f>IF(C10524="","",UPPER(LEFT(SUBSTITUTE(C10524," ",""),3))&amp;"-"&amp;TEXT(B10524,"AAMMDD")&amp;"-1")</f>
        <v/>
      </c>
    </row>
    <row r="10525" spans="20:20" hidden="1">
      <c r="T10525" t="str">
        <f>IF(C10525="","",UPPER(LEFT(SUBSTITUTE(C10525," ",""),3))&amp;"-"&amp;TEXT(B10525,"AAMMDD")&amp;"-1")</f>
        <v/>
      </c>
    </row>
    <row r="10526" spans="20:20" hidden="1">
      <c r="T10526" t="str">
        <f>IF(C10526="","",UPPER(LEFT(SUBSTITUTE(C10526," ",""),3))&amp;"-"&amp;TEXT(B10526,"AAMMDD")&amp;"-1")</f>
        <v/>
      </c>
    </row>
    <row r="10527" spans="20:20" hidden="1">
      <c r="T10527" t="str">
        <f>IF(C10527="","",UPPER(LEFT(SUBSTITUTE(C10527," ",""),3))&amp;"-"&amp;TEXT(B10527,"AAMMDD")&amp;"-1")</f>
        <v/>
      </c>
    </row>
    <row r="10528" spans="20:20" hidden="1">
      <c r="T10528" t="str">
        <f>IF(C10528="","",UPPER(LEFT(SUBSTITUTE(C10528," ",""),3))&amp;"-"&amp;TEXT(B10528,"AAMMDD")&amp;"-1")</f>
        <v/>
      </c>
    </row>
    <row r="10529" spans="20:20" hidden="1">
      <c r="T10529" t="str">
        <f>IF(C10529="","",UPPER(LEFT(SUBSTITUTE(C10529," ",""),3))&amp;"-"&amp;TEXT(B10529,"AAMMDD")&amp;"-1")</f>
        <v/>
      </c>
    </row>
    <row r="10530" spans="20:20" hidden="1">
      <c r="T10530" t="str">
        <f>IF(C10530="","",UPPER(LEFT(SUBSTITUTE(C10530," ",""),3))&amp;"-"&amp;TEXT(B10530,"AAMMDD")&amp;"-1")</f>
        <v/>
      </c>
    </row>
    <row r="10531" spans="20:20" hidden="1">
      <c r="T10531" t="str">
        <f>IF(C10531="","",UPPER(LEFT(SUBSTITUTE(C10531," ",""),3))&amp;"-"&amp;TEXT(B10531,"AAMMDD")&amp;"-1")</f>
        <v/>
      </c>
    </row>
    <row r="10532" spans="20:20" hidden="1">
      <c r="T10532" t="str">
        <f>IF(C10532="","",UPPER(LEFT(SUBSTITUTE(C10532," ",""),3))&amp;"-"&amp;TEXT(B10532,"AAMMDD")&amp;"-1")</f>
        <v/>
      </c>
    </row>
    <row r="10533" spans="20:20" hidden="1">
      <c r="T10533" t="str">
        <f>IF(C10533="","",UPPER(LEFT(SUBSTITUTE(C10533," ",""),3))&amp;"-"&amp;TEXT(B10533,"AAMMDD")&amp;"-1")</f>
        <v/>
      </c>
    </row>
    <row r="10534" spans="20:20" hidden="1">
      <c r="T10534" t="str">
        <f>IF(C10534="","",UPPER(LEFT(SUBSTITUTE(C10534," ",""),3))&amp;"-"&amp;TEXT(B10534,"AAMMDD")&amp;"-1")</f>
        <v/>
      </c>
    </row>
    <row r="10535" spans="20:20" hidden="1">
      <c r="T10535" t="str">
        <f>IF(C10535="","",UPPER(LEFT(SUBSTITUTE(C10535," ",""),3))&amp;"-"&amp;TEXT(B10535,"AAMMDD")&amp;"-1")</f>
        <v/>
      </c>
    </row>
    <row r="10536" spans="20:20" hidden="1">
      <c r="T10536" t="str">
        <f>IF(C10536="","",UPPER(LEFT(SUBSTITUTE(C10536," ",""),3))&amp;"-"&amp;TEXT(B10536,"AAMMDD")&amp;"-1")</f>
        <v/>
      </c>
    </row>
    <row r="10537" spans="20:20" hidden="1">
      <c r="T10537" t="str">
        <f>IF(C10537="","",UPPER(LEFT(SUBSTITUTE(C10537," ",""),3))&amp;"-"&amp;TEXT(B10537,"AAMMDD")&amp;"-1")</f>
        <v/>
      </c>
    </row>
    <row r="10538" spans="20:20" hidden="1">
      <c r="T10538" t="str">
        <f>IF(C10538="","",UPPER(LEFT(SUBSTITUTE(C10538," ",""),3))&amp;"-"&amp;TEXT(B10538,"AAMMDD")&amp;"-1")</f>
        <v/>
      </c>
    </row>
    <row r="10539" spans="20:20" hidden="1">
      <c r="T10539" t="str">
        <f>IF(C10539="","",UPPER(LEFT(SUBSTITUTE(C10539," ",""),3))&amp;"-"&amp;TEXT(B10539,"AAMMDD")&amp;"-1")</f>
        <v/>
      </c>
    </row>
    <row r="10540" spans="20:20" hidden="1">
      <c r="T10540" t="str">
        <f>IF(C10540="","",UPPER(LEFT(SUBSTITUTE(C10540," ",""),3))&amp;"-"&amp;TEXT(B10540,"AAMMDD")&amp;"-1")</f>
        <v/>
      </c>
    </row>
    <row r="10541" spans="20:20" hidden="1">
      <c r="T10541" t="str">
        <f>IF(C10541="","",UPPER(LEFT(SUBSTITUTE(C10541," ",""),3))&amp;"-"&amp;TEXT(B10541,"AAMMDD")&amp;"-1")</f>
        <v/>
      </c>
    </row>
    <row r="10542" spans="20:20" hidden="1">
      <c r="T10542" t="str">
        <f>IF(C10542="","",UPPER(LEFT(SUBSTITUTE(C10542," ",""),3))&amp;"-"&amp;TEXT(B10542,"AAMMDD")&amp;"-1")</f>
        <v/>
      </c>
    </row>
    <row r="10543" spans="20:20" hidden="1">
      <c r="T10543" t="str">
        <f>IF(C10543="","",UPPER(LEFT(SUBSTITUTE(C10543," ",""),3))&amp;"-"&amp;TEXT(B10543,"AAMMDD")&amp;"-1")</f>
        <v/>
      </c>
    </row>
    <row r="10544" spans="20:20" hidden="1">
      <c r="T10544" t="str">
        <f>IF(C10544="","",UPPER(LEFT(SUBSTITUTE(C10544," ",""),3))&amp;"-"&amp;TEXT(B10544,"AAMMDD")&amp;"-1")</f>
        <v/>
      </c>
    </row>
    <row r="10545" spans="20:20" hidden="1">
      <c r="T10545" t="str">
        <f>IF(C10545="","",UPPER(LEFT(SUBSTITUTE(C10545," ",""),3))&amp;"-"&amp;TEXT(B10545,"AAMMDD")&amp;"-1")</f>
        <v/>
      </c>
    </row>
    <row r="10546" spans="20:20" hidden="1">
      <c r="T10546" t="str">
        <f>IF(C10546="","",UPPER(LEFT(SUBSTITUTE(C10546," ",""),3))&amp;"-"&amp;TEXT(B10546,"AAMMDD")&amp;"-1")</f>
        <v/>
      </c>
    </row>
    <row r="10547" spans="20:20" hidden="1">
      <c r="T10547" t="str">
        <f>IF(C10547="","",UPPER(LEFT(SUBSTITUTE(C10547," ",""),3))&amp;"-"&amp;TEXT(B10547,"AAMMDD")&amp;"-1")</f>
        <v/>
      </c>
    </row>
    <row r="10548" spans="20:20" hidden="1">
      <c r="T10548" t="str">
        <f>IF(C10548="","",UPPER(LEFT(SUBSTITUTE(C10548," ",""),3))&amp;"-"&amp;TEXT(B10548,"AAMMDD")&amp;"-1")</f>
        <v/>
      </c>
    </row>
    <row r="10549" spans="20:20" hidden="1">
      <c r="T10549" t="str">
        <f>IF(C10549="","",UPPER(LEFT(SUBSTITUTE(C10549," ",""),3))&amp;"-"&amp;TEXT(B10549,"AAMMDD")&amp;"-1")</f>
        <v/>
      </c>
    </row>
    <row r="10550" spans="20:20" hidden="1">
      <c r="T10550" t="str">
        <f>IF(C10550="","",UPPER(LEFT(SUBSTITUTE(C10550," ",""),3))&amp;"-"&amp;TEXT(B10550,"AAMMDD")&amp;"-1")</f>
        <v/>
      </c>
    </row>
    <row r="10551" spans="20:20" hidden="1">
      <c r="T10551" t="str">
        <f>IF(C10551="","",UPPER(LEFT(SUBSTITUTE(C10551," ",""),3))&amp;"-"&amp;TEXT(B10551,"AAMMDD")&amp;"-1")</f>
        <v/>
      </c>
    </row>
    <row r="10552" spans="20:20" hidden="1">
      <c r="T10552" t="str">
        <f>IF(C10552="","",UPPER(LEFT(SUBSTITUTE(C10552," ",""),3))&amp;"-"&amp;TEXT(B10552,"AAMMDD")&amp;"-1")</f>
        <v/>
      </c>
    </row>
    <row r="10553" spans="20:20" hidden="1">
      <c r="T10553" t="str">
        <f>IF(C10553="","",UPPER(LEFT(SUBSTITUTE(C10553," ",""),3))&amp;"-"&amp;TEXT(B10553,"AAMMDD")&amp;"-1")</f>
        <v/>
      </c>
    </row>
    <row r="10554" spans="20:20" hidden="1">
      <c r="T10554" t="str">
        <f>IF(C10554="","",UPPER(LEFT(SUBSTITUTE(C10554," ",""),3))&amp;"-"&amp;TEXT(B10554,"AAMMDD")&amp;"-1")</f>
        <v/>
      </c>
    </row>
    <row r="10555" spans="20:20" hidden="1">
      <c r="T10555" t="str">
        <f>IF(C10555="","",UPPER(LEFT(SUBSTITUTE(C10555," ",""),3))&amp;"-"&amp;TEXT(B10555,"AAMMDD")&amp;"-1")</f>
        <v/>
      </c>
    </row>
    <row r="10556" spans="20:20" hidden="1">
      <c r="T10556" t="str">
        <f>IF(C10556="","",UPPER(LEFT(SUBSTITUTE(C10556," ",""),3))&amp;"-"&amp;TEXT(B10556,"AAMMDD")&amp;"-1")</f>
        <v/>
      </c>
    </row>
    <row r="10557" spans="20:20" hidden="1">
      <c r="T10557" t="str">
        <f>IF(C10557="","",UPPER(LEFT(SUBSTITUTE(C10557," ",""),3))&amp;"-"&amp;TEXT(B10557,"AAMMDD")&amp;"-1")</f>
        <v/>
      </c>
    </row>
    <row r="10558" spans="20:20" hidden="1">
      <c r="T10558" t="str">
        <f>IF(C10558="","",UPPER(LEFT(SUBSTITUTE(C10558," ",""),3))&amp;"-"&amp;TEXT(B10558,"AAMMDD")&amp;"-1")</f>
        <v/>
      </c>
    </row>
    <row r="10559" spans="20:20" hidden="1">
      <c r="T10559" t="str">
        <f>IF(C10559="","",UPPER(LEFT(SUBSTITUTE(C10559," ",""),3))&amp;"-"&amp;TEXT(B10559,"AAMMDD")&amp;"-1")</f>
        <v/>
      </c>
    </row>
    <row r="10560" spans="20:20" hidden="1">
      <c r="T10560" t="str">
        <f>IF(C10560="","",UPPER(LEFT(SUBSTITUTE(C10560," ",""),3))&amp;"-"&amp;TEXT(B10560,"AAMMDD")&amp;"-1")</f>
        <v/>
      </c>
    </row>
    <row r="10561" spans="20:20" hidden="1">
      <c r="T10561" t="str">
        <f>IF(C10561="","",UPPER(LEFT(SUBSTITUTE(C10561," ",""),3))&amp;"-"&amp;TEXT(B10561,"AAMMDD")&amp;"-1")</f>
        <v/>
      </c>
    </row>
    <row r="10562" spans="20:20" hidden="1">
      <c r="T10562" t="str">
        <f>IF(C10562="","",UPPER(LEFT(SUBSTITUTE(C10562," ",""),3))&amp;"-"&amp;TEXT(B10562,"AAMMDD")&amp;"-1")</f>
        <v/>
      </c>
    </row>
    <row r="10563" spans="20:20" hidden="1">
      <c r="T10563" t="str">
        <f>IF(C10563="","",UPPER(LEFT(SUBSTITUTE(C10563," ",""),3))&amp;"-"&amp;TEXT(B10563,"AAMMDD")&amp;"-1")</f>
        <v/>
      </c>
    </row>
    <row r="10564" spans="20:20" hidden="1">
      <c r="T10564" t="str">
        <f>IF(C10564="","",UPPER(LEFT(SUBSTITUTE(C10564," ",""),3))&amp;"-"&amp;TEXT(B10564,"AAMMDD")&amp;"-1")</f>
        <v/>
      </c>
    </row>
    <row r="10565" spans="20:20" hidden="1">
      <c r="T10565" t="str">
        <f>IF(C10565="","",UPPER(LEFT(SUBSTITUTE(C10565," ",""),3))&amp;"-"&amp;TEXT(B10565,"AAMMDD")&amp;"-1")</f>
        <v/>
      </c>
    </row>
    <row r="10566" spans="20:20" hidden="1">
      <c r="T10566" t="str">
        <f>IF(C10566="","",UPPER(LEFT(SUBSTITUTE(C10566," ",""),3))&amp;"-"&amp;TEXT(B10566,"AAMMDD")&amp;"-1")</f>
        <v/>
      </c>
    </row>
    <row r="10567" spans="20:20" hidden="1">
      <c r="T10567" t="str">
        <f>IF(C10567="","",UPPER(LEFT(SUBSTITUTE(C10567," ",""),3))&amp;"-"&amp;TEXT(B10567,"AAMMDD")&amp;"-1")</f>
        <v/>
      </c>
    </row>
    <row r="10568" spans="20:20" hidden="1">
      <c r="T10568" t="str">
        <f>IF(C10568="","",UPPER(LEFT(SUBSTITUTE(C10568," ",""),3))&amp;"-"&amp;TEXT(B10568,"AAMMDD")&amp;"-1")</f>
        <v/>
      </c>
    </row>
    <row r="10569" spans="20:20" hidden="1">
      <c r="T10569" t="str">
        <f>IF(C10569="","",UPPER(LEFT(SUBSTITUTE(C10569," ",""),3))&amp;"-"&amp;TEXT(B10569,"AAMMDD")&amp;"-1")</f>
        <v/>
      </c>
    </row>
    <row r="10570" spans="20:20" hidden="1">
      <c r="T10570" t="str">
        <f>IF(C10570="","",UPPER(LEFT(SUBSTITUTE(C10570," ",""),3))&amp;"-"&amp;TEXT(B10570,"AAMMDD")&amp;"-1")</f>
        <v/>
      </c>
    </row>
    <row r="10571" spans="20:20" hidden="1">
      <c r="T10571" t="str">
        <f>IF(C10571="","",UPPER(LEFT(SUBSTITUTE(C10571," ",""),3))&amp;"-"&amp;TEXT(B10571,"AAMMDD")&amp;"-1")</f>
        <v/>
      </c>
    </row>
    <row r="10572" spans="20:20" hidden="1">
      <c r="T10572" t="str">
        <f>IF(C10572="","",UPPER(LEFT(SUBSTITUTE(C10572," ",""),3))&amp;"-"&amp;TEXT(B10572,"AAMMDD")&amp;"-1")</f>
        <v/>
      </c>
    </row>
    <row r="10573" spans="20:20" hidden="1">
      <c r="T10573" t="str">
        <f>IF(C10573="","",UPPER(LEFT(SUBSTITUTE(C10573," ",""),3))&amp;"-"&amp;TEXT(B10573,"AAMMDD")&amp;"-1")</f>
        <v/>
      </c>
    </row>
    <row r="10574" spans="20:20" hidden="1">
      <c r="T10574" t="str">
        <f>IF(C10574="","",UPPER(LEFT(SUBSTITUTE(C10574," ",""),3))&amp;"-"&amp;TEXT(B10574,"AAMMDD")&amp;"-1")</f>
        <v/>
      </c>
    </row>
    <row r="10575" spans="20:20" hidden="1">
      <c r="T10575" t="str">
        <f>IF(C10575="","",UPPER(LEFT(SUBSTITUTE(C10575," ",""),3))&amp;"-"&amp;TEXT(B10575,"AAMMDD")&amp;"-1")</f>
        <v/>
      </c>
    </row>
    <row r="10576" spans="20:20" hidden="1">
      <c r="T10576" t="str">
        <f>IF(C10576="","",UPPER(LEFT(SUBSTITUTE(C10576," ",""),3))&amp;"-"&amp;TEXT(B10576,"AAMMDD")&amp;"-1")</f>
        <v/>
      </c>
    </row>
    <row r="10577" spans="20:20" hidden="1">
      <c r="T10577" t="str">
        <f>IF(C10577="","",UPPER(LEFT(SUBSTITUTE(C10577," ",""),3))&amp;"-"&amp;TEXT(B10577,"AAMMDD")&amp;"-1")</f>
        <v/>
      </c>
    </row>
    <row r="10578" spans="20:20" hidden="1">
      <c r="T10578" t="str">
        <f>IF(C10578="","",UPPER(LEFT(SUBSTITUTE(C10578," ",""),3))&amp;"-"&amp;TEXT(B10578,"AAMMDD")&amp;"-1")</f>
        <v/>
      </c>
    </row>
    <row r="10579" spans="20:20" hidden="1">
      <c r="T10579" t="str">
        <f>IF(C10579="","",UPPER(LEFT(SUBSTITUTE(C10579," ",""),3))&amp;"-"&amp;TEXT(B10579,"AAMMDD")&amp;"-1")</f>
        <v/>
      </c>
    </row>
    <row r="10580" spans="20:20" hidden="1">
      <c r="T10580" t="str">
        <f>IF(C10580="","",UPPER(LEFT(SUBSTITUTE(C10580," ",""),3))&amp;"-"&amp;TEXT(B10580,"AAMMDD")&amp;"-1")</f>
        <v/>
      </c>
    </row>
    <row r="10581" spans="20:20" hidden="1">
      <c r="T10581" t="str">
        <f>IF(C10581="","",UPPER(LEFT(SUBSTITUTE(C10581," ",""),3))&amp;"-"&amp;TEXT(B10581,"AAMMDD")&amp;"-1")</f>
        <v/>
      </c>
    </row>
    <row r="10582" spans="20:20" hidden="1">
      <c r="T10582" t="str">
        <f>IF(C10582="","",UPPER(LEFT(SUBSTITUTE(C10582," ",""),3))&amp;"-"&amp;TEXT(B10582,"AAMMDD")&amp;"-1")</f>
        <v/>
      </c>
    </row>
    <row r="10583" spans="20:20" hidden="1">
      <c r="T10583" t="str">
        <f>IF(C10583="","",UPPER(LEFT(SUBSTITUTE(C10583," ",""),3))&amp;"-"&amp;TEXT(B10583,"AAMMDD")&amp;"-1")</f>
        <v/>
      </c>
    </row>
    <row r="10584" spans="20:20" hidden="1">
      <c r="T10584" t="str">
        <f>IF(C10584="","",UPPER(LEFT(SUBSTITUTE(C10584," ",""),3))&amp;"-"&amp;TEXT(B10584,"AAMMDD")&amp;"-1")</f>
        <v/>
      </c>
    </row>
    <row r="10585" spans="20:20" hidden="1">
      <c r="T10585" t="str">
        <f>IF(C10585="","",UPPER(LEFT(SUBSTITUTE(C10585," ",""),3))&amp;"-"&amp;TEXT(B10585,"AAMMDD")&amp;"-1")</f>
        <v/>
      </c>
    </row>
    <row r="10586" spans="20:20" hidden="1">
      <c r="T10586" t="str">
        <f>IF(C10586="","",UPPER(LEFT(SUBSTITUTE(C10586," ",""),3))&amp;"-"&amp;TEXT(B10586,"AAMMDD")&amp;"-1")</f>
        <v/>
      </c>
    </row>
    <row r="10587" spans="20:20" hidden="1">
      <c r="T10587" t="str">
        <f>IF(C10587="","",UPPER(LEFT(SUBSTITUTE(C10587," ",""),3))&amp;"-"&amp;TEXT(B10587,"AAMMDD")&amp;"-1")</f>
        <v/>
      </c>
    </row>
    <row r="10588" spans="20:20" hidden="1">
      <c r="T10588" t="str">
        <f>IF(C10588="","",UPPER(LEFT(SUBSTITUTE(C10588," ",""),3))&amp;"-"&amp;TEXT(B10588,"AAMMDD")&amp;"-1")</f>
        <v/>
      </c>
    </row>
    <row r="10589" spans="20:20" hidden="1">
      <c r="T10589" t="str">
        <f>IF(C10589="","",UPPER(LEFT(SUBSTITUTE(C10589," ",""),3))&amp;"-"&amp;TEXT(B10589,"AAMMDD")&amp;"-1")</f>
        <v/>
      </c>
    </row>
    <row r="10590" spans="20:20" hidden="1">
      <c r="T10590" t="str">
        <f>IF(C10590="","",UPPER(LEFT(SUBSTITUTE(C10590," ",""),3))&amp;"-"&amp;TEXT(B10590,"AAMMDD")&amp;"-1")</f>
        <v/>
      </c>
    </row>
    <row r="10591" spans="20:20" hidden="1">
      <c r="T10591" t="str">
        <f>IF(C10591="","",UPPER(LEFT(SUBSTITUTE(C10591," ",""),3))&amp;"-"&amp;TEXT(B10591,"AAMMDD")&amp;"-1")</f>
        <v/>
      </c>
    </row>
    <row r="10592" spans="20:20" hidden="1">
      <c r="T10592" t="str">
        <f>IF(C10592="","",UPPER(LEFT(SUBSTITUTE(C10592," ",""),3))&amp;"-"&amp;TEXT(B10592,"AAMMDD")&amp;"-1")</f>
        <v/>
      </c>
    </row>
    <row r="10593" spans="20:20" hidden="1">
      <c r="T10593" t="str">
        <f>IF(C10593="","",UPPER(LEFT(SUBSTITUTE(C10593," ",""),3))&amp;"-"&amp;TEXT(B10593,"AAMMDD")&amp;"-1")</f>
        <v/>
      </c>
    </row>
    <row r="10594" spans="20:20" hidden="1">
      <c r="T10594" t="str">
        <f>IF(C10594="","",UPPER(LEFT(SUBSTITUTE(C10594," ",""),3))&amp;"-"&amp;TEXT(B10594,"AAMMDD")&amp;"-1")</f>
        <v/>
      </c>
    </row>
    <row r="10595" spans="20:20" hidden="1">
      <c r="T10595" t="str">
        <f>IF(C10595="","",UPPER(LEFT(SUBSTITUTE(C10595," ",""),3))&amp;"-"&amp;TEXT(B10595,"AAMMDD")&amp;"-1")</f>
        <v/>
      </c>
    </row>
    <row r="10596" spans="20:20" hidden="1">
      <c r="T10596" t="str">
        <f>IF(C10596="","",UPPER(LEFT(SUBSTITUTE(C10596," ",""),3))&amp;"-"&amp;TEXT(B10596,"AAMMDD")&amp;"-1")</f>
        <v/>
      </c>
    </row>
    <row r="10597" spans="20:20" hidden="1">
      <c r="T10597" t="str">
        <f>IF(C10597="","",UPPER(LEFT(SUBSTITUTE(C10597," ",""),3))&amp;"-"&amp;TEXT(B10597,"AAMMDD")&amp;"-1")</f>
        <v/>
      </c>
    </row>
    <row r="10598" spans="20:20" hidden="1">
      <c r="T10598" t="str">
        <f>IF(C10598="","",UPPER(LEFT(SUBSTITUTE(C10598," ",""),3))&amp;"-"&amp;TEXT(B10598,"AAMMDD")&amp;"-1")</f>
        <v/>
      </c>
    </row>
    <row r="10599" spans="20:20" hidden="1">
      <c r="T10599" t="str">
        <f>IF(C10599="","",UPPER(LEFT(SUBSTITUTE(C10599," ",""),3))&amp;"-"&amp;TEXT(B10599,"AAMMDD")&amp;"-1")</f>
        <v/>
      </c>
    </row>
    <row r="10600" spans="20:20" hidden="1">
      <c r="T10600" t="str">
        <f>IF(C10600="","",UPPER(LEFT(SUBSTITUTE(C10600," ",""),3))&amp;"-"&amp;TEXT(B10600,"AAMMDD")&amp;"-1")</f>
        <v/>
      </c>
    </row>
    <row r="10601" spans="20:20" hidden="1">
      <c r="T10601" t="str">
        <f>IF(C10601="","",UPPER(LEFT(SUBSTITUTE(C10601," ",""),3))&amp;"-"&amp;TEXT(B10601,"AAMMDD")&amp;"-1")</f>
        <v/>
      </c>
    </row>
    <row r="10602" spans="20:20" hidden="1">
      <c r="T10602" t="str">
        <f>IF(C10602="","",UPPER(LEFT(SUBSTITUTE(C10602," ",""),3))&amp;"-"&amp;TEXT(B10602,"AAMMDD")&amp;"-1")</f>
        <v/>
      </c>
    </row>
    <row r="10603" spans="20:20" hidden="1">
      <c r="T10603" t="str">
        <f>IF(C10603="","",UPPER(LEFT(SUBSTITUTE(C10603," ",""),3))&amp;"-"&amp;TEXT(B10603,"AAMMDD")&amp;"-1")</f>
        <v/>
      </c>
    </row>
    <row r="10604" spans="20:20" hidden="1">
      <c r="T10604" t="str">
        <f>IF(C10604="","",UPPER(LEFT(SUBSTITUTE(C10604," ",""),3))&amp;"-"&amp;TEXT(B10604,"AAMMDD")&amp;"-1")</f>
        <v/>
      </c>
    </row>
    <row r="10605" spans="20:20" hidden="1">
      <c r="T10605" t="str">
        <f>IF(C10605="","",UPPER(LEFT(SUBSTITUTE(C10605," ",""),3))&amp;"-"&amp;TEXT(B10605,"AAMMDD")&amp;"-1")</f>
        <v/>
      </c>
    </row>
    <row r="10606" spans="20:20" hidden="1">
      <c r="T10606" t="str">
        <f>IF(C10606="","",UPPER(LEFT(SUBSTITUTE(C10606," ",""),3))&amp;"-"&amp;TEXT(B10606,"AAMMDD")&amp;"-1")</f>
        <v/>
      </c>
    </row>
    <row r="10607" spans="20:20" hidden="1">
      <c r="T10607" t="str">
        <f>IF(C10607="","",UPPER(LEFT(SUBSTITUTE(C10607," ",""),3))&amp;"-"&amp;TEXT(B10607,"AAMMDD")&amp;"-1")</f>
        <v/>
      </c>
    </row>
    <row r="10608" spans="20:20" hidden="1">
      <c r="T10608" t="str">
        <f>IF(C10608="","",UPPER(LEFT(SUBSTITUTE(C10608," ",""),3))&amp;"-"&amp;TEXT(B10608,"AAMMDD")&amp;"-1")</f>
        <v/>
      </c>
    </row>
    <row r="10609" spans="20:20" hidden="1">
      <c r="T10609" t="str">
        <f>IF(C10609="","",UPPER(LEFT(SUBSTITUTE(C10609," ",""),3))&amp;"-"&amp;TEXT(B10609,"AAMMDD")&amp;"-1")</f>
        <v/>
      </c>
    </row>
    <row r="10610" spans="20:20" hidden="1">
      <c r="T10610" t="str">
        <f>IF(C10610="","",UPPER(LEFT(SUBSTITUTE(C10610," ",""),3))&amp;"-"&amp;TEXT(B10610,"AAMMDD")&amp;"-1")</f>
        <v/>
      </c>
    </row>
    <row r="10611" spans="20:20" hidden="1">
      <c r="T10611" t="str">
        <f>IF(C10611="","",UPPER(LEFT(SUBSTITUTE(C10611," ",""),3))&amp;"-"&amp;TEXT(B10611,"AAMMDD")&amp;"-1")</f>
        <v/>
      </c>
    </row>
    <row r="10612" spans="20:20" hidden="1">
      <c r="T10612" t="str">
        <f>IF(C10612="","",UPPER(LEFT(SUBSTITUTE(C10612," ",""),3))&amp;"-"&amp;TEXT(B10612,"AAMMDD")&amp;"-1")</f>
        <v/>
      </c>
    </row>
    <row r="10613" spans="20:20" hidden="1">
      <c r="T10613" t="str">
        <f>IF(C10613="","",UPPER(LEFT(SUBSTITUTE(C10613," ",""),3))&amp;"-"&amp;TEXT(B10613,"AAMMDD")&amp;"-1")</f>
        <v/>
      </c>
    </row>
    <row r="10614" spans="20:20" hidden="1">
      <c r="T10614" t="str">
        <f>IF(C10614="","",UPPER(LEFT(SUBSTITUTE(C10614," ",""),3))&amp;"-"&amp;TEXT(B10614,"AAMMDD")&amp;"-1")</f>
        <v/>
      </c>
    </row>
    <row r="10615" spans="20:20" hidden="1">
      <c r="T10615" t="str">
        <f>IF(C10615="","",UPPER(LEFT(SUBSTITUTE(C10615," ",""),3))&amp;"-"&amp;TEXT(B10615,"AAMMDD")&amp;"-1")</f>
        <v/>
      </c>
    </row>
    <row r="10616" spans="20:20" hidden="1">
      <c r="T10616" t="str">
        <f>IF(C10616="","",UPPER(LEFT(SUBSTITUTE(C10616," ",""),3))&amp;"-"&amp;TEXT(B10616,"AAMMDD")&amp;"-1")</f>
        <v/>
      </c>
    </row>
    <row r="10617" spans="20:20" hidden="1">
      <c r="T10617" t="str">
        <f>IF(C10617="","",UPPER(LEFT(SUBSTITUTE(C10617," ",""),3))&amp;"-"&amp;TEXT(B10617,"AAMMDD")&amp;"-1")</f>
        <v/>
      </c>
    </row>
    <row r="10618" spans="20:20" hidden="1">
      <c r="T10618" t="str">
        <f>IF(C10618="","",UPPER(LEFT(SUBSTITUTE(C10618," ",""),3))&amp;"-"&amp;TEXT(B10618,"AAMMDD")&amp;"-1")</f>
        <v/>
      </c>
    </row>
    <row r="10619" spans="20:20" hidden="1">
      <c r="T10619" t="str">
        <f>IF(C10619="","",UPPER(LEFT(SUBSTITUTE(C10619," ",""),3))&amp;"-"&amp;TEXT(B10619,"AAMMDD")&amp;"-1")</f>
        <v/>
      </c>
    </row>
    <row r="10620" spans="20:20" hidden="1">
      <c r="T10620" t="str">
        <f>IF(C10620="","",UPPER(LEFT(SUBSTITUTE(C10620," ",""),3))&amp;"-"&amp;TEXT(B10620,"AAMMDD")&amp;"-1")</f>
        <v/>
      </c>
    </row>
    <row r="10621" spans="20:20" hidden="1">
      <c r="T10621" t="str">
        <f>IF(C10621="","",UPPER(LEFT(SUBSTITUTE(C10621," ",""),3))&amp;"-"&amp;TEXT(B10621,"AAMMDD")&amp;"-1")</f>
        <v/>
      </c>
    </row>
    <row r="10622" spans="20:20" hidden="1">
      <c r="T10622" t="str">
        <f>IF(C10622="","",UPPER(LEFT(SUBSTITUTE(C10622," ",""),3))&amp;"-"&amp;TEXT(B10622,"AAMMDD")&amp;"-1")</f>
        <v/>
      </c>
    </row>
    <row r="10623" spans="20:20" hidden="1">
      <c r="T10623" t="str">
        <f>IF(C10623="","",UPPER(LEFT(SUBSTITUTE(C10623," ",""),3))&amp;"-"&amp;TEXT(B10623,"AAMMDD")&amp;"-1")</f>
        <v/>
      </c>
    </row>
    <row r="10624" spans="20:20" hidden="1">
      <c r="T10624" t="str">
        <f>IF(C10624="","",UPPER(LEFT(SUBSTITUTE(C10624," ",""),3))&amp;"-"&amp;TEXT(B10624,"AAMMDD")&amp;"-1")</f>
        <v/>
      </c>
    </row>
    <row r="10625" spans="20:20" hidden="1">
      <c r="T10625" t="str">
        <f>IF(C10625="","",UPPER(LEFT(SUBSTITUTE(C10625," ",""),3))&amp;"-"&amp;TEXT(B10625,"AAMMDD")&amp;"-1")</f>
        <v/>
      </c>
    </row>
    <row r="10626" spans="20:20" hidden="1">
      <c r="T10626" t="str">
        <f>IF(C10626="","",UPPER(LEFT(SUBSTITUTE(C10626," ",""),3))&amp;"-"&amp;TEXT(B10626,"AAMMDD")&amp;"-1")</f>
        <v/>
      </c>
    </row>
    <row r="10627" spans="20:20" hidden="1">
      <c r="T10627" t="str">
        <f>IF(C10627="","",UPPER(LEFT(SUBSTITUTE(C10627," ",""),3))&amp;"-"&amp;TEXT(B10627,"AAMMDD")&amp;"-1")</f>
        <v/>
      </c>
    </row>
    <row r="10628" spans="20:20" hidden="1">
      <c r="T10628" t="str">
        <f>IF(C10628="","",UPPER(LEFT(SUBSTITUTE(C10628," ",""),3))&amp;"-"&amp;TEXT(B10628,"AAMMDD")&amp;"-1")</f>
        <v/>
      </c>
    </row>
    <row r="10629" spans="20:20" hidden="1">
      <c r="T10629" t="str">
        <f>IF(C10629="","",UPPER(LEFT(SUBSTITUTE(C10629," ",""),3))&amp;"-"&amp;TEXT(B10629,"AAMMDD")&amp;"-1")</f>
        <v/>
      </c>
    </row>
    <row r="10630" spans="20:20" hidden="1">
      <c r="T10630" t="str">
        <f>IF(C10630="","",UPPER(LEFT(SUBSTITUTE(C10630," ",""),3))&amp;"-"&amp;TEXT(B10630,"AAMMDD")&amp;"-1")</f>
        <v/>
      </c>
    </row>
    <row r="10631" spans="20:20" hidden="1">
      <c r="T10631" t="str">
        <f>IF(C10631="","",UPPER(LEFT(SUBSTITUTE(C10631," ",""),3))&amp;"-"&amp;TEXT(B10631,"AAMMDD")&amp;"-1")</f>
        <v/>
      </c>
    </row>
    <row r="10632" spans="20:20" hidden="1">
      <c r="T10632" t="str">
        <f>IF(C10632="","",UPPER(LEFT(SUBSTITUTE(C10632," ",""),3))&amp;"-"&amp;TEXT(B10632,"AAMMDD")&amp;"-1")</f>
        <v/>
      </c>
    </row>
    <row r="10633" spans="20:20" hidden="1">
      <c r="T10633" t="str">
        <f>IF(C10633="","",UPPER(LEFT(SUBSTITUTE(C10633," ",""),3))&amp;"-"&amp;TEXT(B10633,"AAMMDD")&amp;"-1")</f>
        <v/>
      </c>
    </row>
    <row r="10634" spans="20:20" hidden="1">
      <c r="T10634" t="str">
        <f>IF(C10634="","",UPPER(LEFT(SUBSTITUTE(C10634," ",""),3))&amp;"-"&amp;TEXT(B10634,"AAMMDD")&amp;"-1")</f>
        <v/>
      </c>
    </row>
    <row r="10635" spans="20:20" hidden="1">
      <c r="T10635" t="str">
        <f>IF(C10635="","",UPPER(LEFT(SUBSTITUTE(C10635," ",""),3))&amp;"-"&amp;TEXT(B10635,"AAMMDD")&amp;"-1")</f>
        <v/>
      </c>
    </row>
    <row r="10636" spans="20:20" hidden="1">
      <c r="T10636" t="str">
        <f>IF(C10636="","",UPPER(LEFT(SUBSTITUTE(C10636," ",""),3))&amp;"-"&amp;TEXT(B10636,"AAMMDD")&amp;"-1")</f>
        <v/>
      </c>
    </row>
    <row r="10637" spans="20:20" hidden="1">
      <c r="T10637" t="str">
        <f>IF(C10637="","",UPPER(LEFT(SUBSTITUTE(C10637," ",""),3))&amp;"-"&amp;TEXT(B10637,"AAMMDD")&amp;"-1")</f>
        <v/>
      </c>
    </row>
    <row r="10638" spans="20:20" hidden="1">
      <c r="T10638" t="str">
        <f>IF(C10638="","",UPPER(LEFT(SUBSTITUTE(C10638," ",""),3))&amp;"-"&amp;TEXT(B10638,"AAMMDD")&amp;"-1")</f>
        <v/>
      </c>
    </row>
    <row r="10639" spans="20:20" hidden="1">
      <c r="T10639" t="str">
        <f>IF(C10639="","",UPPER(LEFT(SUBSTITUTE(C10639," ",""),3))&amp;"-"&amp;TEXT(B10639,"AAMMDD")&amp;"-1")</f>
        <v/>
      </c>
    </row>
    <row r="10640" spans="20:20" hidden="1">
      <c r="T10640" t="str">
        <f>IF(C10640="","",UPPER(LEFT(SUBSTITUTE(C10640," ",""),3))&amp;"-"&amp;TEXT(B10640,"AAMMDD")&amp;"-1")</f>
        <v/>
      </c>
    </row>
    <row r="10641" spans="20:20" hidden="1">
      <c r="T10641" t="str">
        <f>IF(C10641="","",UPPER(LEFT(SUBSTITUTE(C10641," ",""),3))&amp;"-"&amp;TEXT(B10641,"AAMMDD")&amp;"-1")</f>
        <v/>
      </c>
    </row>
    <row r="10642" spans="20:20" hidden="1">
      <c r="T10642" t="str">
        <f>IF(C10642="","",UPPER(LEFT(SUBSTITUTE(C10642," ",""),3))&amp;"-"&amp;TEXT(B10642,"AAMMDD")&amp;"-1")</f>
        <v/>
      </c>
    </row>
    <row r="10643" spans="20:20" hidden="1">
      <c r="T10643" t="str">
        <f>IF(C10643="","",UPPER(LEFT(SUBSTITUTE(C10643," ",""),3))&amp;"-"&amp;TEXT(B10643,"AAMMDD")&amp;"-1")</f>
        <v/>
      </c>
    </row>
    <row r="10644" spans="20:20" hidden="1">
      <c r="T10644" t="str">
        <f>IF(C10644="","",UPPER(LEFT(SUBSTITUTE(C10644," ",""),3))&amp;"-"&amp;TEXT(B10644,"AAMMDD")&amp;"-1")</f>
        <v/>
      </c>
    </row>
    <row r="10645" spans="20:20" hidden="1">
      <c r="T10645" t="str">
        <f>IF(C10645="","",UPPER(LEFT(SUBSTITUTE(C10645," ",""),3))&amp;"-"&amp;TEXT(B10645,"AAMMDD")&amp;"-1")</f>
        <v/>
      </c>
    </row>
    <row r="10646" spans="20:20" hidden="1">
      <c r="T10646" t="str">
        <f>IF(C10646="","",UPPER(LEFT(SUBSTITUTE(C10646," ",""),3))&amp;"-"&amp;TEXT(B10646,"AAMMDD")&amp;"-1")</f>
        <v/>
      </c>
    </row>
    <row r="10647" spans="20:20" hidden="1">
      <c r="T10647" t="str">
        <f>IF(C10647="","",UPPER(LEFT(SUBSTITUTE(C10647," ",""),3))&amp;"-"&amp;TEXT(B10647,"AAMMDD")&amp;"-1")</f>
        <v/>
      </c>
    </row>
    <row r="10648" spans="20:20" hidden="1">
      <c r="T10648" t="str">
        <f>IF(C10648="","",UPPER(LEFT(SUBSTITUTE(C10648," ",""),3))&amp;"-"&amp;TEXT(B10648,"AAMMDD")&amp;"-1")</f>
        <v/>
      </c>
    </row>
    <row r="10649" spans="20:20" hidden="1">
      <c r="T10649" t="str">
        <f>IF(C10649="","",UPPER(LEFT(SUBSTITUTE(C10649," ",""),3))&amp;"-"&amp;TEXT(B10649,"AAMMDD")&amp;"-1")</f>
        <v/>
      </c>
    </row>
    <row r="10650" spans="20:20" hidden="1">
      <c r="T10650" t="str">
        <f>IF(C10650="","",UPPER(LEFT(SUBSTITUTE(C10650," ",""),3))&amp;"-"&amp;TEXT(B10650,"AAMMDD")&amp;"-1")</f>
        <v/>
      </c>
    </row>
    <row r="10651" spans="20:20" hidden="1">
      <c r="T10651" t="str">
        <f>IF(C10651="","",UPPER(LEFT(SUBSTITUTE(C10651," ",""),3))&amp;"-"&amp;TEXT(B10651,"AAMMDD")&amp;"-1")</f>
        <v/>
      </c>
    </row>
    <row r="10652" spans="20:20" hidden="1">
      <c r="T10652" t="str">
        <f>IF(C10652="","",UPPER(LEFT(SUBSTITUTE(C10652," ",""),3))&amp;"-"&amp;TEXT(B10652,"AAMMDD")&amp;"-1")</f>
        <v/>
      </c>
    </row>
    <row r="10653" spans="20:20" hidden="1">
      <c r="T10653" t="str">
        <f>IF(C10653="","",UPPER(LEFT(SUBSTITUTE(C10653," ",""),3))&amp;"-"&amp;TEXT(B10653,"AAMMDD")&amp;"-1")</f>
        <v/>
      </c>
    </row>
    <row r="10654" spans="20:20" hidden="1">
      <c r="T10654" t="str">
        <f>IF(C10654="","",UPPER(LEFT(SUBSTITUTE(C10654," ",""),3))&amp;"-"&amp;TEXT(B10654,"AAMMDD")&amp;"-1")</f>
        <v/>
      </c>
    </row>
    <row r="10655" spans="20:20" hidden="1">
      <c r="T10655" t="str">
        <f>IF(C10655="","",UPPER(LEFT(SUBSTITUTE(C10655," ",""),3))&amp;"-"&amp;TEXT(B10655,"AAMMDD")&amp;"-1")</f>
        <v/>
      </c>
    </row>
    <row r="10656" spans="20:20" hidden="1">
      <c r="T10656" t="str">
        <f>IF(C10656="","",UPPER(LEFT(SUBSTITUTE(C10656," ",""),3))&amp;"-"&amp;TEXT(B10656,"AAMMDD")&amp;"-1")</f>
        <v/>
      </c>
    </row>
    <row r="10657" spans="20:20" hidden="1">
      <c r="T10657" t="str">
        <f>IF(C10657="","",UPPER(LEFT(SUBSTITUTE(C10657," ",""),3))&amp;"-"&amp;TEXT(B10657,"AAMMDD")&amp;"-1")</f>
        <v/>
      </c>
    </row>
    <row r="10658" spans="20:20" hidden="1">
      <c r="T10658" t="str">
        <f>IF(C10658="","",UPPER(LEFT(SUBSTITUTE(C10658," ",""),3))&amp;"-"&amp;TEXT(B10658,"AAMMDD")&amp;"-1")</f>
        <v/>
      </c>
    </row>
    <row r="10659" spans="20:20" hidden="1">
      <c r="T10659" t="str">
        <f>IF(C10659="","",UPPER(LEFT(SUBSTITUTE(C10659," ",""),3))&amp;"-"&amp;TEXT(B10659,"AAMMDD")&amp;"-1")</f>
        <v/>
      </c>
    </row>
    <row r="10660" spans="20:20" hidden="1">
      <c r="T10660" t="str">
        <f>IF(C10660="","",UPPER(LEFT(SUBSTITUTE(C10660," ",""),3))&amp;"-"&amp;TEXT(B10660,"AAMMDD")&amp;"-1")</f>
        <v/>
      </c>
    </row>
    <row r="10661" spans="20:20" hidden="1">
      <c r="T10661" t="str">
        <f>IF(C10661="","",UPPER(LEFT(SUBSTITUTE(C10661," ",""),3))&amp;"-"&amp;TEXT(B10661,"AAMMDD")&amp;"-1")</f>
        <v/>
      </c>
    </row>
    <row r="10662" spans="20:20" hidden="1">
      <c r="T10662" t="str">
        <f>IF(C10662="","",UPPER(LEFT(SUBSTITUTE(C10662," ",""),3))&amp;"-"&amp;TEXT(B10662,"AAMMDD")&amp;"-1")</f>
        <v/>
      </c>
    </row>
    <row r="10663" spans="20:20" hidden="1">
      <c r="T10663" t="str">
        <f>IF(C10663="","",UPPER(LEFT(SUBSTITUTE(C10663," ",""),3))&amp;"-"&amp;TEXT(B10663,"AAMMDD")&amp;"-1")</f>
        <v/>
      </c>
    </row>
    <row r="10664" spans="20:20" hidden="1">
      <c r="T10664" t="str">
        <f>IF(C10664="","",UPPER(LEFT(SUBSTITUTE(C10664," ",""),3))&amp;"-"&amp;TEXT(B10664,"AAMMDD")&amp;"-1")</f>
        <v/>
      </c>
    </row>
    <row r="10665" spans="20:20" hidden="1">
      <c r="T10665" t="str">
        <f>IF(C10665="","",UPPER(LEFT(SUBSTITUTE(C10665," ",""),3))&amp;"-"&amp;TEXT(B10665,"AAMMDD")&amp;"-1")</f>
        <v/>
      </c>
    </row>
    <row r="10666" spans="20:20" hidden="1">
      <c r="T10666" t="str">
        <f>IF(C10666="","",UPPER(LEFT(SUBSTITUTE(C10666," ",""),3))&amp;"-"&amp;TEXT(B10666,"AAMMDD")&amp;"-1")</f>
        <v/>
      </c>
    </row>
    <row r="10667" spans="20:20" hidden="1">
      <c r="T10667" t="str">
        <f>IF(C10667="","",UPPER(LEFT(SUBSTITUTE(C10667," ",""),3))&amp;"-"&amp;TEXT(B10667,"AAMMDD")&amp;"-1")</f>
        <v/>
      </c>
    </row>
    <row r="10668" spans="20:20" hidden="1">
      <c r="T10668" t="str">
        <f>IF(C10668="","",UPPER(LEFT(SUBSTITUTE(C10668," ",""),3))&amp;"-"&amp;TEXT(B10668,"AAMMDD")&amp;"-1")</f>
        <v/>
      </c>
    </row>
    <row r="10669" spans="20:20" hidden="1">
      <c r="T10669" t="str">
        <f>IF(C10669="","",UPPER(LEFT(SUBSTITUTE(C10669," ",""),3))&amp;"-"&amp;TEXT(B10669,"AAMMDD")&amp;"-1")</f>
        <v/>
      </c>
    </row>
    <row r="10670" spans="20:20" hidden="1">
      <c r="T10670" t="str">
        <f>IF(C10670="","",UPPER(LEFT(SUBSTITUTE(C10670," ",""),3))&amp;"-"&amp;TEXT(B10670,"AAMMDD")&amp;"-1")</f>
        <v/>
      </c>
    </row>
    <row r="10671" spans="20:20" hidden="1">
      <c r="T10671" t="str">
        <f>IF(C10671="","",UPPER(LEFT(SUBSTITUTE(C10671," ",""),3))&amp;"-"&amp;TEXT(B10671,"AAMMDD")&amp;"-1")</f>
        <v/>
      </c>
    </row>
    <row r="10672" spans="20:20" hidden="1">
      <c r="T10672" t="str">
        <f>IF(C10672="","",UPPER(LEFT(SUBSTITUTE(C10672," ",""),3))&amp;"-"&amp;TEXT(B10672,"AAMMDD")&amp;"-1")</f>
        <v/>
      </c>
    </row>
    <row r="10673" spans="20:20" hidden="1">
      <c r="T10673" t="str">
        <f>IF(C10673="","",UPPER(LEFT(SUBSTITUTE(C10673," ",""),3))&amp;"-"&amp;TEXT(B10673,"AAMMDD")&amp;"-1")</f>
        <v/>
      </c>
    </row>
    <row r="10674" spans="20:20" hidden="1">
      <c r="T10674" t="str">
        <f>IF(C10674="","",UPPER(LEFT(SUBSTITUTE(C10674," ",""),3))&amp;"-"&amp;TEXT(B10674,"AAMMDD")&amp;"-1")</f>
        <v/>
      </c>
    </row>
    <row r="10675" spans="20:20" hidden="1">
      <c r="T10675" t="str">
        <f>IF(C10675="","",UPPER(LEFT(SUBSTITUTE(C10675," ",""),3))&amp;"-"&amp;TEXT(B10675,"AAMMDD")&amp;"-1")</f>
        <v/>
      </c>
    </row>
    <row r="10676" spans="20:20" hidden="1">
      <c r="T10676" t="str">
        <f>IF(C10676="","",UPPER(LEFT(SUBSTITUTE(C10676," ",""),3))&amp;"-"&amp;TEXT(B10676,"AAMMDD")&amp;"-1")</f>
        <v/>
      </c>
    </row>
    <row r="10677" spans="20:20" hidden="1">
      <c r="T10677" t="str">
        <f>IF(C10677="","",UPPER(LEFT(SUBSTITUTE(C10677," ",""),3))&amp;"-"&amp;TEXT(B10677,"AAMMDD")&amp;"-1")</f>
        <v/>
      </c>
    </row>
    <row r="10678" spans="20:20" hidden="1">
      <c r="T10678" t="str">
        <f>IF(C10678="","",UPPER(LEFT(SUBSTITUTE(C10678," ",""),3))&amp;"-"&amp;TEXT(B10678,"AAMMDD")&amp;"-1")</f>
        <v/>
      </c>
    </row>
    <row r="10679" spans="20:20" hidden="1">
      <c r="T10679" t="str">
        <f>IF(C10679="","",UPPER(LEFT(SUBSTITUTE(C10679," ",""),3))&amp;"-"&amp;TEXT(B10679,"AAMMDD")&amp;"-1")</f>
        <v/>
      </c>
    </row>
    <row r="10680" spans="20:20" hidden="1">
      <c r="T10680" t="str">
        <f>IF(C10680="","",UPPER(LEFT(SUBSTITUTE(C10680," ",""),3))&amp;"-"&amp;TEXT(B10680,"AAMMDD")&amp;"-1")</f>
        <v/>
      </c>
    </row>
    <row r="10681" spans="20:20" hidden="1">
      <c r="T10681" t="str">
        <f>IF(C10681="","",UPPER(LEFT(SUBSTITUTE(C10681," ",""),3))&amp;"-"&amp;TEXT(B10681,"AAMMDD")&amp;"-1")</f>
        <v/>
      </c>
    </row>
    <row r="10682" spans="20:20" hidden="1">
      <c r="T10682" t="str">
        <f>IF(C10682="","",UPPER(LEFT(SUBSTITUTE(C10682," ",""),3))&amp;"-"&amp;TEXT(B10682,"AAMMDD")&amp;"-1")</f>
        <v/>
      </c>
    </row>
    <row r="10683" spans="20:20" hidden="1">
      <c r="T10683" t="str">
        <f>IF(C10683="","",UPPER(LEFT(SUBSTITUTE(C10683," ",""),3))&amp;"-"&amp;TEXT(B10683,"AAMMDD")&amp;"-1")</f>
        <v/>
      </c>
    </row>
    <row r="10684" spans="20:20" hidden="1">
      <c r="T10684" t="str">
        <f>IF(C10684="","",UPPER(LEFT(SUBSTITUTE(C10684," ",""),3))&amp;"-"&amp;TEXT(B10684,"AAMMDD")&amp;"-1")</f>
        <v/>
      </c>
    </row>
    <row r="10685" spans="20:20" hidden="1">
      <c r="T10685" t="str">
        <f>IF(C10685="","",UPPER(LEFT(SUBSTITUTE(C10685," ",""),3))&amp;"-"&amp;TEXT(B10685,"AAMMDD")&amp;"-1")</f>
        <v/>
      </c>
    </row>
    <row r="10686" spans="20:20" hidden="1">
      <c r="T10686" t="str">
        <f>IF(C10686="","",UPPER(LEFT(SUBSTITUTE(C10686," ",""),3))&amp;"-"&amp;TEXT(B10686,"AAMMDD")&amp;"-1")</f>
        <v/>
      </c>
    </row>
    <row r="10687" spans="20:20" hidden="1">
      <c r="T10687" t="str">
        <f>IF(C10687="","",UPPER(LEFT(SUBSTITUTE(C10687," ",""),3))&amp;"-"&amp;TEXT(B10687,"AAMMDD")&amp;"-1")</f>
        <v/>
      </c>
    </row>
    <row r="10688" spans="20:20" hidden="1">
      <c r="T10688" t="str">
        <f>IF(C10688="","",UPPER(LEFT(SUBSTITUTE(C10688," ",""),3))&amp;"-"&amp;TEXT(B10688,"AAMMDD")&amp;"-1")</f>
        <v/>
      </c>
    </row>
    <row r="10689" spans="20:20" hidden="1">
      <c r="T10689" t="str">
        <f>IF(C10689="","",UPPER(LEFT(SUBSTITUTE(C10689," ",""),3))&amp;"-"&amp;TEXT(B10689,"AAMMDD")&amp;"-1")</f>
        <v/>
      </c>
    </row>
    <row r="10690" spans="20:20" hidden="1">
      <c r="T10690" t="str">
        <f>IF(C10690="","",UPPER(LEFT(SUBSTITUTE(C10690," ",""),3))&amp;"-"&amp;TEXT(B10690,"AAMMDD")&amp;"-1")</f>
        <v/>
      </c>
    </row>
    <row r="10691" spans="20:20" hidden="1">
      <c r="T10691" t="str">
        <f>IF(C10691="","",UPPER(LEFT(SUBSTITUTE(C10691," ",""),3))&amp;"-"&amp;TEXT(B10691,"AAMMDD")&amp;"-1")</f>
        <v/>
      </c>
    </row>
    <row r="10692" spans="20:20" hidden="1">
      <c r="T10692" t="str">
        <f>IF(C10692="","",UPPER(LEFT(SUBSTITUTE(C10692," ",""),3))&amp;"-"&amp;TEXT(B10692,"AAMMDD")&amp;"-1")</f>
        <v/>
      </c>
    </row>
    <row r="10693" spans="20:20" hidden="1">
      <c r="T10693" t="str">
        <f>IF(C10693="","",UPPER(LEFT(SUBSTITUTE(C10693," ",""),3))&amp;"-"&amp;TEXT(B10693,"AAMMDD")&amp;"-1")</f>
        <v/>
      </c>
    </row>
    <row r="10694" spans="20:20" hidden="1">
      <c r="T10694" t="str">
        <f>IF(C10694="","",UPPER(LEFT(SUBSTITUTE(C10694," ",""),3))&amp;"-"&amp;TEXT(B10694,"AAMMDD")&amp;"-1")</f>
        <v/>
      </c>
    </row>
    <row r="10695" spans="20:20" hidden="1">
      <c r="T10695" t="str">
        <f>IF(C10695="","",UPPER(LEFT(SUBSTITUTE(C10695," ",""),3))&amp;"-"&amp;TEXT(B10695,"AAMMDD")&amp;"-1")</f>
        <v/>
      </c>
    </row>
    <row r="10696" spans="20:20" hidden="1">
      <c r="T10696" t="str">
        <f>IF(C10696="","",UPPER(LEFT(SUBSTITUTE(C10696," ",""),3))&amp;"-"&amp;TEXT(B10696,"AAMMDD")&amp;"-1")</f>
        <v/>
      </c>
    </row>
    <row r="10697" spans="20:20" hidden="1">
      <c r="T10697" t="str">
        <f>IF(C10697="","",UPPER(LEFT(SUBSTITUTE(C10697," ",""),3))&amp;"-"&amp;TEXT(B10697,"AAMMDD")&amp;"-1")</f>
        <v/>
      </c>
    </row>
    <row r="10698" spans="20:20" hidden="1">
      <c r="T10698" t="str">
        <f>IF(C10698="","",UPPER(LEFT(SUBSTITUTE(C10698," ",""),3))&amp;"-"&amp;TEXT(B10698,"AAMMDD")&amp;"-1")</f>
        <v/>
      </c>
    </row>
    <row r="10699" spans="20:20" hidden="1">
      <c r="T10699" t="str">
        <f>IF(C10699="","",UPPER(LEFT(SUBSTITUTE(C10699," ",""),3))&amp;"-"&amp;TEXT(B10699,"AAMMDD")&amp;"-1")</f>
        <v/>
      </c>
    </row>
    <row r="10700" spans="20:20" hidden="1">
      <c r="T10700" t="str">
        <f>IF(C10700="","",UPPER(LEFT(SUBSTITUTE(C10700," ",""),3))&amp;"-"&amp;TEXT(B10700,"AAMMDD")&amp;"-1")</f>
        <v/>
      </c>
    </row>
    <row r="10701" spans="20:20" hidden="1">
      <c r="T10701" t="str">
        <f>IF(C10701="","",UPPER(LEFT(SUBSTITUTE(C10701," ",""),3))&amp;"-"&amp;TEXT(B10701,"AAMMDD")&amp;"-1")</f>
        <v/>
      </c>
    </row>
    <row r="10702" spans="20:20" hidden="1">
      <c r="T10702" t="str">
        <f>IF(C10702="","",UPPER(LEFT(SUBSTITUTE(C10702," ",""),3))&amp;"-"&amp;TEXT(B10702,"AAMMDD")&amp;"-1")</f>
        <v/>
      </c>
    </row>
    <row r="10703" spans="20:20" hidden="1">
      <c r="T10703" t="str">
        <f>IF(C10703="","",UPPER(LEFT(SUBSTITUTE(C10703," ",""),3))&amp;"-"&amp;TEXT(B10703,"AAMMDD")&amp;"-1")</f>
        <v/>
      </c>
    </row>
    <row r="10704" spans="20:20" hidden="1">
      <c r="T10704" t="str">
        <f>IF(C10704="","",UPPER(LEFT(SUBSTITUTE(C10704," ",""),3))&amp;"-"&amp;TEXT(B10704,"AAMMDD")&amp;"-1")</f>
        <v/>
      </c>
    </row>
    <row r="10705" spans="20:20" hidden="1">
      <c r="T10705" t="str">
        <f>IF(C10705="","",UPPER(LEFT(SUBSTITUTE(C10705," ",""),3))&amp;"-"&amp;TEXT(B10705,"AAMMDD")&amp;"-1")</f>
        <v/>
      </c>
    </row>
    <row r="10706" spans="20:20" hidden="1">
      <c r="T10706" t="str">
        <f>IF(C10706="","",UPPER(LEFT(SUBSTITUTE(C10706," ",""),3))&amp;"-"&amp;TEXT(B10706,"AAMMDD")&amp;"-1")</f>
        <v/>
      </c>
    </row>
    <row r="10707" spans="20:20" hidden="1">
      <c r="T10707" t="str">
        <f>IF(C10707="","",UPPER(LEFT(SUBSTITUTE(C10707," ",""),3))&amp;"-"&amp;TEXT(B10707,"AAMMDD")&amp;"-1")</f>
        <v/>
      </c>
    </row>
    <row r="10708" spans="20:20" hidden="1">
      <c r="T10708" t="str">
        <f>IF(C10708="","",UPPER(LEFT(SUBSTITUTE(C10708," ",""),3))&amp;"-"&amp;TEXT(B10708,"AAMMDD")&amp;"-1")</f>
        <v/>
      </c>
    </row>
    <row r="10709" spans="20:20" hidden="1">
      <c r="T10709" t="str">
        <f>IF(C10709="","",UPPER(LEFT(SUBSTITUTE(C10709," ",""),3))&amp;"-"&amp;TEXT(B10709,"AAMMDD")&amp;"-1")</f>
        <v/>
      </c>
    </row>
    <row r="10710" spans="20:20" hidden="1">
      <c r="T10710" t="str">
        <f>IF(C10710="","",UPPER(LEFT(SUBSTITUTE(C10710," ",""),3))&amp;"-"&amp;TEXT(B10710,"AAMMDD")&amp;"-1")</f>
        <v/>
      </c>
    </row>
    <row r="10711" spans="20:20" hidden="1">
      <c r="T10711" t="str">
        <f>IF(C10711="","",UPPER(LEFT(SUBSTITUTE(C10711," ",""),3))&amp;"-"&amp;TEXT(B10711,"AAMMDD")&amp;"-1")</f>
        <v/>
      </c>
    </row>
    <row r="10712" spans="20:20" hidden="1">
      <c r="T10712" t="str">
        <f>IF(C10712="","",UPPER(LEFT(SUBSTITUTE(C10712," ",""),3))&amp;"-"&amp;TEXT(B10712,"AAMMDD")&amp;"-1")</f>
        <v/>
      </c>
    </row>
    <row r="10713" spans="20:20" hidden="1">
      <c r="T10713" t="str">
        <f>IF(C10713="","",UPPER(LEFT(SUBSTITUTE(C10713," ",""),3))&amp;"-"&amp;TEXT(B10713,"AAMMDD")&amp;"-1")</f>
        <v/>
      </c>
    </row>
    <row r="10714" spans="20:20" hidden="1">
      <c r="T10714" t="str">
        <f>IF(C10714="","",UPPER(LEFT(SUBSTITUTE(C10714," ",""),3))&amp;"-"&amp;TEXT(B10714,"AAMMDD")&amp;"-1")</f>
        <v/>
      </c>
    </row>
    <row r="10715" spans="20:20" hidden="1">
      <c r="T10715" t="str">
        <f>IF(C10715="","",UPPER(LEFT(SUBSTITUTE(C10715," ",""),3))&amp;"-"&amp;TEXT(B10715,"AAMMDD")&amp;"-1")</f>
        <v/>
      </c>
    </row>
    <row r="10716" spans="20:20" hidden="1">
      <c r="T10716" t="str">
        <f>IF(C10716="","",UPPER(LEFT(SUBSTITUTE(C10716," ",""),3))&amp;"-"&amp;TEXT(B10716,"AAMMDD")&amp;"-1")</f>
        <v/>
      </c>
    </row>
    <row r="10717" spans="20:20" hidden="1">
      <c r="T10717" t="str">
        <f>IF(C10717="","",UPPER(LEFT(SUBSTITUTE(C10717," ",""),3))&amp;"-"&amp;TEXT(B10717,"AAMMDD")&amp;"-1")</f>
        <v/>
      </c>
    </row>
    <row r="10718" spans="20:20" hidden="1">
      <c r="T10718" t="str">
        <f>IF(C10718="","",UPPER(LEFT(SUBSTITUTE(C10718," ",""),3))&amp;"-"&amp;TEXT(B10718,"AAMMDD")&amp;"-1")</f>
        <v/>
      </c>
    </row>
    <row r="10719" spans="20:20" hidden="1">
      <c r="T10719" t="str">
        <f>IF(C10719="","",UPPER(LEFT(SUBSTITUTE(C10719," ",""),3))&amp;"-"&amp;TEXT(B10719,"AAMMDD")&amp;"-1")</f>
        <v/>
      </c>
    </row>
    <row r="10720" spans="20:20" hidden="1">
      <c r="T10720" t="str">
        <f>IF(C10720="","",UPPER(LEFT(SUBSTITUTE(C10720," ",""),3))&amp;"-"&amp;TEXT(B10720,"AAMMDD")&amp;"-1")</f>
        <v/>
      </c>
    </row>
    <row r="10721" spans="20:20" hidden="1">
      <c r="T10721" t="str">
        <f>IF(C10721="","",UPPER(LEFT(SUBSTITUTE(C10721," ",""),3))&amp;"-"&amp;TEXT(B10721,"AAMMDD")&amp;"-1")</f>
        <v/>
      </c>
    </row>
    <row r="10722" spans="20:20" hidden="1">
      <c r="T10722" t="str">
        <f>IF(C10722="","",UPPER(LEFT(SUBSTITUTE(C10722," ",""),3))&amp;"-"&amp;TEXT(B10722,"AAMMDD")&amp;"-1")</f>
        <v/>
      </c>
    </row>
    <row r="10723" spans="20:20" hidden="1">
      <c r="T10723" t="str">
        <f>IF(C10723="","",UPPER(LEFT(SUBSTITUTE(C10723," ",""),3))&amp;"-"&amp;TEXT(B10723,"AAMMDD")&amp;"-1")</f>
        <v/>
      </c>
    </row>
    <row r="10724" spans="20:20" hidden="1">
      <c r="T10724" t="str">
        <f>IF(C10724="","",UPPER(LEFT(SUBSTITUTE(C10724," ",""),3))&amp;"-"&amp;TEXT(B10724,"AAMMDD")&amp;"-1")</f>
        <v/>
      </c>
    </row>
    <row r="10725" spans="20:20" hidden="1">
      <c r="T10725" t="str">
        <f>IF(C10725="","",UPPER(LEFT(SUBSTITUTE(C10725," ",""),3))&amp;"-"&amp;TEXT(B10725,"AAMMDD")&amp;"-1")</f>
        <v/>
      </c>
    </row>
    <row r="10726" spans="20:20" hidden="1">
      <c r="T10726" t="str">
        <f>IF(C10726="","",UPPER(LEFT(SUBSTITUTE(C10726," ",""),3))&amp;"-"&amp;TEXT(B10726,"AAMMDD")&amp;"-1")</f>
        <v/>
      </c>
    </row>
    <row r="10727" spans="20:20" hidden="1">
      <c r="T10727" t="str">
        <f>IF(C10727="","",UPPER(LEFT(SUBSTITUTE(C10727," ",""),3))&amp;"-"&amp;TEXT(B10727,"AAMMDD")&amp;"-1")</f>
        <v/>
      </c>
    </row>
    <row r="10728" spans="20:20" hidden="1">
      <c r="T10728" t="str">
        <f>IF(C10728="","",UPPER(LEFT(SUBSTITUTE(C10728," ",""),3))&amp;"-"&amp;TEXT(B10728,"AAMMDD")&amp;"-1")</f>
        <v/>
      </c>
    </row>
    <row r="10729" spans="20:20" hidden="1">
      <c r="T10729" t="str">
        <f>IF(C10729="","",UPPER(LEFT(SUBSTITUTE(C10729," ",""),3))&amp;"-"&amp;TEXT(B10729,"AAMMDD")&amp;"-1")</f>
        <v/>
      </c>
    </row>
    <row r="10730" spans="20:20" hidden="1">
      <c r="T10730" t="str">
        <f>IF(C10730="","",UPPER(LEFT(SUBSTITUTE(C10730," ",""),3))&amp;"-"&amp;TEXT(B10730,"AAMMDD")&amp;"-1")</f>
        <v/>
      </c>
    </row>
    <row r="10731" spans="20:20" hidden="1">
      <c r="T10731" t="str">
        <f>IF(C10731="","",UPPER(LEFT(SUBSTITUTE(C10731," ",""),3))&amp;"-"&amp;TEXT(B10731,"AAMMDD")&amp;"-1")</f>
        <v/>
      </c>
    </row>
    <row r="10732" spans="20:20" hidden="1">
      <c r="T10732" t="str">
        <f>IF(C10732="","",UPPER(LEFT(SUBSTITUTE(C10732," ",""),3))&amp;"-"&amp;TEXT(B10732,"AAMMDD")&amp;"-1")</f>
        <v/>
      </c>
    </row>
    <row r="10733" spans="20:20" hidden="1">
      <c r="T10733" t="str">
        <f>IF(C10733="","",UPPER(LEFT(SUBSTITUTE(C10733," ",""),3))&amp;"-"&amp;TEXT(B10733,"AAMMDD")&amp;"-1")</f>
        <v/>
      </c>
    </row>
    <row r="10734" spans="20:20" hidden="1">
      <c r="T10734" t="str">
        <f>IF(C10734="","",UPPER(LEFT(SUBSTITUTE(C10734," ",""),3))&amp;"-"&amp;TEXT(B10734,"AAMMDD")&amp;"-1")</f>
        <v/>
      </c>
    </row>
    <row r="10735" spans="20:20" hidden="1">
      <c r="T10735" t="str">
        <f>IF(C10735="","",UPPER(LEFT(SUBSTITUTE(C10735," ",""),3))&amp;"-"&amp;TEXT(B10735,"AAMMDD")&amp;"-1")</f>
        <v/>
      </c>
    </row>
    <row r="10736" spans="20:20" hidden="1">
      <c r="T10736" t="str">
        <f>IF(C10736="","",UPPER(LEFT(SUBSTITUTE(C10736," ",""),3))&amp;"-"&amp;TEXT(B10736,"AAMMDD")&amp;"-1")</f>
        <v/>
      </c>
    </row>
    <row r="10737" spans="20:20" hidden="1">
      <c r="T10737" t="str">
        <f>IF(C10737="","",UPPER(LEFT(SUBSTITUTE(C10737," ",""),3))&amp;"-"&amp;TEXT(B10737,"AAMMDD")&amp;"-1")</f>
        <v/>
      </c>
    </row>
    <row r="10738" spans="20:20" hidden="1">
      <c r="T10738" t="str">
        <f>IF(C10738="","",UPPER(LEFT(SUBSTITUTE(C10738," ",""),3))&amp;"-"&amp;TEXT(B10738,"AAMMDD")&amp;"-1")</f>
        <v/>
      </c>
    </row>
    <row r="10739" spans="20:20" hidden="1">
      <c r="T10739" t="str">
        <f>IF(C10739="","",UPPER(LEFT(SUBSTITUTE(C10739," ",""),3))&amp;"-"&amp;TEXT(B10739,"AAMMDD")&amp;"-1")</f>
        <v/>
      </c>
    </row>
    <row r="10740" spans="20:20" hidden="1">
      <c r="T10740" t="str">
        <f>IF(C10740="","",UPPER(LEFT(SUBSTITUTE(C10740," ",""),3))&amp;"-"&amp;TEXT(B10740,"AAMMDD")&amp;"-1")</f>
        <v/>
      </c>
    </row>
    <row r="10741" spans="20:20" hidden="1">
      <c r="T10741" t="str">
        <f>IF(C10741="","",UPPER(LEFT(SUBSTITUTE(C10741," ",""),3))&amp;"-"&amp;TEXT(B10741,"AAMMDD")&amp;"-1")</f>
        <v/>
      </c>
    </row>
    <row r="10742" spans="20:20" hidden="1">
      <c r="T10742" t="str">
        <f>IF(C10742="","",UPPER(LEFT(SUBSTITUTE(C10742," ",""),3))&amp;"-"&amp;TEXT(B10742,"AAMMDD")&amp;"-1")</f>
        <v/>
      </c>
    </row>
    <row r="10743" spans="20:20" hidden="1">
      <c r="T10743" t="str">
        <f>IF(C10743="","",UPPER(LEFT(SUBSTITUTE(C10743," ",""),3))&amp;"-"&amp;TEXT(B10743,"AAMMDD")&amp;"-1")</f>
        <v/>
      </c>
    </row>
    <row r="10744" spans="20:20" hidden="1">
      <c r="T10744" t="str">
        <f>IF(C10744="","",UPPER(LEFT(SUBSTITUTE(C10744," ",""),3))&amp;"-"&amp;TEXT(B10744,"AAMMDD")&amp;"-1")</f>
        <v/>
      </c>
    </row>
    <row r="10745" spans="20:20" hidden="1">
      <c r="T10745" t="str">
        <f>IF(C10745="","",UPPER(LEFT(SUBSTITUTE(C10745," ",""),3))&amp;"-"&amp;TEXT(B10745,"AAMMDD")&amp;"-1")</f>
        <v/>
      </c>
    </row>
    <row r="10746" spans="20:20" hidden="1">
      <c r="T10746" t="str">
        <f>IF(C10746="","",UPPER(LEFT(SUBSTITUTE(C10746," ",""),3))&amp;"-"&amp;TEXT(B10746,"AAMMDD")&amp;"-1")</f>
        <v/>
      </c>
    </row>
    <row r="10747" spans="20:20" hidden="1">
      <c r="T10747" t="str">
        <f>IF(C10747="","",UPPER(LEFT(SUBSTITUTE(C10747," ",""),3))&amp;"-"&amp;TEXT(B10747,"AAMMDD")&amp;"-1")</f>
        <v/>
      </c>
    </row>
    <row r="10748" spans="20:20" hidden="1">
      <c r="T10748" t="str">
        <f>IF(C10748="","",UPPER(LEFT(SUBSTITUTE(C10748," ",""),3))&amp;"-"&amp;TEXT(B10748,"AAMMDD")&amp;"-1")</f>
        <v/>
      </c>
    </row>
    <row r="10749" spans="20:20" hidden="1">
      <c r="T10749" t="str">
        <f>IF(C10749="","",UPPER(LEFT(SUBSTITUTE(C10749," ",""),3))&amp;"-"&amp;TEXT(B10749,"AAMMDD")&amp;"-1")</f>
        <v/>
      </c>
    </row>
    <row r="10750" spans="20:20" hidden="1">
      <c r="T10750" t="str">
        <f>IF(C10750="","",UPPER(LEFT(SUBSTITUTE(C10750," ",""),3))&amp;"-"&amp;TEXT(B10750,"AAMMDD")&amp;"-1")</f>
        <v/>
      </c>
    </row>
    <row r="10751" spans="20:20" hidden="1">
      <c r="T10751" t="str">
        <f>IF(C10751="","",UPPER(LEFT(SUBSTITUTE(C10751," ",""),3))&amp;"-"&amp;TEXT(B10751,"AAMMDD")&amp;"-1")</f>
        <v/>
      </c>
    </row>
    <row r="10752" spans="20:20" hidden="1">
      <c r="T10752" t="str">
        <f>IF(C10752="","",UPPER(LEFT(SUBSTITUTE(C10752," ",""),3))&amp;"-"&amp;TEXT(B10752,"AAMMDD")&amp;"-1")</f>
        <v/>
      </c>
    </row>
    <row r="10753" spans="20:20" hidden="1">
      <c r="T10753" t="str">
        <f>IF(C10753="","",UPPER(LEFT(SUBSTITUTE(C10753," ",""),3))&amp;"-"&amp;TEXT(B10753,"AAMMDD")&amp;"-1")</f>
        <v/>
      </c>
    </row>
    <row r="10754" spans="20:20" hidden="1">
      <c r="T10754" t="str">
        <f>IF(C10754="","",UPPER(LEFT(SUBSTITUTE(C10754," ",""),3))&amp;"-"&amp;TEXT(B10754,"AAMMDD")&amp;"-1")</f>
        <v/>
      </c>
    </row>
    <row r="10755" spans="20:20" hidden="1">
      <c r="T10755" t="str">
        <f>IF(C10755="","",UPPER(LEFT(SUBSTITUTE(C10755," ",""),3))&amp;"-"&amp;TEXT(B10755,"AAMMDD")&amp;"-1")</f>
        <v/>
      </c>
    </row>
    <row r="10756" spans="20:20" hidden="1">
      <c r="T10756" t="str">
        <f>IF(C10756="","",UPPER(LEFT(SUBSTITUTE(C10756," ",""),3))&amp;"-"&amp;TEXT(B10756,"AAMMDD")&amp;"-1")</f>
        <v/>
      </c>
    </row>
    <row r="10757" spans="20:20" hidden="1">
      <c r="T10757" t="str">
        <f>IF(C10757="","",UPPER(LEFT(SUBSTITUTE(C10757," ",""),3))&amp;"-"&amp;TEXT(B10757,"AAMMDD")&amp;"-1")</f>
        <v/>
      </c>
    </row>
    <row r="10758" spans="20:20" hidden="1">
      <c r="T10758" t="str">
        <f>IF(C10758="","",UPPER(LEFT(SUBSTITUTE(C10758," ",""),3))&amp;"-"&amp;TEXT(B10758,"AAMMDD")&amp;"-1")</f>
        <v/>
      </c>
    </row>
    <row r="10759" spans="20:20" hidden="1">
      <c r="T10759" t="str">
        <f>IF(C10759="","",UPPER(LEFT(SUBSTITUTE(C10759," ",""),3))&amp;"-"&amp;TEXT(B10759,"AAMMDD")&amp;"-1")</f>
        <v/>
      </c>
    </row>
    <row r="10760" spans="20:20" hidden="1">
      <c r="T10760" t="str">
        <f>IF(C10760="","",UPPER(LEFT(SUBSTITUTE(C10760," ",""),3))&amp;"-"&amp;TEXT(B10760,"AAMMDD")&amp;"-1")</f>
        <v/>
      </c>
    </row>
    <row r="10761" spans="20:20" hidden="1">
      <c r="T10761" t="str">
        <f>IF(C10761="","",UPPER(LEFT(SUBSTITUTE(C10761," ",""),3))&amp;"-"&amp;TEXT(B10761,"AAMMDD")&amp;"-1")</f>
        <v/>
      </c>
    </row>
    <row r="10762" spans="20:20" hidden="1">
      <c r="T10762" t="str">
        <f>IF(C10762="","",UPPER(LEFT(SUBSTITUTE(C10762," ",""),3))&amp;"-"&amp;TEXT(B10762,"AAMMDD")&amp;"-1")</f>
        <v/>
      </c>
    </row>
    <row r="10763" spans="20:20" hidden="1">
      <c r="T10763" t="str">
        <f>IF(C10763="","",UPPER(LEFT(SUBSTITUTE(C10763," ",""),3))&amp;"-"&amp;TEXT(B10763,"AAMMDD")&amp;"-1")</f>
        <v/>
      </c>
    </row>
    <row r="10764" spans="20:20" hidden="1">
      <c r="T10764" t="str">
        <f>IF(C10764="","",UPPER(LEFT(SUBSTITUTE(C10764," ",""),3))&amp;"-"&amp;TEXT(B10764,"AAMMDD")&amp;"-1")</f>
        <v/>
      </c>
    </row>
    <row r="10765" spans="20:20" hidden="1">
      <c r="T10765" t="str">
        <f>IF(C10765="","",UPPER(LEFT(SUBSTITUTE(C10765," ",""),3))&amp;"-"&amp;TEXT(B10765,"AAMMDD")&amp;"-1")</f>
        <v/>
      </c>
    </row>
    <row r="10766" spans="20:20" hidden="1">
      <c r="T10766" t="str">
        <f>IF(C10766="","",UPPER(LEFT(SUBSTITUTE(C10766," ",""),3))&amp;"-"&amp;TEXT(B10766,"AAMMDD")&amp;"-1")</f>
        <v/>
      </c>
    </row>
    <row r="10767" spans="20:20" hidden="1">
      <c r="T10767" t="str">
        <f>IF(C10767="","",UPPER(LEFT(SUBSTITUTE(C10767," ",""),3))&amp;"-"&amp;TEXT(B10767,"AAMMDD")&amp;"-1")</f>
        <v/>
      </c>
    </row>
    <row r="10768" spans="20:20" hidden="1">
      <c r="T10768" t="str">
        <f>IF(C10768="","",UPPER(LEFT(SUBSTITUTE(C10768," ",""),3))&amp;"-"&amp;TEXT(B10768,"AAMMDD")&amp;"-1")</f>
        <v/>
      </c>
    </row>
    <row r="10769" spans="20:20" hidden="1">
      <c r="T10769" t="str">
        <f>IF(C10769="","",UPPER(LEFT(SUBSTITUTE(C10769," ",""),3))&amp;"-"&amp;TEXT(B10769,"AAMMDD")&amp;"-1")</f>
        <v/>
      </c>
    </row>
    <row r="10770" spans="20:20" hidden="1">
      <c r="T10770" t="str">
        <f>IF(C10770="","",UPPER(LEFT(SUBSTITUTE(C10770," ",""),3))&amp;"-"&amp;TEXT(B10770,"AAMMDD")&amp;"-1")</f>
        <v/>
      </c>
    </row>
    <row r="10771" spans="20:20" hidden="1">
      <c r="T10771" t="str">
        <f>IF(C10771="","",UPPER(LEFT(SUBSTITUTE(C10771," ",""),3))&amp;"-"&amp;TEXT(B10771,"AAMMDD")&amp;"-1")</f>
        <v/>
      </c>
    </row>
    <row r="10772" spans="20:20" hidden="1">
      <c r="T10772" t="str">
        <f>IF(C10772="","",UPPER(LEFT(SUBSTITUTE(C10772," ",""),3))&amp;"-"&amp;TEXT(B10772,"AAMMDD")&amp;"-1")</f>
        <v/>
      </c>
    </row>
    <row r="10773" spans="20:20" hidden="1">
      <c r="T10773" t="str">
        <f>IF(C10773="","",UPPER(LEFT(SUBSTITUTE(C10773," ",""),3))&amp;"-"&amp;TEXT(B10773,"AAMMDD")&amp;"-1")</f>
        <v/>
      </c>
    </row>
    <row r="10774" spans="20:20" hidden="1">
      <c r="T10774" t="str">
        <f>IF(C10774="","",UPPER(LEFT(SUBSTITUTE(C10774," ",""),3))&amp;"-"&amp;TEXT(B10774,"AAMMDD")&amp;"-1")</f>
        <v/>
      </c>
    </row>
    <row r="10775" spans="20:20" hidden="1">
      <c r="T10775" t="str">
        <f>IF(C10775="","",UPPER(LEFT(SUBSTITUTE(C10775," ",""),3))&amp;"-"&amp;TEXT(B10775,"AAMMDD")&amp;"-1")</f>
        <v/>
      </c>
    </row>
    <row r="10776" spans="20:20" hidden="1">
      <c r="T10776" t="str">
        <f>IF(C10776="","",UPPER(LEFT(SUBSTITUTE(C10776," ",""),3))&amp;"-"&amp;TEXT(B10776,"AAMMDD")&amp;"-1")</f>
        <v/>
      </c>
    </row>
    <row r="10777" spans="20:20" hidden="1">
      <c r="T10777" t="str">
        <f>IF(C10777="","",UPPER(LEFT(SUBSTITUTE(C10777," ",""),3))&amp;"-"&amp;TEXT(B10777,"AAMMDD")&amp;"-1")</f>
        <v/>
      </c>
    </row>
    <row r="10778" spans="20:20" hidden="1">
      <c r="T10778" t="str">
        <f>IF(C10778="","",UPPER(LEFT(SUBSTITUTE(C10778," ",""),3))&amp;"-"&amp;TEXT(B10778,"AAMMDD")&amp;"-1")</f>
        <v/>
      </c>
    </row>
    <row r="10779" spans="20:20" hidden="1">
      <c r="T10779" t="str">
        <f>IF(C10779="","",UPPER(LEFT(SUBSTITUTE(C10779," ",""),3))&amp;"-"&amp;TEXT(B10779,"AAMMDD")&amp;"-1")</f>
        <v/>
      </c>
    </row>
    <row r="10780" spans="20:20" hidden="1">
      <c r="T10780" t="str">
        <f>IF(C10780="","",UPPER(LEFT(SUBSTITUTE(C10780," ",""),3))&amp;"-"&amp;TEXT(B10780,"AAMMDD")&amp;"-1")</f>
        <v/>
      </c>
    </row>
    <row r="10781" spans="20:20" hidden="1">
      <c r="T10781" t="str">
        <f>IF(C10781="","",UPPER(LEFT(SUBSTITUTE(C10781," ",""),3))&amp;"-"&amp;TEXT(B10781,"AAMMDD")&amp;"-1")</f>
        <v/>
      </c>
    </row>
    <row r="10782" spans="20:20" hidden="1">
      <c r="T10782" t="str">
        <f>IF(C10782="","",UPPER(LEFT(SUBSTITUTE(C10782," ",""),3))&amp;"-"&amp;TEXT(B10782,"AAMMDD")&amp;"-1")</f>
        <v/>
      </c>
    </row>
    <row r="10783" spans="20:20" hidden="1">
      <c r="T10783" t="str">
        <f>IF(C10783="","",UPPER(LEFT(SUBSTITUTE(C10783," ",""),3))&amp;"-"&amp;TEXT(B10783,"AAMMDD")&amp;"-1")</f>
        <v/>
      </c>
    </row>
    <row r="10784" spans="20:20" hidden="1">
      <c r="T10784" t="str">
        <f>IF(C10784="","",UPPER(LEFT(SUBSTITUTE(C10784," ",""),3))&amp;"-"&amp;TEXT(B10784,"AAMMDD")&amp;"-1")</f>
        <v/>
      </c>
    </row>
    <row r="10785" spans="20:20" hidden="1">
      <c r="T10785" t="str">
        <f>IF(C10785="","",UPPER(LEFT(SUBSTITUTE(C10785," ",""),3))&amp;"-"&amp;TEXT(B10785,"AAMMDD")&amp;"-1")</f>
        <v/>
      </c>
    </row>
    <row r="10786" spans="20:20" hidden="1">
      <c r="T10786" t="str">
        <f>IF(C10786="","",UPPER(LEFT(SUBSTITUTE(C10786," ",""),3))&amp;"-"&amp;TEXT(B10786,"AAMMDD")&amp;"-1")</f>
        <v/>
      </c>
    </row>
    <row r="10787" spans="20:20" hidden="1">
      <c r="T10787" t="str">
        <f>IF(C10787="","",UPPER(LEFT(SUBSTITUTE(C10787," ",""),3))&amp;"-"&amp;TEXT(B10787,"AAMMDD")&amp;"-1")</f>
        <v/>
      </c>
    </row>
    <row r="10788" spans="20:20" hidden="1">
      <c r="T10788" t="str">
        <f>IF(C10788="","",UPPER(LEFT(SUBSTITUTE(C10788," ",""),3))&amp;"-"&amp;TEXT(B10788,"AAMMDD")&amp;"-1")</f>
        <v/>
      </c>
    </row>
    <row r="10789" spans="20:20" hidden="1">
      <c r="T10789" t="str">
        <f>IF(C10789="","",UPPER(LEFT(SUBSTITUTE(C10789," ",""),3))&amp;"-"&amp;TEXT(B10789,"AAMMDD")&amp;"-1")</f>
        <v/>
      </c>
    </row>
    <row r="10790" spans="20:20" hidden="1">
      <c r="T10790" t="str">
        <f>IF(C10790="","",UPPER(LEFT(SUBSTITUTE(C10790," ",""),3))&amp;"-"&amp;TEXT(B10790,"AAMMDD")&amp;"-1")</f>
        <v/>
      </c>
    </row>
    <row r="10791" spans="20:20" hidden="1">
      <c r="T10791" t="str">
        <f>IF(C10791="","",UPPER(LEFT(SUBSTITUTE(C10791," ",""),3))&amp;"-"&amp;TEXT(B10791,"AAMMDD")&amp;"-1")</f>
        <v/>
      </c>
    </row>
    <row r="10792" spans="20:20" hidden="1">
      <c r="T10792" t="str">
        <f>IF(C10792="","",UPPER(LEFT(SUBSTITUTE(C10792," ",""),3))&amp;"-"&amp;TEXT(B10792,"AAMMDD")&amp;"-1")</f>
        <v/>
      </c>
    </row>
    <row r="10793" spans="20:20" hidden="1">
      <c r="T10793" t="str">
        <f>IF(C10793="","",UPPER(LEFT(SUBSTITUTE(C10793," ",""),3))&amp;"-"&amp;TEXT(B10793,"AAMMDD")&amp;"-1")</f>
        <v/>
      </c>
    </row>
    <row r="10794" spans="20:20" hidden="1">
      <c r="T10794" t="str">
        <f>IF(C10794="","",UPPER(LEFT(SUBSTITUTE(C10794," ",""),3))&amp;"-"&amp;TEXT(B10794,"AAMMDD")&amp;"-1")</f>
        <v/>
      </c>
    </row>
    <row r="10795" spans="20:20" hidden="1">
      <c r="T10795" t="str">
        <f>IF(C10795="","",UPPER(LEFT(SUBSTITUTE(C10795," ",""),3))&amp;"-"&amp;TEXT(B10795,"AAMMDD")&amp;"-1")</f>
        <v/>
      </c>
    </row>
    <row r="10796" spans="20:20" hidden="1">
      <c r="T10796" t="str">
        <f>IF(C10796="","",UPPER(LEFT(SUBSTITUTE(C10796," ",""),3))&amp;"-"&amp;TEXT(B10796,"AAMMDD")&amp;"-1")</f>
        <v/>
      </c>
    </row>
    <row r="10797" spans="20:20" hidden="1">
      <c r="T10797" t="str">
        <f>IF(C10797="","",UPPER(LEFT(SUBSTITUTE(C10797," ",""),3))&amp;"-"&amp;TEXT(B10797,"AAMMDD")&amp;"-1")</f>
        <v/>
      </c>
    </row>
    <row r="10798" spans="20:20" hidden="1">
      <c r="T10798" t="str">
        <f>IF(C10798="","",UPPER(LEFT(SUBSTITUTE(C10798," ",""),3))&amp;"-"&amp;TEXT(B10798,"AAMMDD")&amp;"-1")</f>
        <v/>
      </c>
    </row>
    <row r="10799" spans="20:20" hidden="1">
      <c r="T10799" t="str">
        <f>IF(C10799="","",UPPER(LEFT(SUBSTITUTE(C10799," ",""),3))&amp;"-"&amp;TEXT(B10799,"AAMMDD")&amp;"-1")</f>
        <v/>
      </c>
    </row>
    <row r="10800" spans="20:20" hidden="1">
      <c r="T10800" t="str">
        <f>IF(C10800="","",UPPER(LEFT(SUBSTITUTE(C10800," ",""),3))&amp;"-"&amp;TEXT(B10800,"AAMMDD")&amp;"-1")</f>
        <v/>
      </c>
    </row>
    <row r="10801" spans="20:20" hidden="1">
      <c r="T10801" t="str">
        <f>IF(C10801="","",UPPER(LEFT(SUBSTITUTE(C10801," ",""),3))&amp;"-"&amp;TEXT(B10801,"AAMMDD")&amp;"-1")</f>
        <v/>
      </c>
    </row>
    <row r="10802" spans="20:20" hidden="1">
      <c r="T10802" t="str">
        <f>IF(C10802="","",UPPER(LEFT(SUBSTITUTE(C10802," ",""),3))&amp;"-"&amp;TEXT(B10802,"AAMMDD")&amp;"-1")</f>
        <v/>
      </c>
    </row>
    <row r="10803" spans="20:20" hidden="1">
      <c r="T10803" t="str">
        <f>IF(C10803="","",UPPER(LEFT(SUBSTITUTE(C10803," ",""),3))&amp;"-"&amp;TEXT(B10803,"AAMMDD")&amp;"-1")</f>
        <v/>
      </c>
    </row>
    <row r="10804" spans="20:20" hidden="1">
      <c r="T10804" t="str">
        <f>IF(C10804="","",UPPER(LEFT(SUBSTITUTE(C10804," ",""),3))&amp;"-"&amp;TEXT(B10804,"AAMMDD")&amp;"-1")</f>
        <v/>
      </c>
    </row>
    <row r="10805" spans="20:20" hidden="1">
      <c r="T10805" t="str">
        <f>IF(C10805="","",UPPER(LEFT(SUBSTITUTE(C10805," ",""),3))&amp;"-"&amp;TEXT(B10805,"AAMMDD")&amp;"-1")</f>
        <v/>
      </c>
    </row>
    <row r="10806" spans="20:20" hidden="1">
      <c r="T10806" t="str">
        <f>IF(C10806="","",UPPER(LEFT(SUBSTITUTE(C10806," ",""),3))&amp;"-"&amp;TEXT(B10806,"AAMMDD")&amp;"-1")</f>
        <v/>
      </c>
    </row>
    <row r="10807" spans="20:20" hidden="1">
      <c r="T10807" t="str">
        <f>IF(C10807="","",UPPER(LEFT(SUBSTITUTE(C10807," ",""),3))&amp;"-"&amp;TEXT(B10807,"AAMMDD")&amp;"-1")</f>
        <v/>
      </c>
    </row>
    <row r="10808" spans="20:20" hidden="1">
      <c r="T10808" t="str">
        <f>IF(C10808="","",UPPER(LEFT(SUBSTITUTE(C10808," ",""),3))&amp;"-"&amp;TEXT(B10808,"AAMMDD")&amp;"-1")</f>
        <v/>
      </c>
    </row>
    <row r="10809" spans="20:20" hidden="1">
      <c r="T10809" t="str">
        <f>IF(C10809="","",UPPER(LEFT(SUBSTITUTE(C10809," ",""),3))&amp;"-"&amp;TEXT(B10809,"AAMMDD")&amp;"-1")</f>
        <v/>
      </c>
    </row>
    <row r="10810" spans="20:20" hidden="1">
      <c r="T10810" t="str">
        <f>IF(C10810="","",UPPER(LEFT(SUBSTITUTE(C10810," ",""),3))&amp;"-"&amp;TEXT(B10810,"AAMMDD")&amp;"-1")</f>
        <v/>
      </c>
    </row>
    <row r="10811" spans="20:20" hidden="1">
      <c r="T10811" t="str">
        <f>IF(C10811="","",UPPER(LEFT(SUBSTITUTE(C10811," ",""),3))&amp;"-"&amp;TEXT(B10811,"AAMMDD")&amp;"-1")</f>
        <v/>
      </c>
    </row>
    <row r="10812" spans="20:20" hidden="1">
      <c r="T10812" t="str">
        <f>IF(C10812="","",UPPER(LEFT(SUBSTITUTE(C10812," ",""),3))&amp;"-"&amp;TEXT(B10812,"AAMMDD")&amp;"-1")</f>
        <v/>
      </c>
    </row>
    <row r="10813" spans="20:20" hidden="1">
      <c r="T10813" t="str">
        <f>IF(C10813="","",UPPER(LEFT(SUBSTITUTE(C10813," ",""),3))&amp;"-"&amp;TEXT(B10813,"AAMMDD")&amp;"-1")</f>
        <v/>
      </c>
    </row>
    <row r="10814" spans="20:20" hidden="1">
      <c r="T10814" t="str">
        <f>IF(C10814="","",UPPER(LEFT(SUBSTITUTE(C10814," ",""),3))&amp;"-"&amp;TEXT(B10814,"AAMMDD")&amp;"-1")</f>
        <v/>
      </c>
    </row>
    <row r="10815" spans="20:20" hidden="1">
      <c r="T10815" t="str">
        <f>IF(C10815="","",UPPER(LEFT(SUBSTITUTE(C10815," ",""),3))&amp;"-"&amp;TEXT(B10815,"AAMMDD")&amp;"-1")</f>
        <v/>
      </c>
    </row>
    <row r="10816" spans="20:20" hidden="1">
      <c r="T10816" t="str">
        <f>IF(C10816="","",UPPER(LEFT(SUBSTITUTE(C10816," ",""),3))&amp;"-"&amp;TEXT(B10816,"AAMMDD")&amp;"-1")</f>
        <v/>
      </c>
    </row>
    <row r="10817" spans="20:20" hidden="1">
      <c r="T10817" t="str">
        <f>IF(C10817="","",UPPER(LEFT(SUBSTITUTE(C10817," ",""),3))&amp;"-"&amp;TEXT(B10817,"AAMMDD")&amp;"-1")</f>
        <v/>
      </c>
    </row>
    <row r="10818" spans="20:20" hidden="1">
      <c r="T10818" t="str">
        <f>IF(C10818="","",UPPER(LEFT(SUBSTITUTE(C10818," ",""),3))&amp;"-"&amp;TEXT(B10818,"AAMMDD")&amp;"-1")</f>
        <v/>
      </c>
    </row>
    <row r="10819" spans="20:20" hidden="1">
      <c r="T10819" t="str">
        <f>IF(C10819="","",UPPER(LEFT(SUBSTITUTE(C10819," ",""),3))&amp;"-"&amp;TEXT(B10819,"AAMMDD")&amp;"-1")</f>
        <v/>
      </c>
    </row>
    <row r="10820" spans="20:20" hidden="1">
      <c r="T10820" t="str">
        <f>IF(C10820="","",UPPER(LEFT(SUBSTITUTE(C10820," ",""),3))&amp;"-"&amp;TEXT(B10820,"AAMMDD")&amp;"-1")</f>
        <v/>
      </c>
    </row>
    <row r="10821" spans="20:20" hidden="1">
      <c r="T10821" t="str">
        <f>IF(C10821="","",UPPER(LEFT(SUBSTITUTE(C10821," ",""),3))&amp;"-"&amp;TEXT(B10821,"AAMMDD")&amp;"-1")</f>
        <v/>
      </c>
    </row>
    <row r="10822" spans="20:20" hidden="1">
      <c r="T10822" t="str">
        <f>IF(C10822="","",UPPER(LEFT(SUBSTITUTE(C10822," ",""),3))&amp;"-"&amp;TEXT(B10822,"AAMMDD")&amp;"-1")</f>
        <v/>
      </c>
    </row>
    <row r="10823" spans="20:20" hidden="1">
      <c r="T10823" t="str">
        <f>IF(C10823="","",UPPER(LEFT(SUBSTITUTE(C10823," ",""),3))&amp;"-"&amp;TEXT(B10823,"AAMMDD")&amp;"-1")</f>
        <v/>
      </c>
    </row>
    <row r="10824" spans="20:20" hidden="1">
      <c r="T10824" t="str">
        <f>IF(C10824="","",UPPER(LEFT(SUBSTITUTE(C10824," ",""),3))&amp;"-"&amp;TEXT(B10824,"AAMMDD")&amp;"-1")</f>
        <v/>
      </c>
    </row>
    <row r="10825" spans="20:20" hidden="1">
      <c r="T10825" t="str">
        <f>IF(C10825="","",UPPER(LEFT(SUBSTITUTE(C10825," ",""),3))&amp;"-"&amp;TEXT(B10825,"AAMMDD")&amp;"-1")</f>
        <v/>
      </c>
    </row>
    <row r="10826" spans="20:20" hidden="1">
      <c r="T10826" t="str">
        <f>IF(C10826="","",UPPER(LEFT(SUBSTITUTE(C10826," ",""),3))&amp;"-"&amp;TEXT(B10826,"AAMMDD")&amp;"-1")</f>
        <v/>
      </c>
    </row>
    <row r="10827" spans="20:20" hidden="1">
      <c r="T10827" t="str">
        <f>IF(C10827="","",UPPER(LEFT(SUBSTITUTE(C10827," ",""),3))&amp;"-"&amp;TEXT(B10827,"AAMMDD")&amp;"-1")</f>
        <v/>
      </c>
    </row>
    <row r="10828" spans="20:20" hidden="1">
      <c r="T10828" t="str">
        <f>IF(C10828="","",UPPER(LEFT(SUBSTITUTE(C10828," ",""),3))&amp;"-"&amp;TEXT(B10828,"AAMMDD")&amp;"-1")</f>
        <v/>
      </c>
    </row>
    <row r="10829" spans="20:20" hidden="1">
      <c r="T10829" t="str">
        <f>IF(C10829="","",UPPER(LEFT(SUBSTITUTE(C10829," ",""),3))&amp;"-"&amp;TEXT(B10829,"AAMMDD")&amp;"-1")</f>
        <v/>
      </c>
    </row>
    <row r="10830" spans="20:20" hidden="1">
      <c r="T10830" t="str">
        <f>IF(C10830="","",UPPER(LEFT(SUBSTITUTE(C10830," ",""),3))&amp;"-"&amp;TEXT(B10830,"AAMMDD")&amp;"-1")</f>
        <v/>
      </c>
    </row>
    <row r="10831" spans="20:20" hidden="1">
      <c r="T10831" t="str">
        <f>IF(C10831="","",UPPER(LEFT(SUBSTITUTE(C10831," ",""),3))&amp;"-"&amp;TEXT(B10831,"AAMMDD")&amp;"-1")</f>
        <v/>
      </c>
    </row>
    <row r="10832" spans="20:20" hidden="1">
      <c r="T10832" t="str">
        <f>IF(C10832="","",UPPER(LEFT(SUBSTITUTE(C10832," ",""),3))&amp;"-"&amp;TEXT(B10832,"AAMMDD")&amp;"-1")</f>
        <v/>
      </c>
    </row>
    <row r="10833" spans="20:20" hidden="1">
      <c r="T10833" t="str">
        <f>IF(C10833="","",UPPER(LEFT(SUBSTITUTE(C10833," ",""),3))&amp;"-"&amp;TEXT(B10833,"AAMMDD")&amp;"-1")</f>
        <v/>
      </c>
    </row>
    <row r="10834" spans="20:20" hidden="1">
      <c r="T10834" t="str">
        <f>IF(C10834="","",UPPER(LEFT(SUBSTITUTE(C10834," ",""),3))&amp;"-"&amp;TEXT(B10834,"AAMMDD")&amp;"-1")</f>
        <v/>
      </c>
    </row>
    <row r="10835" spans="20:20" hidden="1">
      <c r="T10835" t="str">
        <f>IF(C10835="","",UPPER(LEFT(SUBSTITUTE(C10835," ",""),3))&amp;"-"&amp;TEXT(B10835,"AAMMDD")&amp;"-1")</f>
        <v/>
      </c>
    </row>
    <row r="10836" spans="20:20" hidden="1">
      <c r="T10836" t="str">
        <f>IF(C10836="","",UPPER(LEFT(SUBSTITUTE(C10836," ",""),3))&amp;"-"&amp;TEXT(B10836,"AAMMDD")&amp;"-1")</f>
        <v/>
      </c>
    </row>
    <row r="10837" spans="20:20" hidden="1">
      <c r="T10837" t="str">
        <f>IF(C10837="","",UPPER(LEFT(SUBSTITUTE(C10837," ",""),3))&amp;"-"&amp;TEXT(B10837,"AAMMDD")&amp;"-1")</f>
        <v/>
      </c>
    </row>
    <row r="10838" spans="20:20" hidden="1">
      <c r="T10838" t="str">
        <f>IF(C10838="","",UPPER(LEFT(SUBSTITUTE(C10838," ",""),3))&amp;"-"&amp;TEXT(B10838,"AAMMDD")&amp;"-1")</f>
        <v/>
      </c>
    </row>
    <row r="10839" spans="20:20" hidden="1">
      <c r="T10839" t="str">
        <f>IF(C10839="","",UPPER(LEFT(SUBSTITUTE(C10839," ",""),3))&amp;"-"&amp;TEXT(B10839,"AAMMDD")&amp;"-1")</f>
        <v/>
      </c>
    </row>
    <row r="10840" spans="20:20" hidden="1">
      <c r="T10840" t="str">
        <f>IF(C10840="","",UPPER(LEFT(SUBSTITUTE(C10840," ",""),3))&amp;"-"&amp;TEXT(B10840,"AAMMDD")&amp;"-1")</f>
        <v/>
      </c>
    </row>
    <row r="10841" spans="20:20" hidden="1">
      <c r="T10841" t="str">
        <f>IF(C10841="","",UPPER(LEFT(SUBSTITUTE(C10841," ",""),3))&amp;"-"&amp;TEXT(B10841,"AAMMDD")&amp;"-1")</f>
        <v/>
      </c>
    </row>
    <row r="10842" spans="20:20" hidden="1">
      <c r="T10842" t="str">
        <f>IF(C10842="","",UPPER(LEFT(SUBSTITUTE(C10842," ",""),3))&amp;"-"&amp;TEXT(B10842,"AAMMDD")&amp;"-1")</f>
        <v/>
      </c>
    </row>
    <row r="10843" spans="20:20" hidden="1">
      <c r="T10843" t="str">
        <f>IF(C10843="","",UPPER(LEFT(SUBSTITUTE(C10843," ",""),3))&amp;"-"&amp;TEXT(B10843,"AAMMDD")&amp;"-1")</f>
        <v/>
      </c>
    </row>
    <row r="10844" spans="20:20" hidden="1">
      <c r="T10844" t="str">
        <f>IF(C10844="","",UPPER(LEFT(SUBSTITUTE(C10844," ",""),3))&amp;"-"&amp;TEXT(B10844,"AAMMDD")&amp;"-1")</f>
        <v/>
      </c>
    </row>
    <row r="10845" spans="20:20" hidden="1">
      <c r="T10845" t="str">
        <f>IF(C10845="","",UPPER(LEFT(SUBSTITUTE(C10845," ",""),3))&amp;"-"&amp;TEXT(B10845,"AAMMDD")&amp;"-1")</f>
        <v/>
      </c>
    </row>
    <row r="10846" spans="20:20" hidden="1">
      <c r="T10846" t="str">
        <f>IF(C10846="","",UPPER(LEFT(SUBSTITUTE(C10846," ",""),3))&amp;"-"&amp;TEXT(B10846,"AAMMDD")&amp;"-1")</f>
        <v/>
      </c>
    </row>
    <row r="10847" spans="20:20" hidden="1">
      <c r="T10847" t="str">
        <f>IF(C10847="","",UPPER(LEFT(SUBSTITUTE(C10847," ",""),3))&amp;"-"&amp;TEXT(B10847,"AAMMDD")&amp;"-1")</f>
        <v/>
      </c>
    </row>
    <row r="10848" spans="20:20" hidden="1">
      <c r="T10848" t="str">
        <f>IF(C10848="","",UPPER(LEFT(SUBSTITUTE(C10848," ",""),3))&amp;"-"&amp;TEXT(B10848,"AAMMDD")&amp;"-1")</f>
        <v/>
      </c>
    </row>
    <row r="10849" spans="20:20" hidden="1">
      <c r="T10849" t="str">
        <f>IF(C10849="","",UPPER(LEFT(SUBSTITUTE(C10849," ",""),3))&amp;"-"&amp;TEXT(B10849,"AAMMDD")&amp;"-1")</f>
        <v/>
      </c>
    </row>
    <row r="10850" spans="20:20" hidden="1">
      <c r="T10850" t="str">
        <f>IF(C10850="","",UPPER(LEFT(SUBSTITUTE(C10850," ",""),3))&amp;"-"&amp;TEXT(B10850,"AAMMDD")&amp;"-1")</f>
        <v/>
      </c>
    </row>
    <row r="10851" spans="20:20" hidden="1">
      <c r="T10851" t="str">
        <f>IF(C10851="","",UPPER(LEFT(SUBSTITUTE(C10851," ",""),3))&amp;"-"&amp;TEXT(B10851,"AAMMDD")&amp;"-1")</f>
        <v/>
      </c>
    </row>
    <row r="10852" spans="20:20" hidden="1">
      <c r="T10852" t="str">
        <f>IF(C10852="","",UPPER(LEFT(SUBSTITUTE(C10852," ",""),3))&amp;"-"&amp;TEXT(B10852,"AAMMDD")&amp;"-1")</f>
        <v/>
      </c>
    </row>
    <row r="10853" spans="20:20" hidden="1">
      <c r="T10853" t="str">
        <f>IF(C10853="","",UPPER(LEFT(SUBSTITUTE(C10853," ",""),3))&amp;"-"&amp;TEXT(B10853,"AAMMDD")&amp;"-1")</f>
        <v/>
      </c>
    </row>
    <row r="10854" spans="20:20" hidden="1">
      <c r="T10854" t="str">
        <f>IF(C10854="","",UPPER(LEFT(SUBSTITUTE(C10854," ",""),3))&amp;"-"&amp;TEXT(B10854,"AAMMDD")&amp;"-1")</f>
        <v/>
      </c>
    </row>
    <row r="10855" spans="20:20" hidden="1">
      <c r="T10855" t="str">
        <f>IF(C10855="","",UPPER(LEFT(SUBSTITUTE(C10855," ",""),3))&amp;"-"&amp;TEXT(B10855,"AAMMDD")&amp;"-1")</f>
        <v/>
      </c>
    </row>
    <row r="10856" spans="20:20" hidden="1">
      <c r="T10856" t="str">
        <f>IF(C10856="","",UPPER(LEFT(SUBSTITUTE(C10856," ",""),3))&amp;"-"&amp;TEXT(B10856,"AAMMDD")&amp;"-1")</f>
        <v/>
      </c>
    </row>
    <row r="10857" spans="20:20" hidden="1">
      <c r="T10857" t="str">
        <f>IF(C10857="","",UPPER(LEFT(SUBSTITUTE(C10857," ",""),3))&amp;"-"&amp;TEXT(B10857,"AAMMDD")&amp;"-1")</f>
        <v/>
      </c>
    </row>
    <row r="10858" spans="20:20" hidden="1">
      <c r="T10858" t="str">
        <f>IF(C10858="","",UPPER(LEFT(SUBSTITUTE(C10858," ",""),3))&amp;"-"&amp;TEXT(B10858,"AAMMDD")&amp;"-1")</f>
        <v/>
      </c>
    </row>
    <row r="10859" spans="20:20" hidden="1">
      <c r="T10859" t="str">
        <f>IF(C10859="","",UPPER(LEFT(SUBSTITUTE(C10859," ",""),3))&amp;"-"&amp;TEXT(B10859,"AAMMDD")&amp;"-1")</f>
        <v/>
      </c>
    </row>
    <row r="10860" spans="20:20" hidden="1">
      <c r="T10860" t="str">
        <f>IF(C10860="","",UPPER(LEFT(SUBSTITUTE(C10860," ",""),3))&amp;"-"&amp;TEXT(B10860,"AAMMDD")&amp;"-1")</f>
        <v/>
      </c>
    </row>
    <row r="10861" spans="20:20" hidden="1">
      <c r="T10861" t="str">
        <f>IF(C10861="","",UPPER(LEFT(SUBSTITUTE(C10861," ",""),3))&amp;"-"&amp;TEXT(B10861,"AAMMDD")&amp;"-1")</f>
        <v/>
      </c>
    </row>
    <row r="10862" spans="20:20" hidden="1">
      <c r="T10862" t="str">
        <f>IF(C10862="","",UPPER(LEFT(SUBSTITUTE(C10862," ",""),3))&amp;"-"&amp;TEXT(B10862,"AAMMDD")&amp;"-1")</f>
        <v/>
      </c>
    </row>
    <row r="10863" spans="20:20" hidden="1">
      <c r="T10863" t="str">
        <f>IF(C10863="","",UPPER(LEFT(SUBSTITUTE(C10863," ",""),3))&amp;"-"&amp;TEXT(B10863,"AAMMDD")&amp;"-1")</f>
        <v/>
      </c>
    </row>
    <row r="10864" spans="20:20" hidden="1">
      <c r="T10864" t="str">
        <f>IF(C10864="","",UPPER(LEFT(SUBSTITUTE(C10864," ",""),3))&amp;"-"&amp;TEXT(B10864,"AAMMDD")&amp;"-1")</f>
        <v/>
      </c>
    </row>
    <row r="10865" spans="20:20" hidden="1">
      <c r="T10865" t="str">
        <f>IF(C10865="","",UPPER(LEFT(SUBSTITUTE(C10865," ",""),3))&amp;"-"&amp;TEXT(B10865,"AAMMDD")&amp;"-1")</f>
        <v/>
      </c>
    </row>
    <row r="10866" spans="20:20" hidden="1">
      <c r="T10866" t="str">
        <f>IF(C10866="","",UPPER(LEFT(SUBSTITUTE(C10866," ",""),3))&amp;"-"&amp;TEXT(B10866,"AAMMDD")&amp;"-1")</f>
        <v/>
      </c>
    </row>
    <row r="10867" spans="20:20" hidden="1">
      <c r="T10867" t="str">
        <f>IF(C10867="","",UPPER(LEFT(SUBSTITUTE(C10867," ",""),3))&amp;"-"&amp;TEXT(B10867,"AAMMDD")&amp;"-1")</f>
        <v/>
      </c>
    </row>
    <row r="10868" spans="20:20" hidden="1">
      <c r="T10868" t="str">
        <f>IF(C10868="","",UPPER(LEFT(SUBSTITUTE(C10868," ",""),3))&amp;"-"&amp;TEXT(B10868,"AAMMDD")&amp;"-1")</f>
        <v/>
      </c>
    </row>
    <row r="10869" spans="20:20" hidden="1">
      <c r="T10869" t="str">
        <f>IF(C10869="","",UPPER(LEFT(SUBSTITUTE(C10869," ",""),3))&amp;"-"&amp;TEXT(B10869,"AAMMDD")&amp;"-1")</f>
        <v/>
      </c>
    </row>
    <row r="10870" spans="20:20" hidden="1">
      <c r="T10870" t="str">
        <f>IF(C10870="","",UPPER(LEFT(SUBSTITUTE(C10870," ",""),3))&amp;"-"&amp;TEXT(B10870,"AAMMDD")&amp;"-1")</f>
        <v/>
      </c>
    </row>
    <row r="10871" spans="20:20" hidden="1">
      <c r="T10871" t="str">
        <f>IF(C10871="","",UPPER(LEFT(SUBSTITUTE(C10871," ",""),3))&amp;"-"&amp;TEXT(B10871,"AAMMDD")&amp;"-1")</f>
        <v/>
      </c>
    </row>
    <row r="10872" spans="20:20" hidden="1">
      <c r="T10872" t="str">
        <f>IF(C10872="","",UPPER(LEFT(SUBSTITUTE(C10872," ",""),3))&amp;"-"&amp;TEXT(B10872,"AAMMDD")&amp;"-1")</f>
        <v/>
      </c>
    </row>
    <row r="10873" spans="20:20" hidden="1">
      <c r="T10873" t="str">
        <f>IF(C10873="","",UPPER(LEFT(SUBSTITUTE(C10873," ",""),3))&amp;"-"&amp;TEXT(B10873,"AAMMDD")&amp;"-1")</f>
        <v/>
      </c>
    </row>
    <row r="10874" spans="20:20" hidden="1">
      <c r="T10874" t="str">
        <f>IF(C10874="","",UPPER(LEFT(SUBSTITUTE(C10874," ",""),3))&amp;"-"&amp;TEXT(B10874,"AAMMDD")&amp;"-1")</f>
        <v/>
      </c>
    </row>
    <row r="10875" spans="20:20" hidden="1">
      <c r="T10875" t="str">
        <f>IF(C10875="","",UPPER(LEFT(SUBSTITUTE(C10875," ",""),3))&amp;"-"&amp;TEXT(B10875,"AAMMDD")&amp;"-1")</f>
        <v/>
      </c>
    </row>
    <row r="10876" spans="20:20" hidden="1">
      <c r="T10876" t="str">
        <f>IF(C10876="","",UPPER(LEFT(SUBSTITUTE(C10876," ",""),3))&amp;"-"&amp;TEXT(B10876,"AAMMDD")&amp;"-1")</f>
        <v/>
      </c>
    </row>
    <row r="10877" spans="20:20" hidden="1">
      <c r="T10877" t="str">
        <f>IF(C10877="","",UPPER(LEFT(SUBSTITUTE(C10877," ",""),3))&amp;"-"&amp;TEXT(B10877,"AAMMDD")&amp;"-1")</f>
        <v/>
      </c>
    </row>
    <row r="10878" spans="20:20" hidden="1">
      <c r="T10878" t="str">
        <f>IF(C10878="","",UPPER(LEFT(SUBSTITUTE(C10878," ",""),3))&amp;"-"&amp;TEXT(B10878,"AAMMDD")&amp;"-1")</f>
        <v/>
      </c>
    </row>
    <row r="10879" spans="20:20" hidden="1">
      <c r="T10879" t="str">
        <f>IF(C10879="","",UPPER(LEFT(SUBSTITUTE(C10879," ",""),3))&amp;"-"&amp;TEXT(B10879,"AAMMDD")&amp;"-1")</f>
        <v/>
      </c>
    </row>
    <row r="10880" spans="20:20" hidden="1">
      <c r="T10880" t="str">
        <f>IF(C10880="","",UPPER(LEFT(SUBSTITUTE(C10880," ",""),3))&amp;"-"&amp;TEXT(B10880,"AAMMDD")&amp;"-1")</f>
        <v/>
      </c>
    </row>
    <row r="10881" spans="20:20" hidden="1">
      <c r="T10881" t="str">
        <f>IF(C10881="","",UPPER(LEFT(SUBSTITUTE(C10881," ",""),3))&amp;"-"&amp;TEXT(B10881,"AAMMDD")&amp;"-1")</f>
        <v/>
      </c>
    </row>
    <row r="10882" spans="20:20" hidden="1">
      <c r="T10882" t="str">
        <f>IF(C10882="","",UPPER(LEFT(SUBSTITUTE(C10882," ",""),3))&amp;"-"&amp;TEXT(B10882,"AAMMDD")&amp;"-1")</f>
        <v/>
      </c>
    </row>
    <row r="10883" spans="20:20" hidden="1">
      <c r="T10883" t="str">
        <f>IF(C10883="","",UPPER(LEFT(SUBSTITUTE(C10883," ",""),3))&amp;"-"&amp;TEXT(B10883,"AAMMDD")&amp;"-1")</f>
        <v/>
      </c>
    </row>
    <row r="10884" spans="20:20" hidden="1">
      <c r="T10884" t="str">
        <f>IF(C10884="","",UPPER(LEFT(SUBSTITUTE(C10884," ",""),3))&amp;"-"&amp;TEXT(B10884,"AAMMDD")&amp;"-1")</f>
        <v/>
      </c>
    </row>
    <row r="10885" spans="20:20" hidden="1">
      <c r="T10885" t="str">
        <f>IF(C10885="","",UPPER(LEFT(SUBSTITUTE(C10885," ",""),3))&amp;"-"&amp;TEXT(B10885,"AAMMDD")&amp;"-1")</f>
        <v/>
      </c>
    </row>
    <row r="10886" spans="20:20" hidden="1">
      <c r="T10886" t="str">
        <f>IF(C10886="","",UPPER(LEFT(SUBSTITUTE(C10886," ",""),3))&amp;"-"&amp;TEXT(B10886,"AAMMDD")&amp;"-1")</f>
        <v/>
      </c>
    </row>
    <row r="10887" spans="20:20" hidden="1">
      <c r="T10887" t="str">
        <f>IF(C10887="","",UPPER(LEFT(SUBSTITUTE(C10887," ",""),3))&amp;"-"&amp;TEXT(B10887,"AAMMDD")&amp;"-1")</f>
        <v/>
      </c>
    </row>
    <row r="10888" spans="20:20" hidden="1">
      <c r="T10888" t="str">
        <f>IF(C10888="","",UPPER(LEFT(SUBSTITUTE(C10888," ",""),3))&amp;"-"&amp;TEXT(B10888,"AAMMDD")&amp;"-1")</f>
        <v/>
      </c>
    </row>
    <row r="10889" spans="20:20" hidden="1">
      <c r="T10889" t="str">
        <f>IF(C10889="","",UPPER(LEFT(SUBSTITUTE(C10889," ",""),3))&amp;"-"&amp;TEXT(B10889,"AAMMDD")&amp;"-1")</f>
        <v/>
      </c>
    </row>
    <row r="10890" spans="20:20" hidden="1">
      <c r="T10890" t="str">
        <f>IF(C10890="","",UPPER(LEFT(SUBSTITUTE(C10890," ",""),3))&amp;"-"&amp;TEXT(B10890,"AAMMDD")&amp;"-1")</f>
        <v/>
      </c>
    </row>
    <row r="10891" spans="20:20" hidden="1">
      <c r="T10891" t="str">
        <f>IF(C10891="","",UPPER(LEFT(SUBSTITUTE(C10891," ",""),3))&amp;"-"&amp;TEXT(B10891,"AAMMDD")&amp;"-1")</f>
        <v/>
      </c>
    </row>
    <row r="10892" spans="20:20" hidden="1">
      <c r="T10892" t="str">
        <f>IF(C10892="","",UPPER(LEFT(SUBSTITUTE(C10892," ",""),3))&amp;"-"&amp;TEXT(B10892,"AAMMDD")&amp;"-1")</f>
        <v/>
      </c>
    </row>
    <row r="10893" spans="20:20" hidden="1">
      <c r="T10893" t="str">
        <f>IF(C10893="","",UPPER(LEFT(SUBSTITUTE(C10893," ",""),3))&amp;"-"&amp;TEXT(B10893,"AAMMDD")&amp;"-1")</f>
        <v/>
      </c>
    </row>
    <row r="10894" spans="20:20" hidden="1">
      <c r="T10894" t="str">
        <f>IF(C10894="","",UPPER(LEFT(SUBSTITUTE(C10894," ",""),3))&amp;"-"&amp;TEXT(B10894,"AAMMDD")&amp;"-1")</f>
        <v/>
      </c>
    </row>
    <row r="10895" spans="20:20" hidden="1">
      <c r="T10895" t="str">
        <f>IF(C10895="","",UPPER(LEFT(SUBSTITUTE(C10895," ",""),3))&amp;"-"&amp;TEXT(B10895,"AAMMDD")&amp;"-1")</f>
        <v/>
      </c>
    </row>
    <row r="10896" spans="20:20" hidden="1">
      <c r="T10896" t="str">
        <f>IF(C10896="","",UPPER(LEFT(SUBSTITUTE(C10896," ",""),3))&amp;"-"&amp;TEXT(B10896,"AAMMDD")&amp;"-1")</f>
        <v/>
      </c>
    </row>
    <row r="10897" spans="20:20" hidden="1">
      <c r="T10897" t="str">
        <f>IF(C10897="","",UPPER(LEFT(SUBSTITUTE(C10897," ",""),3))&amp;"-"&amp;TEXT(B10897,"AAMMDD")&amp;"-1")</f>
        <v/>
      </c>
    </row>
    <row r="10898" spans="20:20" hidden="1">
      <c r="T10898" t="str">
        <f>IF(C10898="","",UPPER(LEFT(SUBSTITUTE(C10898," ",""),3))&amp;"-"&amp;TEXT(B10898,"AAMMDD")&amp;"-1")</f>
        <v/>
      </c>
    </row>
    <row r="10899" spans="20:20" hidden="1">
      <c r="T10899" t="str">
        <f>IF(C10899="","",UPPER(LEFT(SUBSTITUTE(C10899," ",""),3))&amp;"-"&amp;TEXT(B10899,"AAMMDD")&amp;"-1")</f>
        <v/>
      </c>
    </row>
    <row r="10900" spans="20:20" hidden="1">
      <c r="T10900" t="str">
        <f>IF(C10900="","",UPPER(LEFT(SUBSTITUTE(C10900," ",""),3))&amp;"-"&amp;TEXT(B10900,"AAMMDD")&amp;"-1")</f>
        <v/>
      </c>
    </row>
    <row r="10901" spans="20:20" hidden="1">
      <c r="T10901" t="str">
        <f>IF(C10901="","",UPPER(LEFT(SUBSTITUTE(C10901," ",""),3))&amp;"-"&amp;TEXT(B10901,"AAMMDD")&amp;"-1")</f>
        <v/>
      </c>
    </row>
    <row r="10902" spans="20:20" hidden="1">
      <c r="T10902" t="str">
        <f>IF(C10902="","",UPPER(LEFT(SUBSTITUTE(C10902," ",""),3))&amp;"-"&amp;TEXT(B10902,"AAMMDD")&amp;"-1")</f>
        <v/>
      </c>
    </row>
    <row r="10903" spans="20:20" hidden="1">
      <c r="T10903" t="str">
        <f>IF(C10903="","",UPPER(LEFT(SUBSTITUTE(C10903," ",""),3))&amp;"-"&amp;TEXT(B10903,"AAMMDD")&amp;"-1")</f>
        <v/>
      </c>
    </row>
    <row r="10904" spans="20:20" hidden="1">
      <c r="T10904" t="str">
        <f>IF(C10904="","",UPPER(LEFT(SUBSTITUTE(C10904," ",""),3))&amp;"-"&amp;TEXT(B10904,"AAMMDD")&amp;"-1")</f>
        <v/>
      </c>
    </row>
    <row r="10905" spans="20:20" hidden="1">
      <c r="T10905" t="str">
        <f>IF(C10905="","",UPPER(LEFT(SUBSTITUTE(C10905," ",""),3))&amp;"-"&amp;TEXT(B10905,"AAMMDD")&amp;"-1")</f>
        <v/>
      </c>
    </row>
    <row r="10906" spans="20:20" hidden="1">
      <c r="T10906" t="str">
        <f>IF(C10906="","",UPPER(LEFT(SUBSTITUTE(C10906," ",""),3))&amp;"-"&amp;TEXT(B10906,"AAMMDD")&amp;"-1")</f>
        <v/>
      </c>
    </row>
    <row r="10907" spans="20:20" hidden="1">
      <c r="T10907" t="str">
        <f>IF(C10907="","",UPPER(LEFT(SUBSTITUTE(C10907," ",""),3))&amp;"-"&amp;TEXT(B10907,"AAMMDD")&amp;"-1")</f>
        <v/>
      </c>
    </row>
    <row r="10908" spans="20:20" hidden="1">
      <c r="T10908" t="str">
        <f>IF(C10908="","",UPPER(LEFT(SUBSTITUTE(C10908," ",""),3))&amp;"-"&amp;TEXT(B10908,"AAMMDD")&amp;"-1")</f>
        <v/>
      </c>
    </row>
    <row r="10909" spans="20:20" hidden="1">
      <c r="T10909" t="str">
        <f>IF(C10909="","",UPPER(LEFT(SUBSTITUTE(C10909," ",""),3))&amp;"-"&amp;TEXT(B10909,"AAMMDD")&amp;"-1")</f>
        <v/>
      </c>
    </row>
    <row r="10910" spans="20:20" hidden="1">
      <c r="T10910" t="str">
        <f>IF(C10910="","",UPPER(LEFT(SUBSTITUTE(C10910," ",""),3))&amp;"-"&amp;TEXT(B10910,"AAMMDD")&amp;"-1")</f>
        <v/>
      </c>
    </row>
    <row r="10911" spans="20:20" hidden="1">
      <c r="T10911" t="str">
        <f>IF(C10911="","",UPPER(LEFT(SUBSTITUTE(C10911," ",""),3))&amp;"-"&amp;TEXT(B10911,"AAMMDD")&amp;"-1")</f>
        <v/>
      </c>
    </row>
    <row r="10912" spans="20:20" hidden="1">
      <c r="T10912" t="str">
        <f>IF(C10912="","",UPPER(LEFT(SUBSTITUTE(C10912," ",""),3))&amp;"-"&amp;TEXT(B10912,"AAMMDD")&amp;"-1")</f>
        <v/>
      </c>
    </row>
    <row r="10913" spans="20:20" hidden="1">
      <c r="T10913" t="str">
        <f>IF(C10913="","",UPPER(LEFT(SUBSTITUTE(C10913," ",""),3))&amp;"-"&amp;TEXT(B10913,"AAMMDD")&amp;"-1")</f>
        <v/>
      </c>
    </row>
    <row r="10914" spans="20:20" hidden="1">
      <c r="T10914" t="str">
        <f>IF(C10914="","",UPPER(LEFT(SUBSTITUTE(C10914," ",""),3))&amp;"-"&amp;TEXT(B10914,"AAMMDD")&amp;"-1")</f>
        <v/>
      </c>
    </row>
    <row r="10915" spans="20:20" hidden="1">
      <c r="T10915" t="str">
        <f>IF(C10915="","",UPPER(LEFT(SUBSTITUTE(C10915," ",""),3))&amp;"-"&amp;TEXT(B10915,"AAMMDD")&amp;"-1")</f>
        <v/>
      </c>
    </row>
    <row r="10916" spans="20:20" hidden="1">
      <c r="T10916" t="str">
        <f>IF(C10916="","",UPPER(LEFT(SUBSTITUTE(C10916," ",""),3))&amp;"-"&amp;TEXT(B10916,"AAMMDD")&amp;"-1")</f>
        <v/>
      </c>
    </row>
    <row r="10917" spans="20:20" hidden="1">
      <c r="T10917" t="str">
        <f>IF(C10917="","",UPPER(LEFT(SUBSTITUTE(C10917," ",""),3))&amp;"-"&amp;TEXT(B10917,"AAMMDD")&amp;"-1")</f>
        <v/>
      </c>
    </row>
    <row r="10918" spans="20:20" hidden="1">
      <c r="T10918" t="str">
        <f>IF(C10918="","",UPPER(LEFT(SUBSTITUTE(C10918," ",""),3))&amp;"-"&amp;TEXT(B10918,"AAMMDD")&amp;"-1")</f>
        <v/>
      </c>
    </row>
    <row r="10919" spans="20:20" hidden="1">
      <c r="T10919" t="str">
        <f>IF(C10919="","",UPPER(LEFT(SUBSTITUTE(C10919," ",""),3))&amp;"-"&amp;TEXT(B10919,"AAMMDD")&amp;"-1")</f>
        <v/>
      </c>
    </row>
    <row r="10920" spans="20:20" hidden="1">
      <c r="T10920" t="str">
        <f>IF(C10920="","",UPPER(LEFT(SUBSTITUTE(C10920," ",""),3))&amp;"-"&amp;TEXT(B10920,"AAMMDD")&amp;"-1")</f>
        <v/>
      </c>
    </row>
    <row r="10921" spans="20:20" hidden="1">
      <c r="T10921" t="str">
        <f>IF(C10921="","",UPPER(LEFT(SUBSTITUTE(C10921," ",""),3))&amp;"-"&amp;TEXT(B10921,"AAMMDD")&amp;"-1")</f>
        <v/>
      </c>
    </row>
    <row r="10922" spans="20:20" hidden="1">
      <c r="T10922" t="str">
        <f>IF(C10922="","",UPPER(LEFT(SUBSTITUTE(C10922," ",""),3))&amp;"-"&amp;TEXT(B10922,"AAMMDD")&amp;"-1")</f>
        <v/>
      </c>
    </row>
    <row r="10923" spans="20:20" hidden="1">
      <c r="T10923" t="str">
        <f>IF(C10923="","",UPPER(LEFT(SUBSTITUTE(C10923," ",""),3))&amp;"-"&amp;TEXT(B10923,"AAMMDD")&amp;"-1")</f>
        <v/>
      </c>
    </row>
    <row r="10924" spans="20:20" hidden="1">
      <c r="T10924" t="str">
        <f>IF(C10924="","",UPPER(LEFT(SUBSTITUTE(C10924," ",""),3))&amp;"-"&amp;TEXT(B10924,"AAMMDD")&amp;"-1")</f>
        <v/>
      </c>
    </row>
    <row r="10925" spans="20:20" hidden="1">
      <c r="T10925" t="str">
        <f>IF(C10925="","",UPPER(LEFT(SUBSTITUTE(C10925," ",""),3))&amp;"-"&amp;TEXT(B10925,"AAMMDD")&amp;"-1")</f>
        <v/>
      </c>
    </row>
    <row r="10926" spans="20:20" hidden="1">
      <c r="T10926" t="str">
        <f>IF(C10926="","",UPPER(LEFT(SUBSTITUTE(C10926," ",""),3))&amp;"-"&amp;TEXT(B10926,"AAMMDD")&amp;"-1")</f>
        <v/>
      </c>
    </row>
    <row r="10927" spans="20:20" hidden="1">
      <c r="T10927" t="str">
        <f>IF(C10927="","",UPPER(LEFT(SUBSTITUTE(C10927," ",""),3))&amp;"-"&amp;TEXT(B10927,"AAMMDD")&amp;"-1")</f>
        <v/>
      </c>
    </row>
    <row r="10928" spans="20:20" hidden="1">
      <c r="T10928" t="str">
        <f>IF(C10928="","",UPPER(LEFT(SUBSTITUTE(C10928," ",""),3))&amp;"-"&amp;TEXT(B10928,"AAMMDD")&amp;"-1")</f>
        <v/>
      </c>
    </row>
    <row r="10929" spans="20:20" hidden="1">
      <c r="T10929" t="str">
        <f>IF(C10929="","",UPPER(LEFT(SUBSTITUTE(C10929," ",""),3))&amp;"-"&amp;TEXT(B10929,"AAMMDD")&amp;"-1")</f>
        <v/>
      </c>
    </row>
    <row r="10930" spans="20:20" hidden="1">
      <c r="T10930" t="str">
        <f>IF(C10930="","",UPPER(LEFT(SUBSTITUTE(C10930," ",""),3))&amp;"-"&amp;TEXT(B10930,"AAMMDD")&amp;"-1")</f>
        <v/>
      </c>
    </row>
    <row r="10931" spans="20:20" hidden="1">
      <c r="T10931" t="str">
        <f>IF(C10931="","",UPPER(LEFT(SUBSTITUTE(C10931," ",""),3))&amp;"-"&amp;TEXT(B10931,"AAMMDD")&amp;"-1")</f>
        <v/>
      </c>
    </row>
    <row r="10932" spans="20:20" hidden="1">
      <c r="T10932" t="str">
        <f>IF(C10932="","",UPPER(LEFT(SUBSTITUTE(C10932," ",""),3))&amp;"-"&amp;TEXT(B10932,"AAMMDD")&amp;"-1")</f>
        <v/>
      </c>
    </row>
    <row r="10933" spans="20:20" hidden="1">
      <c r="T10933" t="str">
        <f>IF(C10933="","",UPPER(LEFT(SUBSTITUTE(C10933," ",""),3))&amp;"-"&amp;TEXT(B10933,"AAMMDD")&amp;"-1")</f>
        <v/>
      </c>
    </row>
    <row r="10934" spans="20:20" hidden="1">
      <c r="T10934" t="str">
        <f>IF(C10934="","",UPPER(LEFT(SUBSTITUTE(C10934," ",""),3))&amp;"-"&amp;TEXT(B10934,"AAMMDD")&amp;"-1")</f>
        <v/>
      </c>
    </row>
    <row r="10935" spans="20:20" hidden="1">
      <c r="T10935" t="str">
        <f>IF(C10935="","",UPPER(LEFT(SUBSTITUTE(C10935," ",""),3))&amp;"-"&amp;TEXT(B10935,"AAMMDD")&amp;"-1")</f>
        <v/>
      </c>
    </row>
    <row r="10936" spans="20:20" hidden="1">
      <c r="T10936" t="str">
        <f>IF(C10936="","",UPPER(LEFT(SUBSTITUTE(C10936," ",""),3))&amp;"-"&amp;TEXT(B10936,"AAMMDD")&amp;"-1")</f>
        <v/>
      </c>
    </row>
    <row r="10937" spans="20:20" hidden="1">
      <c r="T10937" t="str">
        <f>IF(C10937="","",UPPER(LEFT(SUBSTITUTE(C10937," ",""),3))&amp;"-"&amp;TEXT(B10937,"AAMMDD")&amp;"-1")</f>
        <v/>
      </c>
    </row>
    <row r="10938" spans="20:20" hidden="1">
      <c r="T10938" t="str">
        <f>IF(C10938="","",UPPER(LEFT(SUBSTITUTE(C10938," ",""),3))&amp;"-"&amp;TEXT(B10938,"AAMMDD")&amp;"-1")</f>
        <v/>
      </c>
    </row>
    <row r="10939" spans="20:20" hidden="1">
      <c r="T10939" t="str">
        <f>IF(C10939="","",UPPER(LEFT(SUBSTITUTE(C10939," ",""),3))&amp;"-"&amp;TEXT(B10939,"AAMMDD")&amp;"-1")</f>
        <v/>
      </c>
    </row>
    <row r="10940" spans="20:20" hidden="1">
      <c r="T10940" t="str">
        <f>IF(C10940="","",UPPER(LEFT(SUBSTITUTE(C10940," ",""),3))&amp;"-"&amp;TEXT(B10940,"AAMMDD")&amp;"-1")</f>
        <v/>
      </c>
    </row>
    <row r="10941" spans="20:20" hidden="1">
      <c r="T10941" t="str">
        <f>IF(C10941="","",UPPER(LEFT(SUBSTITUTE(C10941," ",""),3))&amp;"-"&amp;TEXT(B10941,"AAMMDD")&amp;"-1")</f>
        <v/>
      </c>
    </row>
    <row r="10942" spans="20:20" hidden="1">
      <c r="T10942" t="str">
        <f>IF(C10942="","",UPPER(LEFT(SUBSTITUTE(C10942," ",""),3))&amp;"-"&amp;TEXT(B10942,"AAMMDD")&amp;"-1")</f>
        <v/>
      </c>
    </row>
    <row r="10943" spans="20:20" hidden="1">
      <c r="T10943" t="str">
        <f>IF(C10943="","",UPPER(LEFT(SUBSTITUTE(C10943," ",""),3))&amp;"-"&amp;TEXT(B10943,"AAMMDD")&amp;"-1")</f>
        <v/>
      </c>
    </row>
    <row r="10944" spans="20:20" hidden="1">
      <c r="T10944" t="str">
        <f>IF(C10944="","",UPPER(LEFT(SUBSTITUTE(C10944," ",""),3))&amp;"-"&amp;TEXT(B10944,"AAMMDD")&amp;"-1")</f>
        <v/>
      </c>
    </row>
    <row r="10945" spans="20:20" hidden="1">
      <c r="T10945" t="str">
        <f>IF(C10945="","",UPPER(LEFT(SUBSTITUTE(C10945," ",""),3))&amp;"-"&amp;TEXT(B10945,"AAMMDD")&amp;"-1")</f>
        <v/>
      </c>
    </row>
    <row r="10946" spans="20:20" hidden="1">
      <c r="T10946" t="str">
        <f>IF(C10946="","",UPPER(LEFT(SUBSTITUTE(C10946," ",""),3))&amp;"-"&amp;TEXT(B10946,"AAMMDD")&amp;"-1")</f>
        <v/>
      </c>
    </row>
    <row r="10947" spans="20:20" hidden="1">
      <c r="T10947" t="str">
        <f>IF(C10947="","",UPPER(LEFT(SUBSTITUTE(C10947," ",""),3))&amp;"-"&amp;TEXT(B10947,"AAMMDD")&amp;"-1")</f>
        <v/>
      </c>
    </row>
    <row r="10948" spans="20:20" hidden="1">
      <c r="T10948" t="str">
        <f>IF(C10948="","",UPPER(LEFT(SUBSTITUTE(C10948," ",""),3))&amp;"-"&amp;TEXT(B10948,"AAMMDD")&amp;"-1")</f>
        <v/>
      </c>
    </row>
    <row r="10949" spans="20:20" hidden="1">
      <c r="T10949" t="str">
        <f>IF(C10949="","",UPPER(LEFT(SUBSTITUTE(C10949," ",""),3))&amp;"-"&amp;TEXT(B10949,"AAMMDD")&amp;"-1")</f>
        <v/>
      </c>
    </row>
    <row r="10950" spans="20:20" hidden="1">
      <c r="T10950" t="str">
        <f>IF(C10950="","",UPPER(LEFT(SUBSTITUTE(C10950," ",""),3))&amp;"-"&amp;TEXT(B10950,"AAMMDD")&amp;"-1")</f>
        <v/>
      </c>
    </row>
    <row r="10951" spans="20:20" hidden="1">
      <c r="T10951" t="str">
        <f>IF(C10951="","",UPPER(LEFT(SUBSTITUTE(C10951," ",""),3))&amp;"-"&amp;TEXT(B10951,"AAMMDD")&amp;"-1")</f>
        <v/>
      </c>
    </row>
    <row r="10952" spans="20:20" hidden="1">
      <c r="T10952" t="str">
        <f>IF(C10952="","",UPPER(LEFT(SUBSTITUTE(C10952," ",""),3))&amp;"-"&amp;TEXT(B10952,"AAMMDD")&amp;"-1")</f>
        <v/>
      </c>
    </row>
    <row r="10953" spans="20:20" hidden="1">
      <c r="T10953" t="str">
        <f>IF(C10953="","",UPPER(LEFT(SUBSTITUTE(C10953," ",""),3))&amp;"-"&amp;TEXT(B10953,"AAMMDD")&amp;"-1")</f>
        <v/>
      </c>
    </row>
    <row r="10954" spans="20:20" hidden="1">
      <c r="T10954" t="str">
        <f>IF(C10954="","",UPPER(LEFT(SUBSTITUTE(C10954," ",""),3))&amp;"-"&amp;TEXT(B10954,"AAMMDD")&amp;"-1")</f>
        <v/>
      </c>
    </row>
    <row r="10955" spans="20:20" hidden="1">
      <c r="T10955" t="str">
        <f>IF(C10955="","",UPPER(LEFT(SUBSTITUTE(C10955," ",""),3))&amp;"-"&amp;TEXT(B10955,"AAMMDD")&amp;"-1")</f>
        <v/>
      </c>
    </row>
    <row r="10956" spans="20:20" hidden="1">
      <c r="T10956" t="str">
        <f>IF(C10956="","",UPPER(LEFT(SUBSTITUTE(C10956," ",""),3))&amp;"-"&amp;TEXT(B10956,"AAMMDD")&amp;"-1")</f>
        <v/>
      </c>
    </row>
    <row r="10957" spans="20:20" hidden="1">
      <c r="T10957" t="str">
        <f>IF(C10957="","",UPPER(LEFT(SUBSTITUTE(C10957," ",""),3))&amp;"-"&amp;TEXT(B10957,"AAMMDD")&amp;"-1")</f>
        <v/>
      </c>
    </row>
    <row r="10958" spans="20:20" hidden="1">
      <c r="T10958" t="str">
        <f>IF(C10958="","",UPPER(LEFT(SUBSTITUTE(C10958," ",""),3))&amp;"-"&amp;TEXT(B10958,"AAMMDD")&amp;"-1")</f>
        <v/>
      </c>
    </row>
    <row r="10959" spans="20:20" hidden="1">
      <c r="T10959" t="str">
        <f>IF(C10959="","",UPPER(LEFT(SUBSTITUTE(C10959," ",""),3))&amp;"-"&amp;TEXT(B10959,"AAMMDD")&amp;"-1")</f>
        <v/>
      </c>
    </row>
    <row r="10960" spans="20:20" hidden="1">
      <c r="T10960" t="str">
        <f>IF(C10960="","",UPPER(LEFT(SUBSTITUTE(C10960," ",""),3))&amp;"-"&amp;TEXT(B10960,"AAMMDD")&amp;"-1")</f>
        <v/>
      </c>
    </row>
    <row r="10961" spans="20:20" hidden="1">
      <c r="T10961" t="str">
        <f>IF(C10961="","",UPPER(LEFT(SUBSTITUTE(C10961," ",""),3))&amp;"-"&amp;TEXT(B10961,"AAMMDD")&amp;"-1")</f>
        <v/>
      </c>
    </row>
    <row r="10962" spans="20:20" hidden="1">
      <c r="T10962" t="str">
        <f>IF(C10962="","",UPPER(LEFT(SUBSTITUTE(C10962," ",""),3))&amp;"-"&amp;TEXT(B10962,"AAMMDD")&amp;"-1")</f>
        <v/>
      </c>
    </row>
    <row r="10963" spans="20:20" hidden="1">
      <c r="T10963" t="str">
        <f>IF(C10963="","",UPPER(LEFT(SUBSTITUTE(C10963," ",""),3))&amp;"-"&amp;TEXT(B10963,"AAMMDD")&amp;"-1")</f>
        <v/>
      </c>
    </row>
    <row r="10964" spans="20:20" hidden="1">
      <c r="T10964" t="str">
        <f>IF(C10964="","",UPPER(LEFT(SUBSTITUTE(C10964," ",""),3))&amp;"-"&amp;TEXT(B10964,"AAMMDD")&amp;"-1")</f>
        <v/>
      </c>
    </row>
    <row r="10965" spans="20:20" hidden="1">
      <c r="T10965" t="str">
        <f>IF(C10965="","",UPPER(LEFT(SUBSTITUTE(C10965," ",""),3))&amp;"-"&amp;TEXT(B10965,"AAMMDD")&amp;"-1")</f>
        <v/>
      </c>
    </row>
    <row r="10966" spans="20:20" hidden="1">
      <c r="T10966" t="str">
        <f>IF(C10966="","",UPPER(LEFT(SUBSTITUTE(C10966," ",""),3))&amp;"-"&amp;TEXT(B10966,"AAMMDD")&amp;"-1")</f>
        <v/>
      </c>
    </row>
    <row r="10967" spans="20:20" hidden="1">
      <c r="T10967" t="str">
        <f>IF(C10967="","",UPPER(LEFT(SUBSTITUTE(C10967," ",""),3))&amp;"-"&amp;TEXT(B10967,"AAMMDD")&amp;"-1")</f>
        <v/>
      </c>
    </row>
    <row r="10968" spans="20:20" hidden="1">
      <c r="T10968" t="str">
        <f>IF(C10968="","",UPPER(LEFT(SUBSTITUTE(C10968," ",""),3))&amp;"-"&amp;TEXT(B10968,"AAMMDD")&amp;"-1")</f>
        <v/>
      </c>
    </row>
    <row r="10969" spans="20:20" hidden="1">
      <c r="T10969" t="str">
        <f>IF(C10969="","",UPPER(LEFT(SUBSTITUTE(C10969," ",""),3))&amp;"-"&amp;TEXT(B10969,"AAMMDD")&amp;"-1")</f>
        <v/>
      </c>
    </row>
    <row r="10970" spans="20:20" hidden="1">
      <c r="T10970" t="str">
        <f>IF(C10970="","",UPPER(LEFT(SUBSTITUTE(C10970," ",""),3))&amp;"-"&amp;TEXT(B10970,"AAMMDD")&amp;"-1")</f>
        <v/>
      </c>
    </row>
    <row r="10971" spans="20:20" hidden="1">
      <c r="T10971" t="str">
        <f>IF(C10971="","",UPPER(LEFT(SUBSTITUTE(C10971," ",""),3))&amp;"-"&amp;TEXT(B10971,"AAMMDD")&amp;"-1")</f>
        <v/>
      </c>
    </row>
    <row r="10972" spans="20:20" hidden="1">
      <c r="T10972" t="str">
        <f>IF(C10972="","",UPPER(LEFT(SUBSTITUTE(C10972," ",""),3))&amp;"-"&amp;TEXT(B10972,"AAMMDD")&amp;"-1")</f>
        <v/>
      </c>
    </row>
    <row r="10973" spans="20:20" hidden="1">
      <c r="T10973" t="str">
        <f>IF(C10973="","",UPPER(LEFT(SUBSTITUTE(C10973," ",""),3))&amp;"-"&amp;TEXT(B10973,"AAMMDD")&amp;"-1")</f>
        <v/>
      </c>
    </row>
    <row r="10974" spans="20:20" hidden="1">
      <c r="T10974" t="str">
        <f>IF(C10974="","",UPPER(LEFT(SUBSTITUTE(C10974," ",""),3))&amp;"-"&amp;TEXT(B10974,"AAMMDD")&amp;"-1")</f>
        <v/>
      </c>
    </row>
    <row r="10975" spans="20:20" hidden="1">
      <c r="T10975" t="str">
        <f>IF(C10975="","",UPPER(LEFT(SUBSTITUTE(C10975," ",""),3))&amp;"-"&amp;TEXT(B10975,"AAMMDD")&amp;"-1")</f>
        <v/>
      </c>
    </row>
    <row r="10976" spans="20:20" hidden="1">
      <c r="T10976" t="str">
        <f>IF(C10976="","",UPPER(LEFT(SUBSTITUTE(C10976," ",""),3))&amp;"-"&amp;TEXT(B10976,"AAMMDD")&amp;"-1")</f>
        <v/>
      </c>
    </row>
    <row r="10977" spans="20:20" hidden="1">
      <c r="T10977" t="str">
        <f>IF(C10977="","",UPPER(LEFT(SUBSTITUTE(C10977," ",""),3))&amp;"-"&amp;TEXT(B10977,"AAMMDD")&amp;"-1")</f>
        <v/>
      </c>
    </row>
    <row r="10978" spans="20:20" hidden="1">
      <c r="T10978" t="str">
        <f>IF(C10978="","",UPPER(LEFT(SUBSTITUTE(C10978," ",""),3))&amp;"-"&amp;TEXT(B10978,"AAMMDD")&amp;"-1")</f>
        <v/>
      </c>
    </row>
    <row r="10979" spans="20:20" hidden="1">
      <c r="T10979" t="str">
        <f>IF(C10979="","",UPPER(LEFT(SUBSTITUTE(C10979," ",""),3))&amp;"-"&amp;TEXT(B10979,"AAMMDD")&amp;"-1")</f>
        <v/>
      </c>
    </row>
    <row r="10980" spans="20:20" hidden="1">
      <c r="T10980" t="str">
        <f>IF(C10980="","",UPPER(LEFT(SUBSTITUTE(C10980," ",""),3))&amp;"-"&amp;TEXT(B10980,"AAMMDD")&amp;"-1")</f>
        <v/>
      </c>
    </row>
    <row r="10981" spans="20:20" hidden="1">
      <c r="T10981" t="str">
        <f>IF(C10981="","",UPPER(LEFT(SUBSTITUTE(C10981," ",""),3))&amp;"-"&amp;TEXT(B10981,"AAMMDD")&amp;"-1")</f>
        <v/>
      </c>
    </row>
    <row r="10982" spans="20:20" hidden="1">
      <c r="T10982" t="str">
        <f>IF(C10982="","",UPPER(LEFT(SUBSTITUTE(C10982," ",""),3))&amp;"-"&amp;TEXT(B10982,"AAMMDD")&amp;"-1")</f>
        <v/>
      </c>
    </row>
    <row r="10983" spans="20:20" hidden="1">
      <c r="T10983" t="str">
        <f>IF(C10983="","",UPPER(LEFT(SUBSTITUTE(C10983," ",""),3))&amp;"-"&amp;TEXT(B10983,"AAMMDD")&amp;"-1")</f>
        <v/>
      </c>
    </row>
    <row r="10984" spans="20:20" hidden="1">
      <c r="T10984" t="str">
        <f>IF(C10984="","",UPPER(LEFT(SUBSTITUTE(C10984," ",""),3))&amp;"-"&amp;TEXT(B10984,"AAMMDD")&amp;"-1")</f>
        <v/>
      </c>
    </row>
    <row r="10985" spans="20:20" hidden="1">
      <c r="T10985" t="str">
        <f>IF(C10985="","",UPPER(LEFT(SUBSTITUTE(C10985," ",""),3))&amp;"-"&amp;TEXT(B10985,"AAMMDD")&amp;"-1")</f>
        <v/>
      </c>
    </row>
    <row r="10986" spans="20:20" hidden="1">
      <c r="T10986" t="str">
        <f>IF(C10986="","",UPPER(LEFT(SUBSTITUTE(C10986," ",""),3))&amp;"-"&amp;TEXT(B10986,"AAMMDD")&amp;"-1")</f>
        <v/>
      </c>
    </row>
    <row r="10987" spans="20:20" hidden="1">
      <c r="T10987" t="str">
        <f>IF(C10987="","",UPPER(LEFT(SUBSTITUTE(C10987," ",""),3))&amp;"-"&amp;TEXT(B10987,"AAMMDD")&amp;"-1")</f>
        <v/>
      </c>
    </row>
    <row r="10988" spans="20:20" hidden="1">
      <c r="T10988" t="str">
        <f>IF(C10988="","",UPPER(LEFT(SUBSTITUTE(C10988," ",""),3))&amp;"-"&amp;TEXT(B10988,"AAMMDD")&amp;"-1")</f>
        <v/>
      </c>
    </row>
    <row r="10989" spans="20:20" hidden="1">
      <c r="T10989" t="str">
        <f>IF(C10989="","",UPPER(LEFT(SUBSTITUTE(C10989," ",""),3))&amp;"-"&amp;TEXT(B10989,"AAMMDD")&amp;"-1")</f>
        <v/>
      </c>
    </row>
    <row r="10990" spans="20:20" hidden="1">
      <c r="T10990" t="str">
        <f>IF(C10990="","",UPPER(LEFT(SUBSTITUTE(C10990," ",""),3))&amp;"-"&amp;TEXT(B10990,"AAMMDD")&amp;"-1")</f>
        <v/>
      </c>
    </row>
    <row r="10991" spans="20:20" hidden="1">
      <c r="T10991" t="str">
        <f>IF(C10991="","",UPPER(LEFT(SUBSTITUTE(C10991," ",""),3))&amp;"-"&amp;TEXT(B10991,"AAMMDD")&amp;"-1")</f>
        <v/>
      </c>
    </row>
    <row r="10992" spans="20:20" hidden="1">
      <c r="T10992" t="str">
        <f>IF(C10992="","",UPPER(LEFT(SUBSTITUTE(C10992," ",""),3))&amp;"-"&amp;TEXT(B10992,"AAMMDD")&amp;"-1")</f>
        <v/>
      </c>
    </row>
    <row r="10993" spans="20:20" hidden="1">
      <c r="T10993" t="str">
        <f>IF(C10993="","",UPPER(LEFT(SUBSTITUTE(C10993," ",""),3))&amp;"-"&amp;TEXT(B10993,"AAMMDD")&amp;"-1")</f>
        <v/>
      </c>
    </row>
    <row r="10994" spans="20:20" hidden="1">
      <c r="T10994" t="str">
        <f>IF(C10994="","",UPPER(LEFT(SUBSTITUTE(C10994," ",""),3))&amp;"-"&amp;TEXT(B10994,"AAMMDD")&amp;"-1")</f>
        <v/>
      </c>
    </row>
    <row r="10995" spans="20:20" hidden="1">
      <c r="T10995" t="str">
        <f>IF(C10995="","",UPPER(LEFT(SUBSTITUTE(C10995," ",""),3))&amp;"-"&amp;TEXT(B10995,"AAMMDD")&amp;"-1")</f>
        <v/>
      </c>
    </row>
    <row r="10996" spans="20:20" hidden="1">
      <c r="T10996" t="str">
        <f>IF(C10996="","",UPPER(LEFT(SUBSTITUTE(C10996," ",""),3))&amp;"-"&amp;TEXT(B10996,"AAMMDD")&amp;"-1")</f>
        <v/>
      </c>
    </row>
    <row r="10997" spans="20:20" hidden="1">
      <c r="T10997" t="str">
        <f>IF(C10997="","",UPPER(LEFT(SUBSTITUTE(C10997," ",""),3))&amp;"-"&amp;TEXT(B10997,"AAMMDD")&amp;"-1")</f>
        <v/>
      </c>
    </row>
    <row r="10998" spans="20:20" hidden="1">
      <c r="T10998" t="str">
        <f>IF(C10998="","",UPPER(LEFT(SUBSTITUTE(C10998," ",""),3))&amp;"-"&amp;TEXT(B10998,"AAMMDD")&amp;"-1")</f>
        <v/>
      </c>
    </row>
    <row r="10999" spans="20:20" hidden="1">
      <c r="T10999" t="str">
        <f>IF(C10999="","",UPPER(LEFT(SUBSTITUTE(C10999," ",""),3))&amp;"-"&amp;TEXT(B10999,"AAMMDD")&amp;"-1")</f>
        <v/>
      </c>
    </row>
    <row r="11000" spans="20:20" hidden="1">
      <c r="T11000" t="str">
        <f>IF(C11000="","",UPPER(LEFT(SUBSTITUTE(C11000," ",""),3))&amp;"-"&amp;TEXT(B11000,"AAMMDD")&amp;"-1")</f>
        <v/>
      </c>
    </row>
    <row r="11001" spans="20:20" hidden="1">
      <c r="T11001" t="str">
        <f>IF(C11001="","",UPPER(LEFT(SUBSTITUTE(C11001," ",""),3))&amp;"-"&amp;TEXT(B11001,"AAMMDD")&amp;"-1")</f>
        <v/>
      </c>
    </row>
    <row r="11002" spans="20:20" hidden="1">
      <c r="T11002" t="str">
        <f>IF(C11002="","",UPPER(LEFT(SUBSTITUTE(C11002," ",""),3))&amp;"-"&amp;TEXT(B11002,"AAMMDD")&amp;"-1")</f>
        <v/>
      </c>
    </row>
    <row r="11003" spans="20:20" hidden="1">
      <c r="T11003" t="str">
        <f>IF(C11003="","",UPPER(LEFT(SUBSTITUTE(C11003," ",""),3))&amp;"-"&amp;TEXT(B11003,"AAMMDD")&amp;"-1")</f>
        <v/>
      </c>
    </row>
    <row r="11004" spans="20:20" hidden="1">
      <c r="T11004" t="str">
        <f>IF(C11004="","",UPPER(LEFT(SUBSTITUTE(C11004," ",""),3))&amp;"-"&amp;TEXT(B11004,"AAMMDD")&amp;"-1")</f>
        <v/>
      </c>
    </row>
    <row r="11005" spans="20:20" hidden="1">
      <c r="T11005" t="str">
        <f>IF(C11005="","",UPPER(LEFT(SUBSTITUTE(C11005," ",""),3))&amp;"-"&amp;TEXT(B11005,"AAMMDD")&amp;"-1")</f>
        <v/>
      </c>
    </row>
    <row r="11006" spans="20:20" hidden="1">
      <c r="T11006" t="str">
        <f>IF(C11006="","",UPPER(LEFT(SUBSTITUTE(C11006," ",""),3))&amp;"-"&amp;TEXT(B11006,"AAMMDD")&amp;"-1")</f>
        <v/>
      </c>
    </row>
    <row r="11007" spans="20:20" hidden="1">
      <c r="T11007" t="str">
        <f>IF(C11007="","",UPPER(LEFT(SUBSTITUTE(C11007," ",""),3))&amp;"-"&amp;TEXT(B11007,"AAMMDD")&amp;"-1")</f>
        <v/>
      </c>
    </row>
    <row r="11008" spans="20:20" hidden="1">
      <c r="T11008" t="str">
        <f>IF(C11008="","",UPPER(LEFT(SUBSTITUTE(C11008," ",""),3))&amp;"-"&amp;TEXT(B11008,"AAMMDD")&amp;"-1")</f>
        <v/>
      </c>
    </row>
    <row r="11009" spans="20:20" hidden="1">
      <c r="T11009" t="str">
        <f>IF(C11009="","",UPPER(LEFT(SUBSTITUTE(C11009," ",""),3))&amp;"-"&amp;TEXT(B11009,"AAMMDD")&amp;"-1")</f>
        <v/>
      </c>
    </row>
    <row r="11010" spans="20:20" hidden="1">
      <c r="T11010" t="str">
        <f>IF(C11010="","",UPPER(LEFT(SUBSTITUTE(C11010," ",""),3))&amp;"-"&amp;TEXT(B11010,"AAMMDD")&amp;"-1")</f>
        <v/>
      </c>
    </row>
    <row r="11011" spans="20:20" hidden="1">
      <c r="T11011" t="str">
        <f>IF(C11011="","",UPPER(LEFT(SUBSTITUTE(C11011," ",""),3))&amp;"-"&amp;TEXT(B11011,"AAMMDD")&amp;"-1")</f>
        <v/>
      </c>
    </row>
    <row r="11012" spans="20:20" hidden="1">
      <c r="T11012" t="str">
        <f>IF(C11012="","",UPPER(LEFT(SUBSTITUTE(C11012," ",""),3))&amp;"-"&amp;TEXT(B11012,"AAMMDD")&amp;"-1")</f>
        <v/>
      </c>
    </row>
    <row r="11013" spans="20:20" hidden="1">
      <c r="T11013" t="str">
        <f>IF(C11013="","",UPPER(LEFT(SUBSTITUTE(C11013," ",""),3))&amp;"-"&amp;TEXT(B11013,"AAMMDD")&amp;"-1")</f>
        <v/>
      </c>
    </row>
    <row r="11014" spans="20:20" hidden="1">
      <c r="T11014" t="str">
        <f>IF(C11014="","",UPPER(LEFT(SUBSTITUTE(C11014," ",""),3))&amp;"-"&amp;TEXT(B11014,"AAMMDD")&amp;"-1")</f>
        <v/>
      </c>
    </row>
    <row r="11015" spans="20:20" hidden="1">
      <c r="T11015" t="str">
        <f>IF(C11015="","",UPPER(LEFT(SUBSTITUTE(C11015," ",""),3))&amp;"-"&amp;TEXT(B11015,"AAMMDD")&amp;"-1")</f>
        <v/>
      </c>
    </row>
    <row r="11016" spans="20:20" hidden="1">
      <c r="T11016" t="str">
        <f>IF(C11016="","",UPPER(LEFT(SUBSTITUTE(C11016," ",""),3))&amp;"-"&amp;TEXT(B11016,"AAMMDD")&amp;"-1")</f>
        <v/>
      </c>
    </row>
    <row r="11017" spans="20:20" hidden="1">
      <c r="T11017" t="str">
        <f>IF(C11017="","",UPPER(LEFT(SUBSTITUTE(C11017," ",""),3))&amp;"-"&amp;TEXT(B11017,"AAMMDD")&amp;"-1")</f>
        <v/>
      </c>
    </row>
    <row r="11018" spans="20:20" hidden="1">
      <c r="T11018" t="str">
        <f>IF(C11018="","",UPPER(LEFT(SUBSTITUTE(C11018," ",""),3))&amp;"-"&amp;TEXT(B11018,"AAMMDD")&amp;"-1")</f>
        <v/>
      </c>
    </row>
    <row r="11019" spans="20:20" hidden="1">
      <c r="T11019" t="str">
        <f>IF(C11019="","",UPPER(LEFT(SUBSTITUTE(C11019," ",""),3))&amp;"-"&amp;TEXT(B11019,"AAMMDD")&amp;"-1")</f>
        <v/>
      </c>
    </row>
    <row r="11020" spans="20:20" hidden="1">
      <c r="T11020" t="str">
        <f>IF(C11020="","",UPPER(LEFT(SUBSTITUTE(C11020," ",""),3))&amp;"-"&amp;TEXT(B11020,"AAMMDD")&amp;"-1")</f>
        <v/>
      </c>
    </row>
    <row r="11021" spans="20:20" hidden="1">
      <c r="T11021" t="str">
        <f>IF(C11021="","",UPPER(LEFT(SUBSTITUTE(C11021," ",""),3))&amp;"-"&amp;TEXT(B11021,"AAMMDD")&amp;"-1")</f>
        <v/>
      </c>
    </row>
    <row r="11022" spans="20:20" hidden="1">
      <c r="T11022" t="str">
        <f>IF(C11022="","",UPPER(LEFT(SUBSTITUTE(C11022," ",""),3))&amp;"-"&amp;TEXT(B11022,"AAMMDD")&amp;"-1")</f>
        <v/>
      </c>
    </row>
    <row r="11023" spans="20:20" hidden="1">
      <c r="T11023" t="str">
        <f>IF(C11023="","",UPPER(LEFT(SUBSTITUTE(C11023," ",""),3))&amp;"-"&amp;TEXT(B11023,"AAMMDD")&amp;"-1")</f>
        <v/>
      </c>
    </row>
    <row r="11024" spans="20:20" hidden="1">
      <c r="T11024" t="str">
        <f>IF(C11024="","",UPPER(LEFT(SUBSTITUTE(C11024," ",""),3))&amp;"-"&amp;TEXT(B11024,"AAMMDD")&amp;"-1")</f>
        <v/>
      </c>
    </row>
    <row r="11025" spans="20:20" hidden="1">
      <c r="T11025" t="str">
        <f>IF(C11025="","",UPPER(LEFT(SUBSTITUTE(C11025," ",""),3))&amp;"-"&amp;TEXT(B11025,"AAMMDD")&amp;"-1")</f>
        <v/>
      </c>
    </row>
    <row r="11026" spans="20:20" hidden="1">
      <c r="T11026" t="str">
        <f>IF(C11026="","",UPPER(LEFT(SUBSTITUTE(C11026," ",""),3))&amp;"-"&amp;TEXT(B11026,"AAMMDD")&amp;"-1")</f>
        <v/>
      </c>
    </row>
    <row r="11027" spans="20:20" hidden="1">
      <c r="T11027" t="str">
        <f>IF(C11027="","",UPPER(LEFT(SUBSTITUTE(C11027," ",""),3))&amp;"-"&amp;TEXT(B11027,"AAMMDD")&amp;"-1")</f>
        <v/>
      </c>
    </row>
    <row r="11028" spans="20:20" hidden="1">
      <c r="T11028" t="str">
        <f>IF(C11028="","",UPPER(LEFT(SUBSTITUTE(C11028," ",""),3))&amp;"-"&amp;TEXT(B11028,"AAMMDD")&amp;"-1")</f>
        <v/>
      </c>
    </row>
    <row r="11029" spans="20:20" hidden="1">
      <c r="T11029" t="str">
        <f>IF(C11029="","",UPPER(LEFT(SUBSTITUTE(C11029," ",""),3))&amp;"-"&amp;TEXT(B11029,"AAMMDD")&amp;"-1")</f>
        <v/>
      </c>
    </row>
    <row r="11030" spans="20:20" hidden="1">
      <c r="T11030" t="str">
        <f>IF(C11030="","",UPPER(LEFT(SUBSTITUTE(C11030," ",""),3))&amp;"-"&amp;TEXT(B11030,"AAMMDD")&amp;"-1")</f>
        <v/>
      </c>
    </row>
    <row r="11031" spans="20:20" hidden="1">
      <c r="T11031" t="str">
        <f>IF(C11031="","",UPPER(LEFT(SUBSTITUTE(C11031," ",""),3))&amp;"-"&amp;TEXT(B11031,"AAMMDD")&amp;"-1")</f>
        <v/>
      </c>
    </row>
    <row r="11032" spans="20:20" hidden="1">
      <c r="T11032" t="str">
        <f>IF(C11032="","",UPPER(LEFT(SUBSTITUTE(C11032," ",""),3))&amp;"-"&amp;TEXT(B11032,"AAMMDD")&amp;"-1")</f>
        <v/>
      </c>
    </row>
    <row r="11033" spans="20:20" hidden="1">
      <c r="T11033" t="str">
        <f>IF(C11033="","",UPPER(LEFT(SUBSTITUTE(C11033," ",""),3))&amp;"-"&amp;TEXT(B11033,"AAMMDD")&amp;"-1")</f>
        <v/>
      </c>
    </row>
    <row r="11034" spans="20:20" hidden="1">
      <c r="T11034" t="str">
        <f>IF(C11034="","",UPPER(LEFT(SUBSTITUTE(C11034," ",""),3))&amp;"-"&amp;TEXT(B11034,"AAMMDD")&amp;"-1")</f>
        <v/>
      </c>
    </row>
    <row r="11035" spans="20:20" hidden="1">
      <c r="T11035" t="str">
        <f>IF(C11035="","",UPPER(LEFT(SUBSTITUTE(C11035," ",""),3))&amp;"-"&amp;TEXT(B11035,"AAMMDD")&amp;"-1")</f>
        <v/>
      </c>
    </row>
    <row r="11036" spans="20:20" hidden="1">
      <c r="T11036" t="str">
        <f>IF(C11036="","",UPPER(LEFT(SUBSTITUTE(C11036," ",""),3))&amp;"-"&amp;TEXT(B11036,"AAMMDD")&amp;"-1")</f>
        <v/>
      </c>
    </row>
    <row r="11037" spans="20:20" hidden="1">
      <c r="T11037" t="str">
        <f>IF(C11037="","",UPPER(LEFT(SUBSTITUTE(C11037," ",""),3))&amp;"-"&amp;TEXT(B11037,"AAMMDD")&amp;"-1")</f>
        <v/>
      </c>
    </row>
    <row r="11038" spans="20:20" hidden="1">
      <c r="T11038" t="str">
        <f>IF(C11038="","",UPPER(LEFT(SUBSTITUTE(C11038," ",""),3))&amp;"-"&amp;TEXT(B11038,"AAMMDD")&amp;"-1")</f>
        <v/>
      </c>
    </row>
    <row r="11039" spans="20:20" hidden="1">
      <c r="T11039" t="str">
        <f>IF(C11039="","",UPPER(LEFT(SUBSTITUTE(C11039," ",""),3))&amp;"-"&amp;TEXT(B11039,"AAMMDD")&amp;"-1")</f>
        <v/>
      </c>
    </row>
    <row r="11040" spans="20:20" hidden="1">
      <c r="T11040" t="str">
        <f>IF(C11040="","",UPPER(LEFT(SUBSTITUTE(C11040," ",""),3))&amp;"-"&amp;TEXT(B11040,"AAMMDD")&amp;"-1")</f>
        <v/>
      </c>
    </row>
    <row r="11041" spans="20:20" hidden="1">
      <c r="T11041" t="str">
        <f>IF(C11041="","",UPPER(LEFT(SUBSTITUTE(C11041," ",""),3))&amp;"-"&amp;TEXT(B11041,"AAMMDD")&amp;"-1")</f>
        <v/>
      </c>
    </row>
    <row r="11042" spans="20:20" hidden="1">
      <c r="T11042" t="str">
        <f>IF(C11042="","",UPPER(LEFT(SUBSTITUTE(C11042," ",""),3))&amp;"-"&amp;TEXT(B11042,"AAMMDD")&amp;"-1")</f>
        <v/>
      </c>
    </row>
    <row r="11043" spans="20:20" hidden="1">
      <c r="T11043" t="str">
        <f>IF(C11043="","",UPPER(LEFT(SUBSTITUTE(C11043," ",""),3))&amp;"-"&amp;TEXT(B11043,"AAMMDD")&amp;"-1")</f>
        <v/>
      </c>
    </row>
    <row r="11044" spans="20:20" hidden="1">
      <c r="T11044" t="str">
        <f>IF(C11044="","",UPPER(LEFT(SUBSTITUTE(C11044," ",""),3))&amp;"-"&amp;TEXT(B11044,"AAMMDD")&amp;"-1")</f>
        <v/>
      </c>
    </row>
    <row r="11045" spans="20:20" hidden="1">
      <c r="T11045" t="str">
        <f>IF(C11045="","",UPPER(LEFT(SUBSTITUTE(C11045," ",""),3))&amp;"-"&amp;TEXT(B11045,"AAMMDD")&amp;"-1")</f>
        <v/>
      </c>
    </row>
    <row r="11046" spans="20:20" hidden="1">
      <c r="T11046" t="str">
        <f>IF(C11046="","",UPPER(LEFT(SUBSTITUTE(C11046," ",""),3))&amp;"-"&amp;TEXT(B11046,"AAMMDD")&amp;"-1")</f>
        <v/>
      </c>
    </row>
    <row r="11047" spans="20:20" hidden="1">
      <c r="T11047" t="str">
        <f>IF(C11047="","",UPPER(LEFT(SUBSTITUTE(C11047," ",""),3))&amp;"-"&amp;TEXT(B11047,"AAMMDD")&amp;"-1")</f>
        <v/>
      </c>
    </row>
    <row r="11048" spans="20:20" hidden="1">
      <c r="T11048" t="str">
        <f>IF(C11048="","",UPPER(LEFT(SUBSTITUTE(C11048," ",""),3))&amp;"-"&amp;TEXT(B11048,"AAMMDD")&amp;"-1")</f>
        <v/>
      </c>
    </row>
    <row r="11049" spans="20:20" hidden="1">
      <c r="T11049" t="str">
        <f>IF(C11049="","",UPPER(LEFT(SUBSTITUTE(C11049," ",""),3))&amp;"-"&amp;TEXT(B11049,"AAMMDD")&amp;"-1")</f>
        <v/>
      </c>
    </row>
    <row r="11050" spans="20:20" hidden="1">
      <c r="T11050" t="str">
        <f>IF(C11050="","",UPPER(LEFT(SUBSTITUTE(C11050," ",""),3))&amp;"-"&amp;TEXT(B11050,"AAMMDD")&amp;"-1")</f>
        <v/>
      </c>
    </row>
    <row r="11051" spans="20:20" hidden="1">
      <c r="T11051" t="str">
        <f>IF(C11051="","",UPPER(LEFT(SUBSTITUTE(C11051," ",""),3))&amp;"-"&amp;TEXT(B11051,"AAMMDD")&amp;"-1")</f>
        <v/>
      </c>
    </row>
    <row r="11052" spans="20:20" hidden="1">
      <c r="T11052" t="str">
        <f>IF(C11052="","",UPPER(LEFT(SUBSTITUTE(C11052," ",""),3))&amp;"-"&amp;TEXT(B11052,"AAMMDD")&amp;"-1")</f>
        <v/>
      </c>
    </row>
    <row r="11053" spans="20:20" hidden="1">
      <c r="T11053" t="str">
        <f>IF(C11053="","",UPPER(LEFT(SUBSTITUTE(C11053," ",""),3))&amp;"-"&amp;TEXT(B11053,"AAMMDD")&amp;"-1")</f>
        <v/>
      </c>
    </row>
    <row r="11054" spans="20:20" hidden="1">
      <c r="T11054" t="str">
        <f>IF(C11054="","",UPPER(LEFT(SUBSTITUTE(C11054," ",""),3))&amp;"-"&amp;TEXT(B11054,"AAMMDD")&amp;"-1")</f>
        <v/>
      </c>
    </row>
    <row r="11055" spans="20:20" hidden="1">
      <c r="T11055" t="str">
        <f>IF(C11055="","",UPPER(LEFT(SUBSTITUTE(C11055," ",""),3))&amp;"-"&amp;TEXT(B11055,"AAMMDD")&amp;"-1")</f>
        <v/>
      </c>
    </row>
    <row r="11056" spans="20:20" hidden="1">
      <c r="T11056" t="str">
        <f>IF(C11056="","",UPPER(LEFT(SUBSTITUTE(C11056," ",""),3))&amp;"-"&amp;TEXT(B11056,"AAMMDD")&amp;"-1")</f>
        <v/>
      </c>
    </row>
    <row r="11057" spans="20:20" hidden="1">
      <c r="T11057" t="str">
        <f>IF(C11057="","",UPPER(LEFT(SUBSTITUTE(C11057," ",""),3))&amp;"-"&amp;TEXT(B11057,"AAMMDD")&amp;"-1")</f>
        <v/>
      </c>
    </row>
    <row r="11058" spans="20:20" hidden="1">
      <c r="T11058" t="str">
        <f>IF(C11058="","",UPPER(LEFT(SUBSTITUTE(C11058," ",""),3))&amp;"-"&amp;TEXT(B11058,"AAMMDD")&amp;"-1")</f>
        <v/>
      </c>
    </row>
    <row r="11059" spans="20:20" hidden="1">
      <c r="T11059" t="str">
        <f>IF(C11059="","",UPPER(LEFT(SUBSTITUTE(C11059," ",""),3))&amp;"-"&amp;TEXT(B11059,"AAMMDD")&amp;"-1")</f>
        <v/>
      </c>
    </row>
    <row r="11060" spans="20:20" hidden="1">
      <c r="T11060" t="str">
        <f>IF(C11060="","",UPPER(LEFT(SUBSTITUTE(C11060," ",""),3))&amp;"-"&amp;TEXT(B11060,"AAMMDD")&amp;"-1")</f>
        <v/>
      </c>
    </row>
    <row r="11061" spans="20:20" hidden="1">
      <c r="T11061" t="str">
        <f>IF(C11061="","",UPPER(LEFT(SUBSTITUTE(C11061," ",""),3))&amp;"-"&amp;TEXT(B11061,"AAMMDD")&amp;"-1")</f>
        <v/>
      </c>
    </row>
    <row r="11062" spans="20:20" hidden="1">
      <c r="T11062" t="str">
        <f>IF(C11062="","",UPPER(LEFT(SUBSTITUTE(C11062," ",""),3))&amp;"-"&amp;TEXT(B11062,"AAMMDD")&amp;"-1")</f>
        <v/>
      </c>
    </row>
    <row r="11063" spans="20:20" hidden="1">
      <c r="T11063" t="str">
        <f>IF(C11063="","",UPPER(LEFT(SUBSTITUTE(C11063," ",""),3))&amp;"-"&amp;TEXT(B11063,"AAMMDD")&amp;"-1")</f>
        <v/>
      </c>
    </row>
    <row r="11064" spans="20:20" hidden="1">
      <c r="T11064" t="str">
        <f>IF(C11064="","",UPPER(LEFT(SUBSTITUTE(C11064," ",""),3))&amp;"-"&amp;TEXT(B11064,"AAMMDD")&amp;"-1")</f>
        <v/>
      </c>
    </row>
    <row r="11065" spans="20:20" hidden="1">
      <c r="T11065" t="str">
        <f>IF(C11065="","",UPPER(LEFT(SUBSTITUTE(C11065," ",""),3))&amp;"-"&amp;TEXT(B11065,"AAMMDD")&amp;"-1")</f>
        <v/>
      </c>
    </row>
    <row r="11066" spans="20:20" hidden="1">
      <c r="T11066" t="str">
        <f>IF(C11066="","",UPPER(LEFT(SUBSTITUTE(C11066," ",""),3))&amp;"-"&amp;TEXT(B11066,"AAMMDD")&amp;"-1")</f>
        <v/>
      </c>
    </row>
    <row r="11067" spans="20:20" hidden="1">
      <c r="T11067" t="str">
        <f>IF(C11067="","",UPPER(LEFT(SUBSTITUTE(C11067," ",""),3))&amp;"-"&amp;TEXT(B11067,"AAMMDD")&amp;"-1")</f>
        <v/>
      </c>
    </row>
    <row r="11068" spans="20:20" hidden="1">
      <c r="T11068" t="str">
        <f>IF(C11068="","",UPPER(LEFT(SUBSTITUTE(C11068," ",""),3))&amp;"-"&amp;TEXT(B11068,"AAMMDD")&amp;"-1")</f>
        <v/>
      </c>
    </row>
    <row r="11069" spans="20:20" hidden="1">
      <c r="T11069" t="str">
        <f>IF(C11069="","",UPPER(LEFT(SUBSTITUTE(C11069," ",""),3))&amp;"-"&amp;TEXT(B11069,"AAMMDD")&amp;"-1")</f>
        <v/>
      </c>
    </row>
    <row r="11070" spans="20:20" hidden="1">
      <c r="T11070" t="str">
        <f>IF(C11070="","",UPPER(LEFT(SUBSTITUTE(C11070," ",""),3))&amp;"-"&amp;TEXT(B11070,"AAMMDD")&amp;"-1")</f>
        <v/>
      </c>
    </row>
    <row r="11071" spans="20:20" hidden="1">
      <c r="T11071" t="str">
        <f>IF(C11071="","",UPPER(LEFT(SUBSTITUTE(C11071," ",""),3))&amp;"-"&amp;TEXT(B11071,"AAMMDD")&amp;"-1")</f>
        <v/>
      </c>
    </row>
    <row r="11072" spans="20:20" hidden="1">
      <c r="T11072" t="str">
        <f>IF(C11072="","",UPPER(LEFT(SUBSTITUTE(C11072," ",""),3))&amp;"-"&amp;TEXT(B11072,"AAMMDD")&amp;"-1")</f>
        <v/>
      </c>
    </row>
    <row r="11073" spans="20:20" hidden="1">
      <c r="T11073" t="str">
        <f>IF(C11073="","",UPPER(LEFT(SUBSTITUTE(C11073," ",""),3))&amp;"-"&amp;TEXT(B11073,"AAMMDD")&amp;"-1")</f>
        <v/>
      </c>
    </row>
    <row r="11074" spans="20:20" hidden="1">
      <c r="T11074" t="str">
        <f>IF(C11074="","",UPPER(LEFT(SUBSTITUTE(C11074," ",""),3))&amp;"-"&amp;TEXT(B11074,"AAMMDD")&amp;"-1")</f>
        <v/>
      </c>
    </row>
    <row r="11075" spans="20:20" hidden="1">
      <c r="T11075" t="str">
        <f>IF(C11075="","",UPPER(LEFT(SUBSTITUTE(C11075," ",""),3))&amp;"-"&amp;TEXT(B11075,"AAMMDD")&amp;"-1")</f>
        <v/>
      </c>
    </row>
    <row r="11076" spans="20:20" hidden="1">
      <c r="T11076" t="str">
        <f>IF(C11076="","",UPPER(LEFT(SUBSTITUTE(C11076," ",""),3))&amp;"-"&amp;TEXT(B11076,"AAMMDD")&amp;"-1")</f>
        <v/>
      </c>
    </row>
    <row r="11077" spans="20:20" hidden="1">
      <c r="T11077" t="str">
        <f>IF(C11077="","",UPPER(LEFT(SUBSTITUTE(C11077," ",""),3))&amp;"-"&amp;TEXT(B11077,"AAMMDD")&amp;"-1")</f>
        <v/>
      </c>
    </row>
    <row r="11078" spans="20:20" hidden="1">
      <c r="T11078" t="str">
        <f>IF(C11078="","",UPPER(LEFT(SUBSTITUTE(C11078," ",""),3))&amp;"-"&amp;TEXT(B11078,"AAMMDD")&amp;"-1")</f>
        <v/>
      </c>
    </row>
    <row r="11079" spans="20:20" hidden="1">
      <c r="T11079" t="str">
        <f>IF(C11079="","",UPPER(LEFT(SUBSTITUTE(C11079," ",""),3))&amp;"-"&amp;TEXT(B11079,"AAMMDD")&amp;"-1")</f>
        <v/>
      </c>
    </row>
    <row r="11080" spans="20:20" hidden="1">
      <c r="T11080" t="str">
        <f>IF(C11080="","",UPPER(LEFT(SUBSTITUTE(C11080," ",""),3))&amp;"-"&amp;TEXT(B11080,"AAMMDD")&amp;"-1")</f>
        <v/>
      </c>
    </row>
    <row r="11081" spans="20:20" hidden="1">
      <c r="T11081" t="str">
        <f>IF(C11081="","",UPPER(LEFT(SUBSTITUTE(C11081," ",""),3))&amp;"-"&amp;TEXT(B11081,"AAMMDD")&amp;"-1")</f>
        <v/>
      </c>
    </row>
    <row r="11082" spans="20:20" hidden="1">
      <c r="T11082" t="str">
        <f>IF(C11082="","",UPPER(LEFT(SUBSTITUTE(C11082," ",""),3))&amp;"-"&amp;TEXT(B11082,"AAMMDD")&amp;"-1")</f>
        <v/>
      </c>
    </row>
    <row r="11083" spans="20:20" hidden="1">
      <c r="T11083" t="str">
        <f>IF(C11083="","",UPPER(LEFT(SUBSTITUTE(C11083," ",""),3))&amp;"-"&amp;TEXT(B11083,"AAMMDD")&amp;"-1")</f>
        <v/>
      </c>
    </row>
    <row r="11084" spans="20:20" hidden="1">
      <c r="T11084" t="str">
        <f>IF(C11084="","",UPPER(LEFT(SUBSTITUTE(C11084," ",""),3))&amp;"-"&amp;TEXT(B11084,"AAMMDD")&amp;"-1")</f>
        <v/>
      </c>
    </row>
    <row r="11085" spans="20:20" hidden="1">
      <c r="T11085" t="str">
        <f>IF(C11085="","",UPPER(LEFT(SUBSTITUTE(C11085," ",""),3))&amp;"-"&amp;TEXT(B11085,"AAMMDD")&amp;"-1")</f>
        <v/>
      </c>
    </row>
    <row r="11086" spans="20:20" hidden="1">
      <c r="T11086" t="str">
        <f>IF(C11086="","",UPPER(LEFT(SUBSTITUTE(C11086," ",""),3))&amp;"-"&amp;TEXT(B11086,"AAMMDD")&amp;"-1")</f>
        <v/>
      </c>
    </row>
    <row r="11087" spans="20:20" hidden="1">
      <c r="T11087" t="str">
        <f>IF(C11087="","",UPPER(LEFT(SUBSTITUTE(C11087," ",""),3))&amp;"-"&amp;TEXT(B11087,"AAMMDD")&amp;"-1")</f>
        <v/>
      </c>
    </row>
    <row r="11088" spans="20:20" hidden="1">
      <c r="T11088" t="str">
        <f>IF(C11088="","",UPPER(LEFT(SUBSTITUTE(C11088," ",""),3))&amp;"-"&amp;TEXT(B11088,"AAMMDD")&amp;"-1")</f>
        <v/>
      </c>
    </row>
    <row r="11089" spans="20:20" hidden="1">
      <c r="T11089" t="str">
        <f>IF(C11089="","",UPPER(LEFT(SUBSTITUTE(C11089," ",""),3))&amp;"-"&amp;TEXT(B11089,"AAMMDD")&amp;"-1")</f>
        <v/>
      </c>
    </row>
    <row r="11090" spans="20:20" hidden="1">
      <c r="T11090" t="str">
        <f>IF(C11090="","",UPPER(LEFT(SUBSTITUTE(C11090," ",""),3))&amp;"-"&amp;TEXT(B11090,"AAMMDD")&amp;"-1")</f>
        <v/>
      </c>
    </row>
    <row r="11091" spans="20:20" hidden="1">
      <c r="T11091" t="str">
        <f>IF(C11091="","",UPPER(LEFT(SUBSTITUTE(C11091," ",""),3))&amp;"-"&amp;TEXT(B11091,"AAMMDD")&amp;"-1")</f>
        <v/>
      </c>
    </row>
    <row r="11092" spans="20:20" hidden="1">
      <c r="T11092" t="str">
        <f>IF(C11092="","",UPPER(LEFT(SUBSTITUTE(C11092," ",""),3))&amp;"-"&amp;TEXT(B11092,"AAMMDD")&amp;"-1")</f>
        <v/>
      </c>
    </row>
    <row r="11093" spans="20:20" hidden="1">
      <c r="T11093" t="str">
        <f>IF(C11093="","",UPPER(LEFT(SUBSTITUTE(C11093," ",""),3))&amp;"-"&amp;TEXT(B11093,"AAMMDD")&amp;"-1")</f>
        <v/>
      </c>
    </row>
    <row r="11094" spans="20:20" hidden="1">
      <c r="T11094" t="str">
        <f>IF(C11094="","",UPPER(LEFT(SUBSTITUTE(C11094," ",""),3))&amp;"-"&amp;TEXT(B11094,"AAMMDD")&amp;"-1")</f>
        <v/>
      </c>
    </row>
    <row r="11095" spans="20:20" hidden="1">
      <c r="T11095" t="str">
        <f>IF(C11095="","",UPPER(LEFT(SUBSTITUTE(C11095," ",""),3))&amp;"-"&amp;TEXT(B11095,"AAMMDD")&amp;"-1")</f>
        <v/>
      </c>
    </row>
    <row r="11096" spans="20:20" hidden="1">
      <c r="T11096" t="str">
        <f>IF(C11096="","",UPPER(LEFT(SUBSTITUTE(C11096," ",""),3))&amp;"-"&amp;TEXT(B11096,"AAMMDD")&amp;"-1")</f>
        <v/>
      </c>
    </row>
    <row r="11097" spans="20:20" hidden="1">
      <c r="T11097" t="str">
        <f>IF(C11097="","",UPPER(LEFT(SUBSTITUTE(C11097," ",""),3))&amp;"-"&amp;TEXT(B11097,"AAMMDD")&amp;"-1")</f>
        <v/>
      </c>
    </row>
    <row r="11098" spans="20:20" hidden="1">
      <c r="T11098" t="str">
        <f>IF(C11098="","",UPPER(LEFT(SUBSTITUTE(C11098," ",""),3))&amp;"-"&amp;TEXT(B11098,"AAMMDD")&amp;"-1")</f>
        <v/>
      </c>
    </row>
    <row r="11099" spans="20:20" hidden="1">
      <c r="T11099" t="str">
        <f>IF(C11099="","",UPPER(LEFT(SUBSTITUTE(C11099," ",""),3))&amp;"-"&amp;TEXT(B11099,"AAMMDD")&amp;"-1")</f>
        <v/>
      </c>
    </row>
    <row r="11100" spans="20:20" hidden="1">
      <c r="T11100" t="str">
        <f>IF(C11100="","",UPPER(LEFT(SUBSTITUTE(C11100," ",""),3))&amp;"-"&amp;TEXT(B11100,"AAMMDD")&amp;"-1")</f>
        <v/>
      </c>
    </row>
    <row r="11101" spans="20:20" hidden="1">
      <c r="T11101" t="str">
        <f>IF(C11101="","",UPPER(LEFT(SUBSTITUTE(C11101," ",""),3))&amp;"-"&amp;TEXT(B11101,"AAMMDD")&amp;"-1")</f>
        <v/>
      </c>
    </row>
    <row r="11102" spans="20:20" hidden="1">
      <c r="T11102" t="str">
        <f>IF(C11102="","",UPPER(LEFT(SUBSTITUTE(C11102," ",""),3))&amp;"-"&amp;TEXT(B11102,"AAMMDD")&amp;"-1")</f>
        <v/>
      </c>
    </row>
    <row r="11103" spans="20:20" hidden="1">
      <c r="T11103" t="str">
        <f>IF(C11103="","",UPPER(LEFT(SUBSTITUTE(C11103," ",""),3))&amp;"-"&amp;TEXT(B11103,"AAMMDD")&amp;"-1")</f>
        <v/>
      </c>
    </row>
    <row r="11104" spans="20:20" hidden="1">
      <c r="T11104" t="str">
        <f>IF(C11104="","",UPPER(LEFT(SUBSTITUTE(C11104," ",""),3))&amp;"-"&amp;TEXT(B11104,"AAMMDD")&amp;"-1")</f>
        <v/>
      </c>
    </row>
    <row r="11105" spans="20:20" hidden="1">
      <c r="T11105" t="str">
        <f>IF(C11105="","",UPPER(LEFT(SUBSTITUTE(C11105," ",""),3))&amp;"-"&amp;TEXT(B11105,"AAMMDD")&amp;"-1")</f>
        <v/>
      </c>
    </row>
    <row r="11106" spans="20:20" hidden="1">
      <c r="T11106" t="str">
        <f>IF(C11106="","",UPPER(LEFT(SUBSTITUTE(C11106," ",""),3))&amp;"-"&amp;TEXT(B11106,"AAMMDD")&amp;"-1")</f>
        <v/>
      </c>
    </row>
    <row r="11107" spans="20:20" hidden="1">
      <c r="T11107" t="str">
        <f>IF(C11107="","",UPPER(LEFT(SUBSTITUTE(C11107," ",""),3))&amp;"-"&amp;TEXT(B11107,"AAMMDD")&amp;"-1")</f>
        <v/>
      </c>
    </row>
    <row r="11108" spans="20:20" hidden="1">
      <c r="T11108" t="str">
        <f>IF(C11108="","",UPPER(LEFT(SUBSTITUTE(C11108," ",""),3))&amp;"-"&amp;TEXT(B11108,"AAMMDD")&amp;"-1")</f>
        <v/>
      </c>
    </row>
    <row r="11109" spans="20:20" hidden="1">
      <c r="T11109" t="str">
        <f>IF(C11109="","",UPPER(LEFT(SUBSTITUTE(C11109," ",""),3))&amp;"-"&amp;TEXT(B11109,"AAMMDD")&amp;"-1")</f>
        <v/>
      </c>
    </row>
    <row r="11110" spans="20:20" hidden="1">
      <c r="T11110" t="str">
        <f>IF(C11110="","",UPPER(LEFT(SUBSTITUTE(C11110," ",""),3))&amp;"-"&amp;TEXT(B11110,"AAMMDD")&amp;"-1")</f>
        <v/>
      </c>
    </row>
    <row r="11111" spans="20:20" hidden="1">
      <c r="T11111" t="str">
        <f>IF(C11111="","",UPPER(LEFT(SUBSTITUTE(C11111," ",""),3))&amp;"-"&amp;TEXT(B11111,"AAMMDD")&amp;"-1")</f>
        <v/>
      </c>
    </row>
    <row r="11112" spans="20:20" hidden="1">
      <c r="T11112" t="str">
        <f>IF(C11112="","",UPPER(LEFT(SUBSTITUTE(C11112," ",""),3))&amp;"-"&amp;TEXT(B11112,"AAMMDD")&amp;"-1")</f>
        <v/>
      </c>
    </row>
    <row r="11113" spans="20:20" hidden="1">
      <c r="T11113" t="str">
        <f>IF(C11113="","",UPPER(LEFT(SUBSTITUTE(C11113," ",""),3))&amp;"-"&amp;TEXT(B11113,"AAMMDD")&amp;"-1")</f>
        <v/>
      </c>
    </row>
    <row r="11114" spans="20:20" hidden="1">
      <c r="T11114" t="str">
        <f>IF(C11114="","",UPPER(LEFT(SUBSTITUTE(C11114," ",""),3))&amp;"-"&amp;TEXT(B11114,"AAMMDD")&amp;"-1")</f>
        <v/>
      </c>
    </row>
    <row r="11115" spans="20:20" hidden="1">
      <c r="T11115" t="str">
        <f>IF(C11115="","",UPPER(LEFT(SUBSTITUTE(C11115," ",""),3))&amp;"-"&amp;TEXT(B11115,"AAMMDD")&amp;"-1")</f>
        <v/>
      </c>
    </row>
    <row r="11116" spans="20:20" hidden="1">
      <c r="T11116" t="str">
        <f>IF(C11116="","",UPPER(LEFT(SUBSTITUTE(C11116," ",""),3))&amp;"-"&amp;TEXT(B11116,"AAMMDD")&amp;"-1")</f>
        <v/>
      </c>
    </row>
    <row r="11117" spans="20:20" hidden="1">
      <c r="T11117" t="str">
        <f>IF(C11117="","",UPPER(LEFT(SUBSTITUTE(C11117," ",""),3))&amp;"-"&amp;TEXT(B11117,"AAMMDD")&amp;"-1")</f>
        <v/>
      </c>
    </row>
    <row r="11118" spans="20:20" hidden="1">
      <c r="T11118" t="str">
        <f>IF(C11118="","",UPPER(LEFT(SUBSTITUTE(C11118," ",""),3))&amp;"-"&amp;TEXT(B11118,"AAMMDD")&amp;"-1")</f>
        <v/>
      </c>
    </row>
    <row r="11119" spans="20:20" hidden="1">
      <c r="T11119" t="str">
        <f>IF(C11119="","",UPPER(LEFT(SUBSTITUTE(C11119," ",""),3))&amp;"-"&amp;TEXT(B11119,"AAMMDD")&amp;"-1")</f>
        <v/>
      </c>
    </row>
    <row r="11120" spans="20:20" hidden="1">
      <c r="T11120" t="str">
        <f>IF(C11120="","",UPPER(LEFT(SUBSTITUTE(C11120," ",""),3))&amp;"-"&amp;TEXT(B11120,"AAMMDD")&amp;"-1")</f>
        <v/>
      </c>
    </row>
    <row r="11121" spans="20:20" hidden="1">
      <c r="T11121" t="str">
        <f>IF(C11121="","",UPPER(LEFT(SUBSTITUTE(C11121," ",""),3))&amp;"-"&amp;TEXT(B11121,"AAMMDD")&amp;"-1")</f>
        <v/>
      </c>
    </row>
    <row r="11122" spans="20:20" hidden="1">
      <c r="T11122" t="str">
        <f>IF(C11122="","",UPPER(LEFT(SUBSTITUTE(C11122," ",""),3))&amp;"-"&amp;TEXT(B11122,"AAMMDD")&amp;"-1")</f>
        <v/>
      </c>
    </row>
    <row r="11123" spans="20:20" hidden="1">
      <c r="T11123" t="str">
        <f>IF(C11123="","",UPPER(LEFT(SUBSTITUTE(C11123," ",""),3))&amp;"-"&amp;TEXT(B11123,"AAMMDD")&amp;"-1")</f>
        <v/>
      </c>
    </row>
    <row r="11124" spans="20:20" hidden="1">
      <c r="T11124" t="str">
        <f>IF(C11124="","",UPPER(LEFT(SUBSTITUTE(C11124," ",""),3))&amp;"-"&amp;TEXT(B11124,"AAMMDD")&amp;"-1")</f>
        <v/>
      </c>
    </row>
    <row r="11125" spans="20:20" hidden="1">
      <c r="T11125" t="str">
        <f>IF(C11125="","",UPPER(LEFT(SUBSTITUTE(C11125," ",""),3))&amp;"-"&amp;TEXT(B11125,"AAMMDD")&amp;"-1")</f>
        <v/>
      </c>
    </row>
    <row r="11126" spans="20:20" hidden="1">
      <c r="T11126" t="str">
        <f>IF(C11126="","",UPPER(LEFT(SUBSTITUTE(C11126," ",""),3))&amp;"-"&amp;TEXT(B11126,"AAMMDD")&amp;"-1")</f>
        <v/>
      </c>
    </row>
    <row r="11127" spans="20:20" hidden="1">
      <c r="T11127" t="str">
        <f>IF(C11127="","",UPPER(LEFT(SUBSTITUTE(C11127," ",""),3))&amp;"-"&amp;TEXT(B11127,"AAMMDD")&amp;"-1")</f>
        <v/>
      </c>
    </row>
    <row r="11128" spans="20:20" hidden="1">
      <c r="T11128" t="str">
        <f>IF(C11128="","",UPPER(LEFT(SUBSTITUTE(C11128," ",""),3))&amp;"-"&amp;TEXT(B11128,"AAMMDD")&amp;"-1")</f>
        <v/>
      </c>
    </row>
    <row r="11129" spans="20:20" hidden="1">
      <c r="T11129" t="str">
        <f>IF(C11129="","",UPPER(LEFT(SUBSTITUTE(C11129," ",""),3))&amp;"-"&amp;TEXT(B11129,"AAMMDD")&amp;"-1")</f>
        <v/>
      </c>
    </row>
    <row r="11130" spans="20:20" hidden="1">
      <c r="T11130" t="str">
        <f>IF(C11130="","",UPPER(LEFT(SUBSTITUTE(C11130," ",""),3))&amp;"-"&amp;TEXT(B11130,"AAMMDD")&amp;"-1")</f>
        <v/>
      </c>
    </row>
    <row r="11131" spans="20:20" hidden="1">
      <c r="T11131" t="str">
        <f>IF(C11131="","",UPPER(LEFT(SUBSTITUTE(C11131," ",""),3))&amp;"-"&amp;TEXT(B11131,"AAMMDD")&amp;"-1")</f>
        <v/>
      </c>
    </row>
    <row r="11132" spans="20:20" hidden="1">
      <c r="T11132" t="str">
        <f>IF(C11132="","",UPPER(LEFT(SUBSTITUTE(C11132," ",""),3))&amp;"-"&amp;TEXT(B11132,"AAMMDD")&amp;"-1")</f>
        <v/>
      </c>
    </row>
    <row r="11133" spans="20:20" hidden="1">
      <c r="T11133" t="str">
        <f>IF(C11133="","",UPPER(LEFT(SUBSTITUTE(C11133," ",""),3))&amp;"-"&amp;TEXT(B11133,"AAMMDD")&amp;"-1")</f>
        <v/>
      </c>
    </row>
    <row r="11134" spans="20:20" hidden="1">
      <c r="T11134" t="str">
        <f>IF(C11134="","",UPPER(LEFT(SUBSTITUTE(C11134," ",""),3))&amp;"-"&amp;TEXT(B11134,"AAMMDD")&amp;"-1")</f>
        <v/>
      </c>
    </row>
    <row r="11135" spans="20:20" hidden="1">
      <c r="T11135" t="str">
        <f>IF(C11135="","",UPPER(LEFT(SUBSTITUTE(C11135," ",""),3))&amp;"-"&amp;TEXT(B11135,"AAMMDD")&amp;"-1")</f>
        <v/>
      </c>
    </row>
    <row r="11136" spans="20:20" hidden="1">
      <c r="T11136" t="str">
        <f>IF(C11136="","",UPPER(LEFT(SUBSTITUTE(C11136," ",""),3))&amp;"-"&amp;TEXT(B11136,"AAMMDD")&amp;"-1")</f>
        <v/>
      </c>
    </row>
    <row r="11137" spans="20:20" hidden="1">
      <c r="T11137" t="str">
        <f>IF(C11137="","",UPPER(LEFT(SUBSTITUTE(C11137," ",""),3))&amp;"-"&amp;TEXT(B11137,"AAMMDD")&amp;"-1")</f>
        <v/>
      </c>
    </row>
    <row r="11138" spans="20:20" hidden="1">
      <c r="T11138" t="str">
        <f>IF(C11138="","",UPPER(LEFT(SUBSTITUTE(C11138," ",""),3))&amp;"-"&amp;TEXT(B11138,"AAMMDD")&amp;"-1")</f>
        <v/>
      </c>
    </row>
    <row r="11139" spans="20:20" hidden="1">
      <c r="T11139" t="str">
        <f>IF(C11139="","",UPPER(LEFT(SUBSTITUTE(C11139," ",""),3))&amp;"-"&amp;TEXT(B11139,"AAMMDD")&amp;"-1")</f>
        <v/>
      </c>
    </row>
    <row r="11140" spans="20:20" hidden="1">
      <c r="T11140" t="str">
        <f>IF(C11140="","",UPPER(LEFT(SUBSTITUTE(C11140," ",""),3))&amp;"-"&amp;TEXT(B11140,"AAMMDD")&amp;"-1")</f>
        <v/>
      </c>
    </row>
    <row r="11141" spans="20:20" hidden="1">
      <c r="T11141" t="str">
        <f>IF(C11141="","",UPPER(LEFT(SUBSTITUTE(C11141," ",""),3))&amp;"-"&amp;TEXT(B11141,"AAMMDD")&amp;"-1")</f>
        <v/>
      </c>
    </row>
    <row r="11142" spans="20:20" hidden="1">
      <c r="T11142" t="str">
        <f>IF(C11142="","",UPPER(LEFT(SUBSTITUTE(C11142," ",""),3))&amp;"-"&amp;TEXT(B11142,"AAMMDD")&amp;"-1")</f>
        <v/>
      </c>
    </row>
    <row r="11143" spans="20:20" hidden="1">
      <c r="T11143" t="str">
        <f>IF(C11143="","",UPPER(LEFT(SUBSTITUTE(C11143," ",""),3))&amp;"-"&amp;TEXT(B11143,"AAMMDD")&amp;"-1")</f>
        <v/>
      </c>
    </row>
    <row r="11144" spans="20:20" hidden="1">
      <c r="T11144" t="str">
        <f>IF(C11144="","",UPPER(LEFT(SUBSTITUTE(C11144," ",""),3))&amp;"-"&amp;TEXT(B11144,"AAMMDD")&amp;"-1")</f>
        <v/>
      </c>
    </row>
    <row r="11145" spans="20:20" hidden="1">
      <c r="T11145" t="str">
        <f>IF(C11145="","",UPPER(LEFT(SUBSTITUTE(C11145," ",""),3))&amp;"-"&amp;TEXT(B11145,"AAMMDD")&amp;"-1")</f>
        <v/>
      </c>
    </row>
    <row r="11146" spans="20:20" hidden="1">
      <c r="T11146" t="str">
        <f>IF(C11146="","",UPPER(LEFT(SUBSTITUTE(C11146," ",""),3))&amp;"-"&amp;TEXT(B11146,"AAMMDD")&amp;"-1")</f>
        <v/>
      </c>
    </row>
    <row r="11147" spans="20:20" hidden="1">
      <c r="T11147" t="str">
        <f>IF(C11147="","",UPPER(LEFT(SUBSTITUTE(C11147," ",""),3))&amp;"-"&amp;TEXT(B11147,"AAMMDD")&amp;"-1")</f>
        <v/>
      </c>
    </row>
    <row r="11148" spans="20:20" hidden="1">
      <c r="T11148" t="str">
        <f>IF(C11148="","",UPPER(LEFT(SUBSTITUTE(C11148," ",""),3))&amp;"-"&amp;TEXT(B11148,"AAMMDD")&amp;"-1")</f>
        <v/>
      </c>
    </row>
    <row r="11149" spans="20:20" hidden="1">
      <c r="T11149" t="str">
        <f>IF(C11149="","",UPPER(LEFT(SUBSTITUTE(C11149," ",""),3))&amp;"-"&amp;TEXT(B11149,"AAMMDD")&amp;"-1")</f>
        <v/>
      </c>
    </row>
    <row r="11150" spans="20:20" hidden="1">
      <c r="T11150" t="str">
        <f>IF(C11150="","",UPPER(LEFT(SUBSTITUTE(C11150," ",""),3))&amp;"-"&amp;TEXT(B11150,"AAMMDD")&amp;"-1")</f>
        <v/>
      </c>
    </row>
    <row r="11151" spans="20:20" hidden="1">
      <c r="T11151" t="str">
        <f>IF(C11151="","",UPPER(LEFT(SUBSTITUTE(C11151," ",""),3))&amp;"-"&amp;TEXT(B11151,"AAMMDD")&amp;"-1")</f>
        <v/>
      </c>
    </row>
    <row r="11152" spans="20:20" hidden="1">
      <c r="T11152" t="str">
        <f>IF(C11152="","",UPPER(LEFT(SUBSTITUTE(C11152," ",""),3))&amp;"-"&amp;TEXT(B11152,"AAMMDD")&amp;"-1")</f>
        <v/>
      </c>
    </row>
    <row r="11153" spans="20:20" hidden="1">
      <c r="T11153" t="str">
        <f>IF(C11153="","",UPPER(LEFT(SUBSTITUTE(C11153," ",""),3))&amp;"-"&amp;TEXT(B11153,"AAMMDD")&amp;"-1")</f>
        <v/>
      </c>
    </row>
    <row r="11154" spans="20:20" hidden="1">
      <c r="T11154" t="str">
        <f>IF(C11154="","",UPPER(LEFT(SUBSTITUTE(C11154," ",""),3))&amp;"-"&amp;TEXT(B11154,"AAMMDD")&amp;"-1")</f>
        <v/>
      </c>
    </row>
    <row r="11155" spans="20:20" hidden="1">
      <c r="T11155" t="str">
        <f>IF(C11155="","",UPPER(LEFT(SUBSTITUTE(C11155," ",""),3))&amp;"-"&amp;TEXT(B11155,"AAMMDD")&amp;"-1")</f>
        <v/>
      </c>
    </row>
    <row r="11156" spans="20:20" hidden="1">
      <c r="T11156" t="str">
        <f>IF(C11156="","",UPPER(LEFT(SUBSTITUTE(C11156," ",""),3))&amp;"-"&amp;TEXT(B11156,"AAMMDD")&amp;"-1")</f>
        <v/>
      </c>
    </row>
    <row r="11157" spans="20:20" hidden="1">
      <c r="T11157" t="str">
        <f>IF(C11157="","",UPPER(LEFT(SUBSTITUTE(C11157," ",""),3))&amp;"-"&amp;TEXT(B11157,"AAMMDD")&amp;"-1")</f>
        <v/>
      </c>
    </row>
    <row r="11158" spans="20:20" hidden="1">
      <c r="T11158" t="str">
        <f>IF(C11158="","",UPPER(LEFT(SUBSTITUTE(C11158," ",""),3))&amp;"-"&amp;TEXT(B11158,"AAMMDD")&amp;"-1")</f>
        <v/>
      </c>
    </row>
    <row r="11159" spans="20:20" hidden="1">
      <c r="T11159" t="str">
        <f>IF(C11159="","",UPPER(LEFT(SUBSTITUTE(C11159," ",""),3))&amp;"-"&amp;TEXT(B11159,"AAMMDD")&amp;"-1")</f>
        <v/>
      </c>
    </row>
    <row r="11160" spans="20:20" hidden="1">
      <c r="T11160" t="str">
        <f>IF(C11160="","",UPPER(LEFT(SUBSTITUTE(C11160," ",""),3))&amp;"-"&amp;TEXT(B11160,"AAMMDD")&amp;"-1")</f>
        <v/>
      </c>
    </row>
    <row r="11161" spans="20:20" hidden="1">
      <c r="T11161" t="str">
        <f>IF(C11161="","",UPPER(LEFT(SUBSTITUTE(C11161," ",""),3))&amp;"-"&amp;TEXT(B11161,"AAMMDD")&amp;"-1")</f>
        <v/>
      </c>
    </row>
    <row r="11162" spans="20:20" hidden="1">
      <c r="T11162" t="str">
        <f>IF(C11162="","",UPPER(LEFT(SUBSTITUTE(C11162," ",""),3))&amp;"-"&amp;TEXT(B11162,"AAMMDD")&amp;"-1")</f>
        <v/>
      </c>
    </row>
    <row r="11163" spans="20:20" hidden="1">
      <c r="T11163" t="str">
        <f>IF(C11163="","",UPPER(LEFT(SUBSTITUTE(C11163," ",""),3))&amp;"-"&amp;TEXT(B11163,"AAMMDD")&amp;"-1")</f>
        <v/>
      </c>
    </row>
    <row r="11164" spans="20:20" hidden="1">
      <c r="T11164" t="str">
        <f>IF(C11164="","",UPPER(LEFT(SUBSTITUTE(C11164," ",""),3))&amp;"-"&amp;TEXT(B11164,"AAMMDD")&amp;"-1")</f>
        <v/>
      </c>
    </row>
    <row r="11165" spans="20:20" hidden="1">
      <c r="T11165" t="str">
        <f>IF(C11165="","",UPPER(LEFT(SUBSTITUTE(C11165," ",""),3))&amp;"-"&amp;TEXT(B11165,"AAMMDD")&amp;"-1")</f>
        <v/>
      </c>
    </row>
    <row r="11166" spans="20:20" hidden="1">
      <c r="T11166" t="str">
        <f>IF(C11166="","",UPPER(LEFT(SUBSTITUTE(C11166," ",""),3))&amp;"-"&amp;TEXT(B11166,"AAMMDD")&amp;"-1")</f>
        <v/>
      </c>
    </row>
    <row r="11167" spans="20:20" hidden="1">
      <c r="T11167" t="str">
        <f>IF(C11167="","",UPPER(LEFT(SUBSTITUTE(C11167," ",""),3))&amp;"-"&amp;TEXT(B11167,"AAMMDD")&amp;"-1")</f>
        <v/>
      </c>
    </row>
    <row r="11168" spans="20:20" hidden="1">
      <c r="T11168" t="str">
        <f>IF(C11168="","",UPPER(LEFT(SUBSTITUTE(C11168," ",""),3))&amp;"-"&amp;TEXT(B11168,"AAMMDD")&amp;"-1")</f>
        <v/>
      </c>
    </row>
    <row r="11169" spans="20:20" hidden="1">
      <c r="T11169" t="str">
        <f>IF(C11169="","",UPPER(LEFT(SUBSTITUTE(C11169," ",""),3))&amp;"-"&amp;TEXT(B11169,"AAMMDD")&amp;"-1")</f>
        <v/>
      </c>
    </row>
    <row r="11170" spans="20:20" hidden="1">
      <c r="T11170" t="str">
        <f>IF(C11170="","",UPPER(LEFT(SUBSTITUTE(C11170," ",""),3))&amp;"-"&amp;TEXT(B11170,"AAMMDD")&amp;"-1")</f>
        <v/>
      </c>
    </row>
    <row r="11171" spans="20:20" hidden="1">
      <c r="T11171" t="str">
        <f>IF(C11171="","",UPPER(LEFT(SUBSTITUTE(C11171," ",""),3))&amp;"-"&amp;TEXT(B11171,"AAMMDD")&amp;"-1")</f>
        <v/>
      </c>
    </row>
    <row r="11172" spans="20:20" hidden="1">
      <c r="T11172" t="str">
        <f>IF(C11172="","",UPPER(LEFT(SUBSTITUTE(C11172," ",""),3))&amp;"-"&amp;TEXT(B11172,"AAMMDD")&amp;"-1")</f>
        <v/>
      </c>
    </row>
    <row r="11173" spans="20:20" hidden="1">
      <c r="T11173" t="str">
        <f>IF(C11173="","",UPPER(LEFT(SUBSTITUTE(C11173," ",""),3))&amp;"-"&amp;TEXT(B11173,"AAMMDD")&amp;"-1")</f>
        <v/>
      </c>
    </row>
    <row r="11174" spans="20:20" hidden="1">
      <c r="T11174" t="str">
        <f>IF(C11174="","",UPPER(LEFT(SUBSTITUTE(C11174," ",""),3))&amp;"-"&amp;TEXT(B11174,"AAMMDD")&amp;"-1")</f>
        <v/>
      </c>
    </row>
    <row r="11175" spans="20:20" hidden="1">
      <c r="T11175" t="str">
        <f>IF(C11175="","",UPPER(LEFT(SUBSTITUTE(C11175," ",""),3))&amp;"-"&amp;TEXT(B11175,"AAMMDD")&amp;"-1")</f>
        <v/>
      </c>
    </row>
    <row r="11176" spans="20:20" hidden="1">
      <c r="T11176" t="str">
        <f>IF(C11176="","",UPPER(LEFT(SUBSTITUTE(C11176," ",""),3))&amp;"-"&amp;TEXT(B11176,"AAMMDD")&amp;"-1")</f>
        <v/>
      </c>
    </row>
    <row r="11177" spans="20:20" hidden="1">
      <c r="T11177" t="str">
        <f>IF(C11177="","",UPPER(LEFT(SUBSTITUTE(C11177," ",""),3))&amp;"-"&amp;TEXT(B11177,"AAMMDD")&amp;"-1")</f>
        <v/>
      </c>
    </row>
    <row r="11178" spans="20:20" hidden="1">
      <c r="T11178" t="str">
        <f>IF(C11178="","",UPPER(LEFT(SUBSTITUTE(C11178," ",""),3))&amp;"-"&amp;TEXT(B11178,"AAMMDD")&amp;"-1")</f>
        <v/>
      </c>
    </row>
    <row r="11179" spans="20:20" hidden="1">
      <c r="T11179" t="str">
        <f>IF(C11179="","",UPPER(LEFT(SUBSTITUTE(C11179," ",""),3))&amp;"-"&amp;TEXT(B11179,"AAMMDD")&amp;"-1")</f>
        <v/>
      </c>
    </row>
    <row r="11180" spans="20:20" hidden="1">
      <c r="T11180" t="str">
        <f>IF(C11180="","",UPPER(LEFT(SUBSTITUTE(C11180," ",""),3))&amp;"-"&amp;TEXT(B11180,"AAMMDD")&amp;"-1")</f>
        <v/>
      </c>
    </row>
    <row r="11181" spans="20:20" hidden="1">
      <c r="T11181" t="str">
        <f>IF(C11181="","",UPPER(LEFT(SUBSTITUTE(C11181," ",""),3))&amp;"-"&amp;TEXT(B11181,"AAMMDD")&amp;"-1")</f>
        <v/>
      </c>
    </row>
    <row r="11182" spans="20:20" hidden="1">
      <c r="T11182" t="str">
        <f>IF(C11182="","",UPPER(LEFT(SUBSTITUTE(C11182," ",""),3))&amp;"-"&amp;TEXT(B11182,"AAMMDD")&amp;"-1")</f>
        <v/>
      </c>
    </row>
    <row r="11183" spans="20:20" hidden="1">
      <c r="T11183" t="str">
        <f>IF(C11183="","",UPPER(LEFT(SUBSTITUTE(C11183," ",""),3))&amp;"-"&amp;TEXT(B11183,"AAMMDD")&amp;"-1")</f>
        <v/>
      </c>
    </row>
    <row r="11184" spans="20:20" hidden="1">
      <c r="T11184" t="str">
        <f>IF(C11184="","",UPPER(LEFT(SUBSTITUTE(C11184," ",""),3))&amp;"-"&amp;TEXT(B11184,"AAMMDD")&amp;"-1")</f>
        <v/>
      </c>
    </row>
    <row r="11185" spans="20:20" hidden="1">
      <c r="T11185" t="str">
        <f>IF(C11185="","",UPPER(LEFT(SUBSTITUTE(C11185," ",""),3))&amp;"-"&amp;TEXT(B11185,"AAMMDD")&amp;"-1")</f>
        <v/>
      </c>
    </row>
    <row r="11186" spans="20:20" hidden="1">
      <c r="T11186" t="str">
        <f>IF(C11186="","",UPPER(LEFT(SUBSTITUTE(C11186," ",""),3))&amp;"-"&amp;TEXT(B11186,"AAMMDD")&amp;"-1")</f>
        <v/>
      </c>
    </row>
    <row r="11187" spans="20:20" hidden="1">
      <c r="T11187" t="str">
        <f>IF(C11187="","",UPPER(LEFT(SUBSTITUTE(C11187," ",""),3))&amp;"-"&amp;TEXT(B11187,"AAMMDD")&amp;"-1")</f>
        <v/>
      </c>
    </row>
    <row r="11188" spans="20:20" hidden="1">
      <c r="T11188" t="str">
        <f>IF(C11188="","",UPPER(LEFT(SUBSTITUTE(C11188," ",""),3))&amp;"-"&amp;TEXT(B11188,"AAMMDD")&amp;"-1")</f>
        <v/>
      </c>
    </row>
    <row r="11189" spans="20:20" hidden="1">
      <c r="T11189" t="str">
        <f>IF(C11189="","",UPPER(LEFT(SUBSTITUTE(C11189," ",""),3))&amp;"-"&amp;TEXT(B11189,"AAMMDD")&amp;"-1")</f>
        <v/>
      </c>
    </row>
    <row r="11190" spans="20:20" hidden="1">
      <c r="T11190" t="str">
        <f>IF(C11190="","",UPPER(LEFT(SUBSTITUTE(C11190," ",""),3))&amp;"-"&amp;TEXT(B11190,"AAMMDD")&amp;"-1")</f>
        <v/>
      </c>
    </row>
    <row r="11191" spans="20:20" hidden="1">
      <c r="T11191" t="str">
        <f>IF(C11191="","",UPPER(LEFT(SUBSTITUTE(C11191," ",""),3))&amp;"-"&amp;TEXT(B11191,"AAMMDD")&amp;"-1")</f>
        <v/>
      </c>
    </row>
    <row r="11192" spans="20:20" hidden="1">
      <c r="T11192" t="str">
        <f>IF(C11192="","",UPPER(LEFT(SUBSTITUTE(C11192," ",""),3))&amp;"-"&amp;TEXT(B11192,"AAMMDD")&amp;"-1")</f>
        <v/>
      </c>
    </row>
    <row r="11193" spans="20:20" hidden="1">
      <c r="T11193" t="str">
        <f>IF(C11193="","",UPPER(LEFT(SUBSTITUTE(C11193," ",""),3))&amp;"-"&amp;TEXT(B11193,"AAMMDD")&amp;"-1")</f>
        <v/>
      </c>
    </row>
    <row r="11194" spans="20:20" hidden="1">
      <c r="T11194" t="str">
        <f>IF(C11194="","",UPPER(LEFT(SUBSTITUTE(C11194," ",""),3))&amp;"-"&amp;TEXT(B11194,"AAMMDD")&amp;"-1")</f>
        <v/>
      </c>
    </row>
    <row r="11195" spans="20:20" hidden="1">
      <c r="T11195" t="str">
        <f>IF(C11195="","",UPPER(LEFT(SUBSTITUTE(C11195," ",""),3))&amp;"-"&amp;TEXT(B11195,"AAMMDD")&amp;"-1")</f>
        <v/>
      </c>
    </row>
    <row r="11196" spans="20:20" hidden="1">
      <c r="T11196" t="str">
        <f>IF(C11196="","",UPPER(LEFT(SUBSTITUTE(C11196," ",""),3))&amp;"-"&amp;TEXT(B11196,"AAMMDD")&amp;"-1")</f>
        <v/>
      </c>
    </row>
    <row r="11197" spans="20:20" hidden="1">
      <c r="T11197" t="str">
        <f>IF(C11197="","",UPPER(LEFT(SUBSTITUTE(C11197," ",""),3))&amp;"-"&amp;TEXT(B11197,"AAMMDD")&amp;"-1")</f>
        <v/>
      </c>
    </row>
    <row r="11198" spans="20:20" hidden="1">
      <c r="T11198" t="str">
        <f>IF(C11198="","",UPPER(LEFT(SUBSTITUTE(C11198," ",""),3))&amp;"-"&amp;TEXT(B11198,"AAMMDD")&amp;"-1")</f>
        <v/>
      </c>
    </row>
    <row r="11199" spans="20:20" hidden="1">
      <c r="T11199" t="str">
        <f>IF(C11199="","",UPPER(LEFT(SUBSTITUTE(C11199," ",""),3))&amp;"-"&amp;TEXT(B11199,"AAMMDD")&amp;"-1")</f>
        <v/>
      </c>
    </row>
    <row r="11200" spans="20:20" hidden="1">
      <c r="T11200" t="str">
        <f>IF(C11200="","",UPPER(LEFT(SUBSTITUTE(C11200," ",""),3))&amp;"-"&amp;TEXT(B11200,"AAMMDD")&amp;"-1")</f>
        <v/>
      </c>
    </row>
    <row r="11201" spans="20:20" hidden="1">
      <c r="T11201" t="str">
        <f>IF(C11201="","",UPPER(LEFT(SUBSTITUTE(C11201," ",""),3))&amp;"-"&amp;TEXT(B11201,"AAMMDD")&amp;"-1")</f>
        <v/>
      </c>
    </row>
    <row r="11202" spans="20:20" hidden="1">
      <c r="T11202" t="str">
        <f>IF(C11202="","",UPPER(LEFT(SUBSTITUTE(C11202," ",""),3))&amp;"-"&amp;TEXT(B11202,"AAMMDD")&amp;"-1")</f>
        <v/>
      </c>
    </row>
    <row r="11203" spans="20:20" hidden="1">
      <c r="T11203" t="str">
        <f>IF(C11203="","",UPPER(LEFT(SUBSTITUTE(C11203," ",""),3))&amp;"-"&amp;TEXT(B11203,"AAMMDD")&amp;"-1")</f>
        <v/>
      </c>
    </row>
    <row r="11204" spans="20:20" hidden="1">
      <c r="T11204" t="str">
        <f>IF(C11204="","",UPPER(LEFT(SUBSTITUTE(C11204," ",""),3))&amp;"-"&amp;TEXT(B11204,"AAMMDD")&amp;"-1")</f>
        <v/>
      </c>
    </row>
    <row r="11205" spans="20:20" hidden="1">
      <c r="T11205" t="str">
        <f>IF(C11205="","",UPPER(LEFT(SUBSTITUTE(C11205," ",""),3))&amp;"-"&amp;TEXT(B11205,"AAMMDD")&amp;"-1")</f>
        <v/>
      </c>
    </row>
    <row r="11206" spans="20:20" hidden="1">
      <c r="T11206" t="str">
        <f>IF(C11206="","",UPPER(LEFT(SUBSTITUTE(C11206," ",""),3))&amp;"-"&amp;TEXT(B11206,"AAMMDD")&amp;"-1")</f>
        <v/>
      </c>
    </row>
    <row r="11207" spans="20:20" hidden="1">
      <c r="T11207" t="str">
        <f>IF(C11207="","",UPPER(LEFT(SUBSTITUTE(C11207," ",""),3))&amp;"-"&amp;TEXT(B11207,"AAMMDD")&amp;"-1")</f>
        <v/>
      </c>
    </row>
    <row r="11208" spans="20:20" hidden="1">
      <c r="T11208" t="str">
        <f>IF(C11208="","",UPPER(LEFT(SUBSTITUTE(C11208," ",""),3))&amp;"-"&amp;TEXT(B11208,"AAMMDD")&amp;"-1")</f>
        <v/>
      </c>
    </row>
    <row r="11209" spans="20:20" hidden="1">
      <c r="T11209" t="str">
        <f>IF(C11209="","",UPPER(LEFT(SUBSTITUTE(C11209," ",""),3))&amp;"-"&amp;TEXT(B11209,"AAMMDD")&amp;"-1")</f>
        <v/>
      </c>
    </row>
    <row r="11210" spans="20:20" hidden="1">
      <c r="T11210" t="str">
        <f>IF(C11210="","",UPPER(LEFT(SUBSTITUTE(C11210," ",""),3))&amp;"-"&amp;TEXT(B11210,"AAMMDD")&amp;"-1")</f>
        <v/>
      </c>
    </row>
    <row r="11211" spans="20:20" hidden="1">
      <c r="T11211" t="str">
        <f>IF(C11211="","",UPPER(LEFT(SUBSTITUTE(C11211," ",""),3))&amp;"-"&amp;TEXT(B11211,"AAMMDD")&amp;"-1")</f>
        <v/>
      </c>
    </row>
    <row r="11212" spans="20:20" hidden="1">
      <c r="T11212" t="str">
        <f>IF(C11212="","",UPPER(LEFT(SUBSTITUTE(C11212," ",""),3))&amp;"-"&amp;TEXT(B11212,"AAMMDD")&amp;"-1")</f>
        <v/>
      </c>
    </row>
    <row r="11213" spans="20:20" hidden="1">
      <c r="T11213" t="str">
        <f>IF(C11213="","",UPPER(LEFT(SUBSTITUTE(C11213," ",""),3))&amp;"-"&amp;TEXT(B11213,"AAMMDD")&amp;"-1")</f>
        <v/>
      </c>
    </row>
    <row r="11214" spans="20:20" hidden="1">
      <c r="T11214" t="str">
        <f>IF(C11214="","",UPPER(LEFT(SUBSTITUTE(C11214," ",""),3))&amp;"-"&amp;TEXT(B11214,"AAMMDD")&amp;"-1")</f>
        <v/>
      </c>
    </row>
    <row r="11215" spans="20:20" hidden="1">
      <c r="T11215" t="str">
        <f>IF(C11215="","",UPPER(LEFT(SUBSTITUTE(C11215," ",""),3))&amp;"-"&amp;TEXT(B11215,"AAMMDD")&amp;"-1")</f>
        <v/>
      </c>
    </row>
    <row r="11216" spans="20:20" hidden="1">
      <c r="T11216" t="str">
        <f>IF(C11216="","",UPPER(LEFT(SUBSTITUTE(C11216," ",""),3))&amp;"-"&amp;TEXT(B11216,"AAMMDD")&amp;"-1")</f>
        <v/>
      </c>
    </row>
    <row r="11217" spans="20:20" hidden="1">
      <c r="T11217" t="str">
        <f>IF(C11217="","",UPPER(LEFT(SUBSTITUTE(C11217," ",""),3))&amp;"-"&amp;TEXT(B11217,"AAMMDD")&amp;"-1")</f>
        <v/>
      </c>
    </row>
    <row r="11218" spans="20:20" hidden="1">
      <c r="T11218" t="str">
        <f>IF(C11218="","",UPPER(LEFT(SUBSTITUTE(C11218," ",""),3))&amp;"-"&amp;TEXT(B11218,"AAMMDD")&amp;"-1")</f>
        <v/>
      </c>
    </row>
    <row r="11219" spans="20:20" hidden="1">
      <c r="T11219" t="str">
        <f>IF(C11219="","",UPPER(LEFT(SUBSTITUTE(C11219," ",""),3))&amp;"-"&amp;TEXT(B11219,"AAMMDD")&amp;"-1")</f>
        <v/>
      </c>
    </row>
    <row r="11220" spans="20:20" hidden="1">
      <c r="T11220" t="str">
        <f>IF(C11220="","",UPPER(LEFT(SUBSTITUTE(C11220," ",""),3))&amp;"-"&amp;TEXT(B11220,"AAMMDD")&amp;"-1")</f>
        <v/>
      </c>
    </row>
    <row r="11221" spans="20:20" hidden="1">
      <c r="T11221" t="str">
        <f>IF(C11221="","",UPPER(LEFT(SUBSTITUTE(C11221," ",""),3))&amp;"-"&amp;TEXT(B11221,"AAMMDD")&amp;"-1")</f>
        <v/>
      </c>
    </row>
    <row r="11222" spans="20:20" hidden="1">
      <c r="T11222" t="str">
        <f>IF(C11222="","",UPPER(LEFT(SUBSTITUTE(C11222," ",""),3))&amp;"-"&amp;TEXT(B11222,"AAMMDD")&amp;"-1")</f>
        <v/>
      </c>
    </row>
    <row r="11223" spans="20:20" hidden="1">
      <c r="T11223" t="str">
        <f>IF(C11223="","",UPPER(LEFT(SUBSTITUTE(C11223," ",""),3))&amp;"-"&amp;TEXT(B11223,"AAMMDD")&amp;"-1")</f>
        <v/>
      </c>
    </row>
    <row r="11224" spans="20:20" hidden="1">
      <c r="T11224" t="str">
        <f>IF(C11224="","",UPPER(LEFT(SUBSTITUTE(C11224," ",""),3))&amp;"-"&amp;TEXT(B11224,"AAMMDD")&amp;"-1")</f>
        <v/>
      </c>
    </row>
    <row r="11225" spans="20:20" hidden="1">
      <c r="T11225" t="str">
        <f>IF(C11225="","",UPPER(LEFT(SUBSTITUTE(C11225," ",""),3))&amp;"-"&amp;TEXT(B11225,"AAMMDD")&amp;"-1")</f>
        <v/>
      </c>
    </row>
    <row r="11226" spans="20:20" hidden="1">
      <c r="T11226" t="str">
        <f>IF(C11226="","",UPPER(LEFT(SUBSTITUTE(C11226," ",""),3))&amp;"-"&amp;TEXT(B11226,"AAMMDD")&amp;"-1")</f>
        <v/>
      </c>
    </row>
    <row r="11227" spans="20:20" hidden="1">
      <c r="T11227" t="str">
        <f>IF(C11227="","",UPPER(LEFT(SUBSTITUTE(C11227," ",""),3))&amp;"-"&amp;TEXT(B11227,"AAMMDD")&amp;"-1")</f>
        <v/>
      </c>
    </row>
    <row r="11228" spans="20:20" hidden="1">
      <c r="T11228" t="str">
        <f>IF(C11228="","",UPPER(LEFT(SUBSTITUTE(C11228," ",""),3))&amp;"-"&amp;TEXT(B11228,"AAMMDD")&amp;"-1")</f>
        <v/>
      </c>
    </row>
    <row r="11229" spans="20:20" hidden="1">
      <c r="T11229" t="str">
        <f>IF(C11229="","",UPPER(LEFT(SUBSTITUTE(C11229," ",""),3))&amp;"-"&amp;TEXT(B11229,"AAMMDD")&amp;"-1")</f>
        <v/>
      </c>
    </row>
    <row r="11230" spans="20:20" hidden="1">
      <c r="T11230" t="str">
        <f>IF(C11230="","",UPPER(LEFT(SUBSTITUTE(C11230," ",""),3))&amp;"-"&amp;TEXT(B11230,"AAMMDD")&amp;"-1")</f>
        <v/>
      </c>
    </row>
    <row r="11231" spans="20:20" hidden="1">
      <c r="T11231" t="str">
        <f>IF(C11231="","",UPPER(LEFT(SUBSTITUTE(C11231," ",""),3))&amp;"-"&amp;TEXT(B11231,"AAMMDD")&amp;"-1")</f>
        <v/>
      </c>
    </row>
    <row r="11232" spans="20:20" hidden="1">
      <c r="T11232" t="str">
        <f>IF(C11232="","",UPPER(LEFT(SUBSTITUTE(C11232," ",""),3))&amp;"-"&amp;TEXT(B11232,"AAMMDD")&amp;"-1")</f>
        <v/>
      </c>
    </row>
    <row r="11233" spans="20:20" hidden="1">
      <c r="T11233" t="str">
        <f>IF(C11233="","",UPPER(LEFT(SUBSTITUTE(C11233," ",""),3))&amp;"-"&amp;TEXT(B11233,"AAMMDD")&amp;"-1")</f>
        <v/>
      </c>
    </row>
    <row r="11234" spans="20:20" hidden="1">
      <c r="T11234" t="str">
        <f>IF(C11234="","",UPPER(LEFT(SUBSTITUTE(C11234," ",""),3))&amp;"-"&amp;TEXT(B11234,"AAMMDD")&amp;"-1")</f>
        <v/>
      </c>
    </row>
    <row r="11235" spans="20:20" hidden="1">
      <c r="T11235" t="str">
        <f>IF(C11235="","",UPPER(LEFT(SUBSTITUTE(C11235," ",""),3))&amp;"-"&amp;TEXT(B11235,"AAMMDD")&amp;"-1")</f>
        <v/>
      </c>
    </row>
    <row r="11236" spans="20:20" hidden="1">
      <c r="T11236" t="str">
        <f>IF(C11236="","",UPPER(LEFT(SUBSTITUTE(C11236," ",""),3))&amp;"-"&amp;TEXT(B11236,"AAMMDD")&amp;"-1")</f>
        <v/>
      </c>
    </row>
    <row r="11237" spans="20:20" hidden="1">
      <c r="T11237" t="str">
        <f>IF(C11237="","",UPPER(LEFT(SUBSTITUTE(C11237," ",""),3))&amp;"-"&amp;TEXT(B11237,"AAMMDD")&amp;"-1")</f>
        <v/>
      </c>
    </row>
    <row r="11238" spans="20:20" hidden="1">
      <c r="T11238" t="str">
        <f>IF(C11238="","",UPPER(LEFT(SUBSTITUTE(C11238," ",""),3))&amp;"-"&amp;TEXT(B11238,"AAMMDD")&amp;"-1")</f>
        <v/>
      </c>
    </row>
    <row r="11239" spans="20:20" hidden="1">
      <c r="T11239" t="str">
        <f>IF(C11239="","",UPPER(LEFT(SUBSTITUTE(C11239," ",""),3))&amp;"-"&amp;TEXT(B11239,"AAMMDD")&amp;"-1")</f>
        <v/>
      </c>
    </row>
    <row r="11240" spans="20:20" hidden="1">
      <c r="T11240" t="str">
        <f>IF(C11240="","",UPPER(LEFT(SUBSTITUTE(C11240," ",""),3))&amp;"-"&amp;TEXT(B11240,"AAMMDD")&amp;"-1")</f>
        <v/>
      </c>
    </row>
    <row r="11241" spans="20:20" hidden="1">
      <c r="T11241" t="str">
        <f>IF(C11241="","",UPPER(LEFT(SUBSTITUTE(C11241," ",""),3))&amp;"-"&amp;TEXT(B11241,"AAMMDD")&amp;"-1")</f>
        <v/>
      </c>
    </row>
    <row r="11242" spans="20:20" hidden="1">
      <c r="T11242" t="str">
        <f>IF(C11242="","",UPPER(LEFT(SUBSTITUTE(C11242," ",""),3))&amp;"-"&amp;TEXT(B11242,"AAMMDD")&amp;"-1")</f>
        <v/>
      </c>
    </row>
    <row r="11243" spans="20:20" hidden="1">
      <c r="T11243" t="str">
        <f>IF(C11243="","",UPPER(LEFT(SUBSTITUTE(C11243," ",""),3))&amp;"-"&amp;TEXT(B11243,"AAMMDD")&amp;"-1")</f>
        <v/>
      </c>
    </row>
    <row r="11244" spans="20:20" hidden="1">
      <c r="T11244" t="str">
        <f>IF(C11244="","",UPPER(LEFT(SUBSTITUTE(C11244," ",""),3))&amp;"-"&amp;TEXT(B11244,"AAMMDD")&amp;"-1")</f>
        <v/>
      </c>
    </row>
    <row r="11245" spans="20:20" hidden="1">
      <c r="T11245" t="str">
        <f>IF(C11245="","",UPPER(LEFT(SUBSTITUTE(C11245," ",""),3))&amp;"-"&amp;TEXT(B11245,"AAMMDD")&amp;"-1")</f>
        <v/>
      </c>
    </row>
    <row r="11246" spans="20:20" hidden="1">
      <c r="T11246" t="str">
        <f>IF(C11246="","",UPPER(LEFT(SUBSTITUTE(C11246," ",""),3))&amp;"-"&amp;TEXT(B11246,"AAMMDD")&amp;"-1")</f>
        <v/>
      </c>
    </row>
    <row r="11247" spans="20:20" hidden="1">
      <c r="T11247" t="str">
        <f>IF(C11247="","",UPPER(LEFT(SUBSTITUTE(C11247," ",""),3))&amp;"-"&amp;TEXT(B11247,"AAMMDD")&amp;"-1")</f>
        <v/>
      </c>
    </row>
    <row r="11248" spans="20:20" hidden="1">
      <c r="T11248" t="str">
        <f>IF(C11248="","",UPPER(LEFT(SUBSTITUTE(C11248," ",""),3))&amp;"-"&amp;TEXT(B11248,"AAMMDD")&amp;"-1")</f>
        <v/>
      </c>
    </row>
    <row r="11249" spans="20:20" hidden="1">
      <c r="T11249" t="str">
        <f>IF(C11249="","",UPPER(LEFT(SUBSTITUTE(C11249," ",""),3))&amp;"-"&amp;TEXT(B11249,"AAMMDD")&amp;"-1")</f>
        <v/>
      </c>
    </row>
    <row r="11250" spans="20:20" hidden="1">
      <c r="T11250" t="str">
        <f>IF(C11250="","",UPPER(LEFT(SUBSTITUTE(C11250," ",""),3))&amp;"-"&amp;TEXT(B11250,"AAMMDD")&amp;"-1")</f>
        <v/>
      </c>
    </row>
    <row r="11251" spans="20:20" hidden="1">
      <c r="T11251" t="str">
        <f>IF(C11251="","",UPPER(LEFT(SUBSTITUTE(C11251," ",""),3))&amp;"-"&amp;TEXT(B11251,"AAMMDD")&amp;"-1")</f>
        <v/>
      </c>
    </row>
    <row r="11252" spans="20:20" hidden="1">
      <c r="T11252" t="str">
        <f>IF(C11252="","",UPPER(LEFT(SUBSTITUTE(C11252," ",""),3))&amp;"-"&amp;TEXT(B11252,"AAMMDD")&amp;"-1")</f>
        <v/>
      </c>
    </row>
    <row r="11253" spans="20:20" hidden="1">
      <c r="T11253" t="str">
        <f>IF(C11253="","",UPPER(LEFT(SUBSTITUTE(C11253," ",""),3))&amp;"-"&amp;TEXT(B11253,"AAMMDD")&amp;"-1")</f>
        <v/>
      </c>
    </row>
    <row r="11254" spans="20:20" hidden="1">
      <c r="T11254" t="str">
        <f>IF(C11254="","",UPPER(LEFT(SUBSTITUTE(C11254," ",""),3))&amp;"-"&amp;TEXT(B11254,"AAMMDD")&amp;"-1")</f>
        <v/>
      </c>
    </row>
    <row r="11255" spans="20:20" hidden="1">
      <c r="T11255" t="str">
        <f>IF(C11255="","",UPPER(LEFT(SUBSTITUTE(C11255," ",""),3))&amp;"-"&amp;TEXT(B11255,"AAMMDD")&amp;"-1")</f>
        <v/>
      </c>
    </row>
    <row r="11256" spans="20:20" hidden="1">
      <c r="T11256" t="str">
        <f>IF(C11256="","",UPPER(LEFT(SUBSTITUTE(C11256," ",""),3))&amp;"-"&amp;TEXT(B11256,"AAMMDD")&amp;"-1")</f>
        <v/>
      </c>
    </row>
    <row r="11257" spans="20:20" hidden="1">
      <c r="T11257" t="str">
        <f>IF(C11257="","",UPPER(LEFT(SUBSTITUTE(C11257," ",""),3))&amp;"-"&amp;TEXT(B11257,"AAMMDD")&amp;"-1")</f>
        <v/>
      </c>
    </row>
    <row r="11258" spans="20:20" hidden="1">
      <c r="T11258" t="str">
        <f>IF(C11258="","",UPPER(LEFT(SUBSTITUTE(C11258," ",""),3))&amp;"-"&amp;TEXT(B11258,"AAMMDD")&amp;"-1")</f>
        <v/>
      </c>
    </row>
    <row r="11259" spans="20:20" hidden="1">
      <c r="T11259" t="str">
        <f>IF(C11259="","",UPPER(LEFT(SUBSTITUTE(C11259," ",""),3))&amp;"-"&amp;TEXT(B11259,"AAMMDD")&amp;"-1")</f>
        <v/>
      </c>
    </row>
    <row r="11260" spans="20:20" hidden="1">
      <c r="T11260" t="str">
        <f>IF(C11260="","",UPPER(LEFT(SUBSTITUTE(C11260," ",""),3))&amp;"-"&amp;TEXT(B11260,"AAMMDD")&amp;"-1")</f>
        <v/>
      </c>
    </row>
    <row r="11261" spans="20:20" hidden="1">
      <c r="T11261" t="str">
        <f>IF(C11261="","",UPPER(LEFT(SUBSTITUTE(C11261," ",""),3))&amp;"-"&amp;TEXT(B11261,"AAMMDD")&amp;"-1")</f>
        <v/>
      </c>
    </row>
    <row r="11262" spans="20:20" hidden="1">
      <c r="T11262" t="str">
        <f>IF(C11262="","",UPPER(LEFT(SUBSTITUTE(C11262," ",""),3))&amp;"-"&amp;TEXT(B11262,"AAMMDD")&amp;"-1")</f>
        <v/>
      </c>
    </row>
    <row r="11263" spans="20:20" hidden="1">
      <c r="T11263" t="str">
        <f>IF(C11263="","",UPPER(LEFT(SUBSTITUTE(C11263," ",""),3))&amp;"-"&amp;TEXT(B11263,"AAMMDD")&amp;"-1")</f>
        <v/>
      </c>
    </row>
    <row r="11264" spans="20:20" hidden="1">
      <c r="T11264" t="str">
        <f>IF(C11264="","",UPPER(LEFT(SUBSTITUTE(C11264," ",""),3))&amp;"-"&amp;TEXT(B11264,"AAMMDD")&amp;"-1")</f>
        <v/>
      </c>
    </row>
    <row r="11265" spans="20:20" hidden="1">
      <c r="T11265" t="str">
        <f>IF(C11265="","",UPPER(LEFT(SUBSTITUTE(C11265," ",""),3))&amp;"-"&amp;TEXT(B11265,"AAMMDD")&amp;"-1")</f>
        <v/>
      </c>
    </row>
    <row r="11266" spans="20:20" hidden="1">
      <c r="T11266" t="str">
        <f>IF(C11266="","",UPPER(LEFT(SUBSTITUTE(C11266," ",""),3))&amp;"-"&amp;TEXT(B11266,"AAMMDD")&amp;"-1")</f>
        <v/>
      </c>
    </row>
    <row r="11267" spans="20:20" hidden="1">
      <c r="T11267" t="str">
        <f>IF(C11267="","",UPPER(LEFT(SUBSTITUTE(C11267," ",""),3))&amp;"-"&amp;TEXT(B11267,"AAMMDD")&amp;"-1")</f>
        <v/>
      </c>
    </row>
    <row r="11268" spans="20:20" hidden="1">
      <c r="T11268" t="str">
        <f>IF(C11268="","",UPPER(LEFT(SUBSTITUTE(C11268," ",""),3))&amp;"-"&amp;TEXT(B11268,"AAMMDD")&amp;"-1")</f>
        <v/>
      </c>
    </row>
    <row r="11269" spans="20:20" hidden="1">
      <c r="T11269" t="str">
        <f>IF(C11269="","",UPPER(LEFT(SUBSTITUTE(C11269," ",""),3))&amp;"-"&amp;TEXT(B11269,"AAMMDD")&amp;"-1")</f>
        <v/>
      </c>
    </row>
    <row r="11270" spans="20:20" hidden="1">
      <c r="T11270" t="str">
        <f>IF(C11270="","",UPPER(LEFT(SUBSTITUTE(C11270," ",""),3))&amp;"-"&amp;TEXT(B11270,"AAMMDD")&amp;"-1")</f>
        <v/>
      </c>
    </row>
    <row r="11271" spans="20:20" hidden="1">
      <c r="T11271" t="str">
        <f>IF(C11271="","",UPPER(LEFT(SUBSTITUTE(C11271," ",""),3))&amp;"-"&amp;TEXT(B11271,"AAMMDD")&amp;"-1")</f>
        <v/>
      </c>
    </row>
    <row r="11272" spans="20:20" hidden="1">
      <c r="T11272" t="str">
        <f>IF(C11272="","",UPPER(LEFT(SUBSTITUTE(C11272," ",""),3))&amp;"-"&amp;TEXT(B11272,"AAMMDD")&amp;"-1")</f>
        <v/>
      </c>
    </row>
    <row r="11273" spans="20:20" hidden="1">
      <c r="T11273" t="str">
        <f>IF(C11273="","",UPPER(LEFT(SUBSTITUTE(C11273," ",""),3))&amp;"-"&amp;TEXT(B11273,"AAMMDD")&amp;"-1")</f>
        <v/>
      </c>
    </row>
    <row r="11274" spans="20:20" hidden="1">
      <c r="T11274" t="str">
        <f>IF(C11274="","",UPPER(LEFT(SUBSTITUTE(C11274," ",""),3))&amp;"-"&amp;TEXT(B11274,"AAMMDD")&amp;"-1")</f>
        <v/>
      </c>
    </row>
    <row r="11275" spans="20:20" hidden="1">
      <c r="T11275" t="str">
        <f>IF(C11275="","",UPPER(LEFT(SUBSTITUTE(C11275," ",""),3))&amp;"-"&amp;TEXT(B11275,"AAMMDD")&amp;"-1")</f>
        <v/>
      </c>
    </row>
    <row r="11276" spans="20:20" hidden="1">
      <c r="T11276" t="str">
        <f>IF(C11276="","",UPPER(LEFT(SUBSTITUTE(C11276," ",""),3))&amp;"-"&amp;TEXT(B11276,"AAMMDD")&amp;"-1")</f>
        <v/>
      </c>
    </row>
    <row r="11277" spans="20:20" hidden="1">
      <c r="T11277" t="str">
        <f>IF(C11277="","",UPPER(LEFT(SUBSTITUTE(C11277," ",""),3))&amp;"-"&amp;TEXT(B11277,"AAMMDD")&amp;"-1")</f>
        <v/>
      </c>
    </row>
    <row r="11278" spans="20:20" hidden="1">
      <c r="T11278" t="str">
        <f>IF(C11278="","",UPPER(LEFT(SUBSTITUTE(C11278," ",""),3))&amp;"-"&amp;TEXT(B11278,"AAMMDD")&amp;"-1")</f>
        <v/>
      </c>
    </row>
    <row r="11279" spans="20:20" hidden="1">
      <c r="T11279" t="str">
        <f>IF(C11279="","",UPPER(LEFT(SUBSTITUTE(C11279," ",""),3))&amp;"-"&amp;TEXT(B11279,"AAMMDD")&amp;"-1")</f>
        <v/>
      </c>
    </row>
    <row r="11280" spans="20:20" hidden="1">
      <c r="T11280" t="str">
        <f>IF(C11280="","",UPPER(LEFT(SUBSTITUTE(C11280," ",""),3))&amp;"-"&amp;TEXT(B11280,"AAMMDD")&amp;"-1")</f>
        <v/>
      </c>
    </row>
    <row r="11281" spans="20:20" hidden="1">
      <c r="T11281" t="str">
        <f>IF(C11281="","",UPPER(LEFT(SUBSTITUTE(C11281," ",""),3))&amp;"-"&amp;TEXT(B11281,"AAMMDD")&amp;"-1")</f>
        <v/>
      </c>
    </row>
    <row r="11282" spans="20:20" hidden="1">
      <c r="T11282" t="str">
        <f>IF(C11282="","",UPPER(LEFT(SUBSTITUTE(C11282," ",""),3))&amp;"-"&amp;TEXT(B11282,"AAMMDD")&amp;"-1")</f>
        <v/>
      </c>
    </row>
    <row r="11283" spans="20:20" hidden="1">
      <c r="T11283" t="str">
        <f>IF(C11283="","",UPPER(LEFT(SUBSTITUTE(C11283," ",""),3))&amp;"-"&amp;TEXT(B11283,"AAMMDD")&amp;"-1")</f>
        <v/>
      </c>
    </row>
    <row r="11284" spans="20:20" hidden="1">
      <c r="T11284" t="str">
        <f>IF(C11284="","",UPPER(LEFT(SUBSTITUTE(C11284," ",""),3))&amp;"-"&amp;TEXT(B11284,"AAMMDD")&amp;"-1")</f>
        <v/>
      </c>
    </row>
    <row r="11285" spans="20:20" hidden="1">
      <c r="T11285" t="str">
        <f>IF(C11285="","",UPPER(LEFT(SUBSTITUTE(C11285," ",""),3))&amp;"-"&amp;TEXT(B11285,"AAMMDD")&amp;"-1")</f>
        <v/>
      </c>
    </row>
    <row r="11286" spans="20:20" hidden="1">
      <c r="T11286" t="str">
        <f>IF(C11286="","",UPPER(LEFT(SUBSTITUTE(C11286," ",""),3))&amp;"-"&amp;TEXT(B11286,"AAMMDD")&amp;"-1")</f>
        <v/>
      </c>
    </row>
    <row r="11287" spans="20:20" hidden="1">
      <c r="T11287" t="str">
        <f>IF(C11287="","",UPPER(LEFT(SUBSTITUTE(C11287," ",""),3))&amp;"-"&amp;TEXT(B11287,"AAMMDD")&amp;"-1")</f>
        <v/>
      </c>
    </row>
    <row r="11288" spans="20:20" hidden="1">
      <c r="T11288" t="str">
        <f>IF(C11288="","",UPPER(LEFT(SUBSTITUTE(C11288," ",""),3))&amp;"-"&amp;TEXT(B11288,"AAMMDD")&amp;"-1")</f>
        <v/>
      </c>
    </row>
    <row r="11289" spans="20:20" hidden="1">
      <c r="T11289" t="str">
        <f>IF(C11289="","",UPPER(LEFT(SUBSTITUTE(C11289," ",""),3))&amp;"-"&amp;TEXT(B11289,"AAMMDD")&amp;"-1")</f>
        <v/>
      </c>
    </row>
    <row r="11290" spans="20:20" hidden="1">
      <c r="T11290" t="str">
        <f>IF(C11290="","",UPPER(LEFT(SUBSTITUTE(C11290," ",""),3))&amp;"-"&amp;TEXT(B11290,"AAMMDD")&amp;"-1")</f>
        <v/>
      </c>
    </row>
    <row r="11291" spans="20:20" hidden="1">
      <c r="T11291" t="str">
        <f>IF(C11291="","",UPPER(LEFT(SUBSTITUTE(C11291," ",""),3))&amp;"-"&amp;TEXT(B11291,"AAMMDD")&amp;"-1")</f>
        <v/>
      </c>
    </row>
    <row r="11292" spans="20:20" hidden="1">
      <c r="T11292" t="str">
        <f>IF(C11292="","",UPPER(LEFT(SUBSTITUTE(C11292," ",""),3))&amp;"-"&amp;TEXT(B11292,"AAMMDD")&amp;"-1")</f>
        <v/>
      </c>
    </row>
    <row r="11293" spans="20:20" hidden="1">
      <c r="T11293" t="str">
        <f>IF(C11293="","",UPPER(LEFT(SUBSTITUTE(C11293," ",""),3))&amp;"-"&amp;TEXT(B11293,"AAMMDD")&amp;"-1")</f>
        <v/>
      </c>
    </row>
    <row r="11294" spans="20:20" hidden="1">
      <c r="T11294" t="str">
        <f>IF(C11294="","",UPPER(LEFT(SUBSTITUTE(C11294," ",""),3))&amp;"-"&amp;TEXT(B11294,"AAMMDD")&amp;"-1")</f>
        <v/>
      </c>
    </row>
    <row r="11295" spans="20:20" hidden="1">
      <c r="T11295" t="str">
        <f>IF(C11295="","",UPPER(LEFT(SUBSTITUTE(C11295," ",""),3))&amp;"-"&amp;TEXT(B11295,"AAMMDD")&amp;"-1")</f>
        <v/>
      </c>
    </row>
    <row r="11296" spans="20:20" hidden="1">
      <c r="T11296" t="str">
        <f>IF(C11296="","",UPPER(LEFT(SUBSTITUTE(C11296," ",""),3))&amp;"-"&amp;TEXT(B11296,"AAMMDD")&amp;"-1")</f>
        <v/>
      </c>
    </row>
    <row r="11297" spans="20:20" hidden="1">
      <c r="T11297" t="str">
        <f>IF(C11297="","",UPPER(LEFT(SUBSTITUTE(C11297," ",""),3))&amp;"-"&amp;TEXT(B11297,"AAMMDD")&amp;"-1")</f>
        <v/>
      </c>
    </row>
    <row r="11298" spans="20:20" hidden="1">
      <c r="T11298" t="str">
        <f>IF(C11298="","",UPPER(LEFT(SUBSTITUTE(C11298," ",""),3))&amp;"-"&amp;TEXT(B11298,"AAMMDD")&amp;"-1")</f>
        <v/>
      </c>
    </row>
    <row r="11299" spans="20:20" hidden="1">
      <c r="T11299" t="str">
        <f>IF(C11299="","",UPPER(LEFT(SUBSTITUTE(C11299," ",""),3))&amp;"-"&amp;TEXT(B11299,"AAMMDD")&amp;"-1")</f>
        <v/>
      </c>
    </row>
    <row r="11300" spans="20:20" hidden="1">
      <c r="T11300" t="str">
        <f>IF(C11300="","",UPPER(LEFT(SUBSTITUTE(C11300," ",""),3))&amp;"-"&amp;TEXT(B11300,"AAMMDD")&amp;"-1")</f>
        <v/>
      </c>
    </row>
    <row r="11301" spans="20:20" hidden="1">
      <c r="T11301" t="str">
        <f>IF(C11301="","",UPPER(LEFT(SUBSTITUTE(C11301," ",""),3))&amp;"-"&amp;TEXT(B11301,"AAMMDD")&amp;"-1")</f>
        <v/>
      </c>
    </row>
    <row r="11302" spans="20:20" hidden="1">
      <c r="T11302" t="str">
        <f>IF(C11302="","",UPPER(LEFT(SUBSTITUTE(C11302," ",""),3))&amp;"-"&amp;TEXT(B11302,"AAMMDD")&amp;"-1")</f>
        <v/>
      </c>
    </row>
    <row r="11303" spans="20:20" hidden="1">
      <c r="T11303" t="str">
        <f>IF(C11303="","",UPPER(LEFT(SUBSTITUTE(C11303," ",""),3))&amp;"-"&amp;TEXT(B11303,"AAMMDD")&amp;"-1")</f>
        <v/>
      </c>
    </row>
    <row r="11304" spans="20:20" hidden="1">
      <c r="T11304" t="str">
        <f>IF(C11304="","",UPPER(LEFT(SUBSTITUTE(C11304," ",""),3))&amp;"-"&amp;TEXT(B11304,"AAMMDD")&amp;"-1")</f>
        <v/>
      </c>
    </row>
    <row r="11305" spans="20:20" hidden="1">
      <c r="T11305" t="str">
        <f>IF(C11305="","",UPPER(LEFT(SUBSTITUTE(C11305," ",""),3))&amp;"-"&amp;TEXT(B11305,"AAMMDD")&amp;"-1")</f>
        <v/>
      </c>
    </row>
    <row r="11306" spans="20:20" hidden="1">
      <c r="T11306" t="str">
        <f>IF(C11306="","",UPPER(LEFT(SUBSTITUTE(C11306," ",""),3))&amp;"-"&amp;TEXT(B11306,"AAMMDD")&amp;"-1")</f>
        <v/>
      </c>
    </row>
    <row r="11307" spans="20:20" hidden="1">
      <c r="T11307" t="str">
        <f>IF(C11307="","",UPPER(LEFT(SUBSTITUTE(C11307," ",""),3))&amp;"-"&amp;TEXT(B11307,"AAMMDD")&amp;"-1")</f>
        <v/>
      </c>
    </row>
    <row r="11308" spans="20:20" hidden="1">
      <c r="T11308" t="str">
        <f>IF(C11308="","",UPPER(LEFT(SUBSTITUTE(C11308," ",""),3))&amp;"-"&amp;TEXT(B11308,"AAMMDD")&amp;"-1")</f>
        <v/>
      </c>
    </row>
    <row r="11309" spans="20:20" hidden="1">
      <c r="T11309" t="str">
        <f>IF(C11309="","",UPPER(LEFT(SUBSTITUTE(C11309," ",""),3))&amp;"-"&amp;TEXT(B11309,"AAMMDD")&amp;"-1")</f>
        <v/>
      </c>
    </row>
    <row r="11310" spans="20:20" hidden="1">
      <c r="T11310" t="str">
        <f>IF(C11310="","",UPPER(LEFT(SUBSTITUTE(C11310," ",""),3))&amp;"-"&amp;TEXT(B11310,"AAMMDD")&amp;"-1")</f>
        <v/>
      </c>
    </row>
    <row r="11311" spans="20:20" hidden="1">
      <c r="T11311" t="str">
        <f>IF(C11311="","",UPPER(LEFT(SUBSTITUTE(C11311," ",""),3))&amp;"-"&amp;TEXT(B11311,"AAMMDD")&amp;"-1")</f>
        <v/>
      </c>
    </row>
    <row r="11312" spans="20:20" hidden="1">
      <c r="T11312" t="str">
        <f>IF(C11312="","",UPPER(LEFT(SUBSTITUTE(C11312," ",""),3))&amp;"-"&amp;TEXT(B11312,"AAMMDD")&amp;"-1")</f>
        <v/>
      </c>
    </row>
    <row r="11313" spans="20:20" hidden="1">
      <c r="T11313" t="str">
        <f>IF(C11313="","",UPPER(LEFT(SUBSTITUTE(C11313," ",""),3))&amp;"-"&amp;TEXT(B11313,"AAMMDD")&amp;"-1")</f>
        <v/>
      </c>
    </row>
    <row r="11314" spans="20:20" hidden="1">
      <c r="T11314" t="str">
        <f>IF(C11314="","",UPPER(LEFT(SUBSTITUTE(C11314," ",""),3))&amp;"-"&amp;TEXT(B11314,"AAMMDD")&amp;"-1")</f>
        <v/>
      </c>
    </row>
    <row r="11315" spans="20:20" hidden="1">
      <c r="T11315" t="str">
        <f>IF(C11315="","",UPPER(LEFT(SUBSTITUTE(C11315," ",""),3))&amp;"-"&amp;TEXT(B11315,"AAMMDD")&amp;"-1")</f>
        <v/>
      </c>
    </row>
    <row r="11316" spans="20:20" hidden="1">
      <c r="T11316" t="str">
        <f>IF(C11316="","",UPPER(LEFT(SUBSTITUTE(C11316," ",""),3))&amp;"-"&amp;TEXT(B11316,"AAMMDD")&amp;"-1")</f>
        <v/>
      </c>
    </row>
    <row r="11317" spans="20:20" hidden="1">
      <c r="T11317" t="str">
        <f>IF(C11317="","",UPPER(LEFT(SUBSTITUTE(C11317," ",""),3))&amp;"-"&amp;TEXT(B11317,"AAMMDD")&amp;"-1")</f>
        <v/>
      </c>
    </row>
    <row r="11318" spans="20:20" hidden="1">
      <c r="T11318" t="str">
        <f>IF(C11318="","",UPPER(LEFT(SUBSTITUTE(C11318," ",""),3))&amp;"-"&amp;TEXT(B11318,"AAMMDD")&amp;"-1")</f>
        <v/>
      </c>
    </row>
    <row r="11319" spans="20:20" hidden="1">
      <c r="T11319" t="str">
        <f>IF(C11319="","",UPPER(LEFT(SUBSTITUTE(C11319," ",""),3))&amp;"-"&amp;TEXT(B11319,"AAMMDD")&amp;"-1")</f>
        <v/>
      </c>
    </row>
    <row r="11320" spans="20:20" hidden="1">
      <c r="T11320" t="str">
        <f>IF(C11320="","",UPPER(LEFT(SUBSTITUTE(C11320," ",""),3))&amp;"-"&amp;TEXT(B11320,"AAMMDD")&amp;"-1")</f>
        <v/>
      </c>
    </row>
    <row r="11321" spans="20:20" hidden="1">
      <c r="T11321" t="str">
        <f>IF(C11321="","",UPPER(LEFT(SUBSTITUTE(C11321," ",""),3))&amp;"-"&amp;TEXT(B11321,"AAMMDD")&amp;"-1")</f>
        <v/>
      </c>
    </row>
    <row r="11322" spans="20:20" hidden="1">
      <c r="T11322" t="str">
        <f>IF(C11322="","",UPPER(LEFT(SUBSTITUTE(C11322," ",""),3))&amp;"-"&amp;TEXT(B11322,"AAMMDD")&amp;"-1")</f>
        <v/>
      </c>
    </row>
    <row r="11323" spans="20:20" hidden="1">
      <c r="T11323" t="str">
        <f>IF(C11323="","",UPPER(LEFT(SUBSTITUTE(C11323," ",""),3))&amp;"-"&amp;TEXT(B11323,"AAMMDD")&amp;"-1")</f>
        <v/>
      </c>
    </row>
    <row r="11324" spans="20:20" hidden="1">
      <c r="T11324" t="str">
        <f>IF(C11324="","",UPPER(LEFT(SUBSTITUTE(C11324," ",""),3))&amp;"-"&amp;TEXT(B11324,"AAMMDD")&amp;"-1")</f>
        <v/>
      </c>
    </row>
    <row r="11325" spans="20:20" hidden="1">
      <c r="T11325" t="str">
        <f>IF(C11325="","",UPPER(LEFT(SUBSTITUTE(C11325," ",""),3))&amp;"-"&amp;TEXT(B11325,"AAMMDD")&amp;"-1")</f>
        <v/>
      </c>
    </row>
    <row r="11326" spans="20:20" hidden="1">
      <c r="T11326" t="str">
        <f>IF(C11326="","",UPPER(LEFT(SUBSTITUTE(C11326," ",""),3))&amp;"-"&amp;TEXT(B11326,"AAMMDD")&amp;"-1")</f>
        <v/>
      </c>
    </row>
    <row r="11327" spans="20:20" hidden="1">
      <c r="T11327" t="str">
        <f>IF(C11327="","",UPPER(LEFT(SUBSTITUTE(C11327," ",""),3))&amp;"-"&amp;TEXT(B11327,"AAMMDD")&amp;"-1")</f>
        <v/>
      </c>
    </row>
    <row r="11328" spans="20:20" hidden="1">
      <c r="T11328" t="str">
        <f>IF(C11328="","",UPPER(LEFT(SUBSTITUTE(C11328," ",""),3))&amp;"-"&amp;TEXT(B11328,"AAMMDD")&amp;"-1")</f>
        <v/>
      </c>
    </row>
    <row r="11329" spans="20:20" hidden="1">
      <c r="T11329" t="str">
        <f>IF(C11329="","",UPPER(LEFT(SUBSTITUTE(C11329," ",""),3))&amp;"-"&amp;TEXT(B11329,"AAMMDD")&amp;"-1")</f>
        <v/>
      </c>
    </row>
    <row r="11330" spans="20:20" hidden="1">
      <c r="T11330" t="str">
        <f>IF(C11330="","",UPPER(LEFT(SUBSTITUTE(C11330," ",""),3))&amp;"-"&amp;TEXT(B11330,"AAMMDD")&amp;"-1")</f>
        <v/>
      </c>
    </row>
    <row r="11331" spans="20:20" hidden="1">
      <c r="T11331" t="str">
        <f>IF(C11331="","",UPPER(LEFT(SUBSTITUTE(C11331," ",""),3))&amp;"-"&amp;TEXT(B11331,"AAMMDD")&amp;"-1")</f>
        <v/>
      </c>
    </row>
    <row r="11332" spans="20:20" hidden="1">
      <c r="T11332" t="str">
        <f>IF(C11332="","",UPPER(LEFT(SUBSTITUTE(C11332," ",""),3))&amp;"-"&amp;TEXT(B11332,"AAMMDD")&amp;"-1")</f>
        <v/>
      </c>
    </row>
    <row r="11333" spans="20:20" hidden="1">
      <c r="T11333" t="str">
        <f>IF(C11333="","",UPPER(LEFT(SUBSTITUTE(C11333," ",""),3))&amp;"-"&amp;TEXT(B11333,"AAMMDD")&amp;"-1")</f>
        <v/>
      </c>
    </row>
    <row r="11334" spans="20:20" hidden="1">
      <c r="T11334" t="str">
        <f>IF(C11334="","",UPPER(LEFT(SUBSTITUTE(C11334," ",""),3))&amp;"-"&amp;TEXT(B11334,"AAMMDD")&amp;"-1")</f>
        <v/>
      </c>
    </row>
    <row r="11335" spans="20:20" hidden="1">
      <c r="T11335" t="str">
        <f>IF(C11335="","",UPPER(LEFT(SUBSTITUTE(C11335," ",""),3))&amp;"-"&amp;TEXT(B11335,"AAMMDD")&amp;"-1")</f>
        <v/>
      </c>
    </row>
    <row r="11336" spans="20:20" hidden="1">
      <c r="T11336" t="str">
        <f>IF(C11336="","",UPPER(LEFT(SUBSTITUTE(C11336," ",""),3))&amp;"-"&amp;TEXT(B11336,"AAMMDD")&amp;"-1")</f>
        <v/>
      </c>
    </row>
    <row r="11337" spans="20:20" hidden="1">
      <c r="T11337" t="str">
        <f>IF(C11337="","",UPPER(LEFT(SUBSTITUTE(C11337," ",""),3))&amp;"-"&amp;TEXT(B11337,"AAMMDD")&amp;"-1")</f>
        <v/>
      </c>
    </row>
    <row r="11338" spans="20:20" hidden="1">
      <c r="T11338" t="str">
        <f>IF(C11338="","",UPPER(LEFT(SUBSTITUTE(C11338," ",""),3))&amp;"-"&amp;TEXT(B11338,"AAMMDD")&amp;"-1")</f>
        <v/>
      </c>
    </row>
    <row r="11339" spans="20:20" hidden="1">
      <c r="T11339" t="str">
        <f>IF(C11339="","",UPPER(LEFT(SUBSTITUTE(C11339," ",""),3))&amp;"-"&amp;TEXT(B11339,"AAMMDD")&amp;"-1")</f>
        <v/>
      </c>
    </row>
    <row r="11340" spans="20:20" hidden="1">
      <c r="T11340" t="str">
        <f>IF(C11340="","",UPPER(LEFT(SUBSTITUTE(C11340," ",""),3))&amp;"-"&amp;TEXT(B11340,"AAMMDD")&amp;"-1")</f>
        <v/>
      </c>
    </row>
    <row r="11341" spans="20:20" hidden="1">
      <c r="T11341" t="str">
        <f>IF(C11341="","",UPPER(LEFT(SUBSTITUTE(C11341," ",""),3))&amp;"-"&amp;TEXT(B11341,"AAMMDD")&amp;"-1")</f>
        <v/>
      </c>
    </row>
    <row r="11342" spans="20:20" hidden="1">
      <c r="T11342" t="str">
        <f>IF(C11342="","",UPPER(LEFT(SUBSTITUTE(C11342," ",""),3))&amp;"-"&amp;TEXT(B11342,"AAMMDD")&amp;"-1")</f>
        <v/>
      </c>
    </row>
    <row r="11343" spans="20:20" hidden="1">
      <c r="T11343" t="str">
        <f>IF(C11343="","",UPPER(LEFT(SUBSTITUTE(C11343," ",""),3))&amp;"-"&amp;TEXT(B11343,"AAMMDD")&amp;"-1")</f>
        <v/>
      </c>
    </row>
    <row r="11344" spans="20:20" hidden="1">
      <c r="T11344" t="str">
        <f>IF(C11344="","",UPPER(LEFT(SUBSTITUTE(C11344," ",""),3))&amp;"-"&amp;TEXT(B11344,"AAMMDD")&amp;"-1")</f>
        <v/>
      </c>
    </row>
    <row r="11345" spans="20:20" hidden="1">
      <c r="T11345" t="str">
        <f>IF(C11345="","",UPPER(LEFT(SUBSTITUTE(C11345," ",""),3))&amp;"-"&amp;TEXT(B11345,"AAMMDD")&amp;"-1")</f>
        <v/>
      </c>
    </row>
    <row r="11346" spans="20:20" hidden="1">
      <c r="T11346" t="str">
        <f>IF(C11346="","",UPPER(LEFT(SUBSTITUTE(C11346," ",""),3))&amp;"-"&amp;TEXT(B11346,"AAMMDD")&amp;"-1")</f>
        <v/>
      </c>
    </row>
    <row r="11347" spans="20:20" hidden="1">
      <c r="T11347" t="str">
        <f>IF(C11347="","",UPPER(LEFT(SUBSTITUTE(C11347," ",""),3))&amp;"-"&amp;TEXT(B11347,"AAMMDD")&amp;"-1")</f>
        <v/>
      </c>
    </row>
    <row r="11348" spans="20:20" hidden="1">
      <c r="T11348" t="str">
        <f>IF(C11348="","",UPPER(LEFT(SUBSTITUTE(C11348," ",""),3))&amp;"-"&amp;TEXT(B11348,"AAMMDD")&amp;"-1")</f>
        <v/>
      </c>
    </row>
    <row r="11349" spans="20:20" hidden="1">
      <c r="T11349" t="str">
        <f>IF(C11349="","",UPPER(LEFT(SUBSTITUTE(C11349," ",""),3))&amp;"-"&amp;TEXT(B11349,"AAMMDD")&amp;"-1")</f>
        <v/>
      </c>
    </row>
    <row r="11350" spans="20:20" hidden="1">
      <c r="T11350" t="str">
        <f>IF(C11350="","",UPPER(LEFT(SUBSTITUTE(C11350," ",""),3))&amp;"-"&amp;TEXT(B11350,"AAMMDD")&amp;"-1")</f>
        <v/>
      </c>
    </row>
    <row r="11351" spans="20:20" hidden="1">
      <c r="T11351" t="str">
        <f>IF(C11351="","",UPPER(LEFT(SUBSTITUTE(C11351," ",""),3))&amp;"-"&amp;TEXT(B11351,"AAMMDD")&amp;"-1")</f>
        <v/>
      </c>
    </row>
    <row r="11352" spans="20:20" hidden="1">
      <c r="T11352" t="str">
        <f>IF(C11352="","",UPPER(LEFT(SUBSTITUTE(C11352," ",""),3))&amp;"-"&amp;TEXT(B11352,"AAMMDD")&amp;"-1")</f>
        <v/>
      </c>
    </row>
    <row r="11353" spans="20:20" hidden="1">
      <c r="T11353" t="str">
        <f>IF(C11353="","",UPPER(LEFT(SUBSTITUTE(C11353," ",""),3))&amp;"-"&amp;TEXT(B11353,"AAMMDD")&amp;"-1")</f>
        <v/>
      </c>
    </row>
    <row r="11354" spans="20:20" hidden="1">
      <c r="T11354" t="str">
        <f>IF(C11354="","",UPPER(LEFT(SUBSTITUTE(C11354," ",""),3))&amp;"-"&amp;TEXT(B11354,"AAMMDD")&amp;"-1")</f>
        <v/>
      </c>
    </row>
    <row r="11355" spans="20:20" hidden="1">
      <c r="T11355" t="str">
        <f>IF(C11355="","",UPPER(LEFT(SUBSTITUTE(C11355," ",""),3))&amp;"-"&amp;TEXT(B11355,"AAMMDD")&amp;"-1")</f>
        <v/>
      </c>
    </row>
    <row r="11356" spans="20:20" hidden="1">
      <c r="T11356" t="str">
        <f>IF(C11356="","",UPPER(LEFT(SUBSTITUTE(C11356," ",""),3))&amp;"-"&amp;TEXT(B11356,"AAMMDD")&amp;"-1")</f>
        <v/>
      </c>
    </row>
    <row r="11357" spans="20:20" hidden="1">
      <c r="T11357" t="str">
        <f>IF(C11357="","",UPPER(LEFT(SUBSTITUTE(C11357," ",""),3))&amp;"-"&amp;TEXT(B11357,"AAMMDD")&amp;"-1")</f>
        <v/>
      </c>
    </row>
    <row r="11358" spans="20:20" hidden="1">
      <c r="T11358" t="str">
        <f>IF(C11358="","",UPPER(LEFT(SUBSTITUTE(C11358," ",""),3))&amp;"-"&amp;TEXT(B11358,"AAMMDD")&amp;"-1")</f>
        <v/>
      </c>
    </row>
    <row r="11359" spans="20:20" hidden="1">
      <c r="T11359" t="str">
        <f>IF(C11359="","",UPPER(LEFT(SUBSTITUTE(C11359," ",""),3))&amp;"-"&amp;TEXT(B11359,"AAMMDD")&amp;"-1")</f>
        <v/>
      </c>
    </row>
    <row r="11360" spans="20:20" hidden="1">
      <c r="T11360" t="str">
        <f>IF(C11360="","",UPPER(LEFT(SUBSTITUTE(C11360," ",""),3))&amp;"-"&amp;TEXT(B11360,"AAMMDD")&amp;"-1")</f>
        <v/>
      </c>
    </row>
    <row r="11361" spans="20:20" hidden="1">
      <c r="T11361" t="str">
        <f>IF(C11361="","",UPPER(LEFT(SUBSTITUTE(C11361," ",""),3))&amp;"-"&amp;TEXT(B11361,"AAMMDD")&amp;"-1")</f>
        <v/>
      </c>
    </row>
    <row r="11362" spans="20:20" hidden="1">
      <c r="T11362" t="str">
        <f>IF(C11362="","",UPPER(LEFT(SUBSTITUTE(C11362," ",""),3))&amp;"-"&amp;TEXT(B11362,"AAMMDD")&amp;"-1")</f>
        <v/>
      </c>
    </row>
    <row r="11363" spans="20:20" hidden="1">
      <c r="T11363" t="str">
        <f>IF(C11363="","",UPPER(LEFT(SUBSTITUTE(C11363," ",""),3))&amp;"-"&amp;TEXT(B11363,"AAMMDD")&amp;"-1")</f>
        <v/>
      </c>
    </row>
    <row r="11364" spans="20:20" hidden="1">
      <c r="T11364" t="str">
        <f>IF(C11364="","",UPPER(LEFT(SUBSTITUTE(C11364," ",""),3))&amp;"-"&amp;TEXT(B11364,"AAMMDD")&amp;"-1")</f>
        <v/>
      </c>
    </row>
    <row r="11365" spans="20:20" hidden="1">
      <c r="T11365" t="str">
        <f>IF(C11365="","",UPPER(LEFT(SUBSTITUTE(C11365," ",""),3))&amp;"-"&amp;TEXT(B11365,"AAMMDD")&amp;"-1")</f>
        <v/>
      </c>
    </row>
    <row r="11366" spans="20:20" hidden="1">
      <c r="T11366" t="str">
        <f>IF(C11366="","",UPPER(LEFT(SUBSTITUTE(C11366," ",""),3))&amp;"-"&amp;TEXT(B11366,"AAMMDD")&amp;"-1")</f>
        <v/>
      </c>
    </row>
    <row r="11367" spans="20:20" hidden="1">
      <c r="T11367" t="str">
        <f>IF(C11367="","",UPPER(LEFT(SUBSTITUTE(C11367," ",""),3))&amp;"-"&amp;TEXT(B11367,"AAMMDD")&amp;"-1")</f>
        <v/>
      </c>
    </row>
    <row r="11368" spans="20:20" hidden="1">
      <c r="T11368" t="str">
        <f>IF(C11368="","",UPPER(LEFT(SUBSTITUTE(C11368," ",""),3))&amp;"-"&amp;TEXT(B11368,"AAMMDD")&amp;"-1")</f>
        <v/>
      </c>
    </row>
    <row r="11369" spans="20:20" hidden="1">
      <c r="T11369" t="str">
        <f>IF(C11369="","",UPPER(LEFT(SUBSTITUTE(C11369," ",""),3))&amp;"-"&amp;TEXT(B11369,"AAMMDD")&amp;"-1")</f>
        <v/>
      </c>
    </row>
    <row r="11370" spans="20:20" hidden="1">
      <c r="T11370" t="str">
        <f>IF(C11370="","",UPPER(LEFT(SUBSTITUTE(C11370," ",""),3))&amp;"-"&amp;TEXT(B11370,"AAMMDD")&amp;"-1")</f>
        <v/>
      </c>
    </row>
    <row r="11371" spans="20:20" hidden="1">
      <c r="T11371" t="str">
        <f>IF(C11371="","",UPPER(LEFT(SUBSTITUTE(C11371," ",""),3))&amp;"-"&amp;TEXT(B11371,"AAMMDD")&amp;"-1")</f>
        <v/>
      </c>
    </row>
    <row r="11372" spans="20:20" hidden="1">
      <c r="T11372" t="str">
        <f>IF(C11372="","",UPPER(LEFT(SUBSTITUTE(C11372," ",""),3))&amp;"-"&amp;TEXT(B11372,"AAMMDD")&amp;"-1")</f>
        <v/>
      </c>
    </row>
    <row r="11373" spans="20:20" hidden="1">
      <c r="T11373" t="str">
        <f>IF(C11373="","",UPPER(LEFT(SUBSTITUTE(C11373," ",""),3))&amp;"-"&amp;TEXT(B11373,"AAMMDD")&amp;"-1")</f>
        <v/>
      </c>
    </row>
    <row r="11374" spans="20:20" hidden="1">
      <c r="T11374" t="str">
        <f>IF(C11374="","",UPPER(LEFT(SUBSTITUTE(C11374," ",""),3))&amp;"-"&amp;TEXT(B11374,"AAMMDD")&amp;"-1")</f>
        <v/>
      </c>
    </row>
    <row r="11375" spans="20:20" hidden="1">
      <c r="T11375" t="str">
        <f>IF(C11375="","",UPPER(LEFT(SUBSTITUTE(C11375," ",""),3))&amp;"-"&amp;TEXT(B11375,"AAMMDD")&amp;"-1")</f>
        <v/>
      </c>
    </row>
    <row r="11376" spans="20:20" hidden="1">
      <c r="T11376" t="str">
        <f>IF(C11376="","",UPPER(LEFT(SUBSTITUTE(C11376," ",""),3))&amp;"-"&amp;TEXT(B11376,"AAMMDD")&amp;"-1")</f>
        <v/>
      </c>
    </row>
    <row r="11377" spans="20:20" hidden="1">
      <c r="T11377" t="str">
        <f>IF(C11377="","",UPPER(LEFT(SUBSTITUTE(C11377," ",""),3))&amp;"-"&amp;TEXT(B11377,"AAMMDD")&amp;"-1")</f>
        <v/>
      </c>
    </row>
    <row r="11378" spans="20:20" hidden="1">
      <c r="T11378" t="str">
        <f>IF(C11378="","",UPPER(LEFT(SUBSTITUTE(C11378," ",""),3))&amp;"-"&amp;TEXT(B11378,"AAMMDD")&amp;"-1")</f>
        <v/>
      </c>
    </row>
    <row r="11379" spans="20:20" hidden="1">
      <c r="T11379" t="str">
        <f>IF(C11379="","",UPPER(LEFT(SUBSTITUTE(C11379," ",""),3))&amp;"-"&amp;TEXT(B11379,"AAMMDD")&amp;"-1")</f>
        <v/>
      </c>
    </row>
    <row r="11380" spans="20:20" hidden="1">
      <c r="T11380" t="str">
        <f>IF(C11380="","",UPPER(LEFT(SUBSTITUTE(C11380," ",""),3))&amp;"-"&amp;TEXT(B11380,"AAMMDD")&amp;"-1")</f>
        <v/>
      </c>
    </row>
    <row r="11381" spans="20:20" hidden="1">
      <c r="T11381" t="str">
        <f>IF(C11381="","",UPPER(LEFT(SUBSTITUTE(C11381," ",""),3))&amp;"-"&amp;TEXT(B11381,"AAMMDD")&amp;"-1")</f>
        <v/>
      </c>
    </row>
    <row r="11382" spans="20:20" hidden="1">
      <c r="T11382" t="str">
        <f>IF(C11382="","",UPPER(LEFT(SUBSTITUTE(C11382," ",""),3))&amp;"-"&amp;TEXT(B11382,"AAMMDD")&amp;"-1")</f>
        <v/>
      </c>
    </row>
    <row r="11383" spans="20:20" hidden="1">
      <c r="T11383" t="str">
        <f>IF(C11383="","",UPPER(LEFT(SUBSTITUTE(C11383," ",""),3))&amp;"-"&amp;TEXT(B11383,"AAMMDD")&amp;"-1")</f>
        <v/>
      </c>
    </row>
    <row r="11384" spans="20:20" hidden="1">
      <c r="T11384" t="str">
        <f>IF(C11384="","",UPPER(LEFT(SUBSTITUTE(C11384," ",""),3))&amp;"-"&amp;TEXT(B11384,"AAMMDD")&amp;"-1")</f>
        <v/>
      </c>
    </row>
    <row r="11385" spans="20:20" hidden="1">
      <c r="T11385" t="str">
        <f>IF(C11385="","",UPPER(LEFT(SUBSTITUTE(C11385," ",""),3))&amp;"-"&amp;TEXT(B11385,"AAMMDD")&amp;"-1")</f>
        <v/>
      </c>
    </row>
    <row r="11386" spans="20:20" hidden="1">
      <c r="T11386" t="str">
        <f>IF(C11386="","",UPPER(LEFT(SUBSTITUTE(C11386," ",""),3))&amp;"-"&amp;TEXT(B11386,"AAMMDD")&amp;"-1")</f>
        <v/>
      </c>
    </row>
    <row r="11387" spans="20:20" hidden="1">
      <c r="T11387" t="str">
        <f>IF(C11387="","",UPPER(LEFT(SUBSTITUTE(C11387," ",""),3))&amp;"-"&amp;TEXT(B11387,"AAMMDD")&amp;"-1")</f>
        <v/>
      </c>
    </row>
    <row r="11388" spans="20:20" hidden="1">
      <c r="T11388" t="str">
        <f>IF(C11388="","",UPPER(LEFT(SUBSTITUTE(C11388," ",""),3))&amp;"-"&amp;TEXT(B11388,"AAMMDD")&amp;"-1")</f>
        <v/>
      </c>
    </row>
    <row r="11389" spans="20:20" hidden="1">
      <c r="T11389" t="str">
        <f>IF(C11389="","",UPPER(LEFT(SUBSTITUTE(C11389," ",""),3))&amp;"-"&amp;TEXT(B11389,"AAMMDD")&amp;"-1")</f>
        <v/>
      </c>
    </row>
    <row r="11390" spans="20:20" hidden="1">
      <c r="T11390" t="str">
        <f>IF(C11390="","",UPPER(LEFT(SUBSTITUTE(C11390," ",""),3))&amp;"-"&amp;TEXT(B11390,"AAMMDD")&amp;"-1")</f>
        <v/>
      </c>
    </row>
    <row r="11391" spans="20:20" hidden="1">
      <c r="T11391" t="str">
        <f>IF(C11391="","",UPPER(LEFT(SUBSTITUTE(C11391," ",""),3))&amp;"-"&amp;TEXT(B11391,"AAMMDD")&amp;"-1")</f>
        <v/>
      </c>
    </row>
    <row r="11392" spans="20:20" hidden="1">
      <c r="T11392" t="str">
        <f>IF(C11392="","",UPPER(LEFT(SUBSTITUTE(C11392," ",""),3))&amp;"-"&amp;TEXT(B11392,"AAMMDD")&amp;"-1")</f>
        <v/>
      </c>
    </row>
    <row r="11393" spans="20:20" hidden="1">
      <c r="T11393" t="str">
        <f>IF(C11393="","",UPPER(LEFT(SUBSTITUTE(C11393," ",""),3))&amp;"-"&amp;TEXT(B11393,"AAMMDD")&amp;"-1")</f>
        <v/>
      </c>
    </row>
    <row r="11394" spans="20:20" hidden="1">
      <c r="T11394" t="str">
        <f>IF(C11394="","",UPPER(LEFT(SUBSTITUTE(C11394," ",""),3))&amp;"-"&amp;TEXT(B11394,"AAMMDD")&amp;"-1")</f>
        <v/>
      </c>
    </row>
    <row r="11395" spans="20:20" hidden="1">
      <c r="T11395" t="str">
        <f>IF(C11395="","",UPPER(LEFT(SUBSTITUTE(C11395," ",""),3))&amp;"-"&amp;TEXT(B11395,"AAMMDD")&amp;"-1")</f>
        <v/>
      </c>
    </row>
    <row r="11396" spans="20:20" hidden="1">
      <c r="T11396" t="str">
        <f>IF(C11396="","",UPPER(LEFT(SUBSTITUTE(C11396," ",""),3))&amp;"-"&amp;TEXT(B11396,"AAMMDD")&amp;"-1")</f>
        <v/>
      </c>
    </row>
    <row r="11397" spans="20:20" hidden="1">
      <c r="T11397" t="str">
        <f>IF(C11397="","",UPPER(LEFT(SUBSTITUTE(C11397," ",""),3))&amp;"-"&amp;TEXT(B11397,"AAMMDD")&amp;"-1")</f>
        <v/>
      </c>
    </row>
    <row r="11398" spans="20:20" hidden="1">
      <c r="T11398" t="str">
        <f>IF(C11398="","",UPPER(LEFT(SUBSTITUTE(C11398," ",""),3))&amp;"-"&amp;TEXT(B11398,"AAMMDD")&amp;"-1")</f>
        <v/>
      </c>
    </row>
    <row r="11399" spans="20:20" hidden="1">
      <c r="T11399" t="str">
        <f>IF(C11399="","",UPPER(LEFT(SUBSTITUTE(C11399," ",""),3))&amp;"-"&amp;TEXT(B11399,"AAMMDD")&amp;"-1")</f>
        <v/>
      </c>
    </row>
    <row r="11400" spans="20:20" hidden="1">
      <c r="T11400" t="str">
        <f>IF(C11400="","",UPPER(LEFT(SUBSTITUTE(C11400," ",""),3))&amp;"-"&amp;TEXT(B11400,"AAMMDD")&amp;"-1")</f>
        <v/>
      </c>
    </row>
    <row r="11401" spans="20:20" hidden="1">
      <c r="T11401" t="str">
        <f>IF(C11401="","",UPPER(LEFT(SUBSTITUTE(C11401," ",""),3))&amp;"-"&amp;TEXT(B11401,"AAMMDD")&amp;"-1")</f>
        <v/>
      </c>
    </row>
    <row r="11402" spans="20:20" hidden="1">
      <c r="T11402" t="str">
        <f>IF(C11402="","",UPPER(LEFT(SUBSTITUTE(C11402," ",""),3))&amp;"-"&amp;TEXT(B11402,"AAMMDD")&amp;"-1")</f>
        <v/>
      </c>
    </row>
    <row r="11403" spans="20:20" hidden="1">
      <c r="T11403" t="str">
        <f>IF(C11403="","",UPPER(LEFT(SUBSTITUTE(C11403," ",""),3))&amp;"-"&amp;TEXT(B11403,"AAMMDD")&amp;"-1")</f>
        <v/>
      </c>
    </row>
    <row r="11404" spans="20:20" hidden="1">
      <c r="T11404" t="str">
        <f>IF(C11404="","",UPPER(LEFT(SUBSTITUTE(C11404," ",""),3))&amp;"-"&amp;TEXT(B11404,"AAMMDD")&amp;"-1")</f>
        <v/>
      </c>
    </row>
    <row r="11405" spans="20:20" hidden="1">
      <c r="T11405" t="str">
        <f>IF(C11405="","",UPPER(LEFT(SUBSTITUTE(C11405," ",""),3))&amp;"-"&amp;TEXT(B11405,"AAMMDD")&amp;"-1")</f>
        <v/>
      </c>
    </row>
    <row r="11406" spans="20:20" hidden="1">
      <c r="T11406" t="str">
        <f>IF(C11406="","",UPPER(LEFT(SUBSTITUTE(C11406," ",""),3))&amp;"-"&amp;TEXT(B11406,"AAMMDD")&amp;"-1")</f>
        <v/>
      </c>
    </row>
    <row r="11407" spans="20:20" hidden="1">
      <c r="T11407" t="str">
        <f>IF(C11407="","",UPPER(LEFT(SUBSTITUTE(C11407," ",""),3))&amp;"-"&amp;TEXT(B11407,"AAMMDD")&amp;"-1")</f>
        <v/>
      </c>
    </row>
    <row r="11408" spans="20:20" hidden="1">
      <c r="T11408" t="str">
        <f>IF(C11408="","",UPPER(LEFT(SUBSTITUTE(C11408," ",""),3))&amp;"-"&amp;TEXT(B11408,"AAMMDD")&amp;"-1")</f>
        <v/>
      </c>
    </row>
    <row r="11409" spans="20:20" hidden="1">
      <c r="T11409" t="str">
        <f>IF(C11409="","",UPPER(LEFT(SUBSTITUTE(C11409," ",""),3))&amp;"-"&amp;TEXT(B11409,"AAMMDD")&amp;"-1")</f>
        <v/>
      </c>
    </row>
    <row r="11410" spans="20:20" hidden="1">
      <c r="T11410" t="str">
        <f>IF(C11410="","",UPPER(LEFT(SUBSTITUTE(C11410," ",""),3))&amp;"-"&amp;TEXT(B11410,"AAMMDD")&amp;"-1")</f>
        <v/>
      </c>
    </row>
    <row r="11411" spans="20:20" hidden="1">
      <c r="T11411" t="str">
        <f>IF(C11411="","",UPPER(LEFT(SUBSTITUTE(C11411," ",""),3))&amp;"-"&amp;TEXT(B11411,"AAMMDD")&amp;"-1")</f>
        <v/>
      </c>
    </row>
    <row r="11412" spans="20:20" hidden="1">
      <c r="T11412" t="str">
        <f>IF(C11412="","",UPPER(LEFT(SUBSTITUTE(C11412," ",""),3))&amp;"-"&amp;TEXT(B11412,"AAMMDD")&amp;"-1")</f>
        <v/>
      </c>
    </row>
    <row r="11413" spans="20:20" hidden="1">
      <c r="T11413" t="str">
        <f>IF(C11413="","",UPPER(LEFT(SUBSTITUTE(C11413," ",""),3))&amp;"-"&amp;TEXT(B11413,"AAMMDD")&amp;"-1")</f>
        <v/>
      </c>
    </row>
    <row r="11414" spans="20:20" hidden="1">
      <c r="T11414" t="str">
        <f>IF(C11414="","",UPPER(LEFT(SUBSTITUTE(C11414," ",""),3))&amp;"-"&amp;TEXT(B11414,"AAMMDD")&amp;"-1")</f>
        <v/>
      </c>
    </row>
    <row r="11415" spans="20:20" hidden="1">
      <c r="T11415" t="str">
        <f>IF(C11415="","",UPPER(LEFT(SUBSTITUTE(C11415," ",""),3))&amp;"-"&amp;TEXT(B11415,"AAMMDD")&amp;"-1")</f>
        <v/>
      </c>
    </row>
    <row r="11416" spans="20:20" hidden="1">
      <c r="T11416" t="str">
        <f>IF(C11416="","",UPPER(LEFT(SUBSTITUTE(C11416," ",""),3))&amp;"-"&amp;TEXT(B11416,"AAMMDD")&amp;"-1")</f>
        <v/>
      </c>
    </row>
    <row r="11417" spans="20:20" hidden="1">
      <c r="T11417" t="str">
        <f>IF(C11417="","",UPPER(LEFT(SUBSTITUTE(C11417," ",""),3))&amp;"-"&amp;TEXT(B11417,"AAMMDD")&amp;"-1")</f>
        <v/>
      </c>
    </row>
    <row r="11418" spans="20:20" hidden="1">
      <c r="T11418" t="str">
        <f>IF(C11418="","",UPPER(LEFT(SUBSTITUTE(C11418," ",""),3))&amp;"-"&amp;TEXT(B11418,"AAMMDD")&amp;"-1")</f>
        <v/>
      </c>
    </row>
    <row r="11419" spans="20:20" hidden="1">
      <c r="T11419" t="str">
        <f>IF(C11419="","",UPPER(LEFT(SUBSTITUTE(C11419," ",""),3))&amp;"-"&amp;TEXT(B11419,"AAMMDD")&amp;"-1")</f>
        <v/>
      </c>
    </row>
    <row r="11420" spans="20:20" hidden="1">
      <c r="T11420" t="str">
        <f>IF(C11420="","",UPPER(LEFT(SUBSTITUTE(C11420," ",""),3))&amp;"-"&amp;TEXT(B11420,"AAMMDD")&amp;"-1")</f>
        <v/>
      </c>
    </row>
    <row r="11421" spans="20:20" hidden="1">
      <c r="T11421" t="str">
        <f>IF(C11421="","",UPPER(LEFT(SUBSTITUTE(C11421," ",""),3))&amp;"-"&amp;TEXT(B11421,"AAMMDD")&amp;"-1")</f>
        <v/>
      </c>
    </row>
    <row r="11422" spans="20:20" hidden="1">
      <c r="T11422" t="str">
        <f>IF(C11422="","",UPPER(LEFT(SUBSTITUTE(C11422," ",""),3))&amp;"-"&amp;TEXT(B11422,"AAMMDD")&amp;"-1")</f>
        <v/>
      </c>
    </row>
    <row r="11423" spans="20:20" hidden="1">
      <c r="T11423" t="str">
        <f>IF(C11423="","",UPPER(LEFT(SUBSTITUTE(C11423," ",""),3))&amp;"-"&amp;TEXT(B11423,"AAMMDD")&amp;"-1")</f>
        <v/>
      </c>
    </row>
    <row r="11424" spans="20:20" hidden="1">
      <c r="T11424" t="str">
        <f>IF(C11424="","",UPPER(LEFT(SUBSTITUTE(C11424," ",""),3))&amp;"-"&amp;TEXT(B11424,"AAMMDD")&amp;"-1")</f>
        <v/>
      </c>
    </row>
    <row r="11425" spans="20:20" hidden="1">
      <c r="T11425" t="str">
        <f>IF(C11425="","",UPPER(LEFT(SUBSTITUTE(C11425," ",""),3))&amp;"-"&amp;TEXT(B11425,"AAMMDD")&amp;"-1")</f>
        <v/>
      </c>
    </row>
    <row r="11426" spans="20:20" hidden="1">
      <c r="T11426" t="str">
        <f>IF(C11426="","",UPPER(LEFT(SUBSTITUTE(C11426," ",""),3))&amp;"-"&amp;TEXT(B11426,"AAMMDD")&amp;"-1")</f>
        <v/>
      </c>
    </row>
    <row r="11427" spans="20:20" hidden="1">
      <c r="T11427" t="str">
        <f>IF(C11427="","",UPPER(LEFT(SUBSTITUTE(C11427," ",""),3))&amp;"-"&amp;TEXT(B11427,"AAMMDD")&amp;"-1")</f>
        <v/>
      </c>
    </row>
    <row r="11428" spans="20:20" hidden="1">
      <c r="T11428" t="str">
        <f>IF(C11428="","",UPPER(LEFT(SUBSTITUTE(C11428," ",""),3))&amp;"-"&amp;TEXT(B11428,"AAMMDD")&amp;"-1")</f>
        <v/>
      </c>
    </row>
    <row r="11429" spans="20:20" hidden="1">
      <c r="T11429" t="str">
        <f>IF(C11429="","",UPPER(LEFT(SUBSTITUTE(C11429," ",""),3))&amp;"-"&amp;TEXT(B11429,"AAMMDD")&amp;"-1")</f>
        <v/>
      </c>
    </row>
    <row r="11430" spans="20:20" hidden="1">
      <c r="T11430" t="str">
        <f>IF(C11430="","",UPPER(LEFT(SUBSTITUTE(C11430," ",""),3))&amp;"-"&amp;TEXT(B11430,"AAMMDD")&amp;"-1")</f>
        <v/>
      </c>
    </row>
    <row r="11431" spans="20:20" hidden="1">
      <c r="T11431" t="str">
        <f>IF(C11431="","",UPPER(LEFT(SUBSTITUTE(C11431," ",""),3))&amp;"-"&amp;TEXT(B11431,"AAMMDD")&amp;"-1")</f>
        <v/>
      </c>
    </row>
    <row r="11432" spans="20:20" hidden="1">
      <c r="T11432" t="str">
        <f>IF(C11432="","",UPPER(LEFT(SUBSTITUTE(C11432," ",""),3))&amp;"-"&amp;TEXT(B11432,"AAMMDD")&amp;"-1")</f>
        <v/>
      </c>
    </row>
    <row r="11433" spans="20:20" hidden="1">
      <c r="T11433" t="str">
        <f>IF(C11433="","",UPPER(LEFT(SUBSTITUTE(C11433," ",""),3))&amp;"-"&amp;TEXT(B11433,"AAMMDD")&amp;"-1")</f>
        <v/>
      </c>
    </row>
    <row r="11434" spans="20:20" hidden="1">
      <c r="T11434" t="str">
        <f>IF(C11434="","",UPPER(LEFT(SUBSTITUTE(C11434," ",""),3))&amp;"-"&amp;TEXT(B11434,"AAMMDD")&amp;"-1")</f>
        <v/>
      </c>
    </row>
    <row r="11435" spans="20:20" hidden="1">
      <c r="T11435" t="str">
        <f>IF(C11435="","",UPPER(LEFT(SUBSTITUTE(C11435," ",""),3))&amp;"-"&amp;TEXT(B11435,"AAMMDD")&amp;"-1")</f>
        <v/>
      </c>
    </row>
    <row r="11436" spans="20:20" hidden="1">
      <c r="T11436" t="str">
        <f>IF(C11436="","",UPPER(LEFT(SUBSTITUTE(C11436," ",""),3))&amp;"-"&amp;TEXT(B11436,"AAMMDD")&amp;"-1")</f>
        <v/>
      </c>
    </row>
    <row r="11437" spans="20:20" hidden="1">
      <c r="T11437" t="str">
        <f>IF(C11437="","",UPPER(LEFT(SUBSTITUTE(C11437," ",""),3))&amp;"-"&amp;TEXT(B11437,"AAMMDD")&amp;"-1")</f>
        <v/>
      </c>
    </row>
    <row r="11438" spans="20:20" hidden="1">
      <c r="T11438" t="str">
        <f>IF(C11438="","",UPPER(LEFT(SUBSTITUTE(C11438," ",""),3))&amp;"-"&amp;TEXT(B11438,"AAMMDD")&amp;"-1")</f>
        <v/>
      </c>
    </row>
    <row r="11439" spans="20:20" hidden="1">
      <c r="T11439" t="str">
        <f>IF(C11439="","",UPPER(LEFT(SUBSTITUTE(C11439," ",""),3))&amp;"-"&amp;TEXT(B11439,"AAMMDD")&amp;"-1")</f>
        <v/>
      </c>
    </row>
    <row r="11440" spans="20:20" hidden="1">
      <c r="T11440" t="str">
        <f>IF(C11440="","",UPPER(LEFT(SUBSTITUTE(C11440," ",""),3))&amp;"-"&amp;TEXT(B11440,"AAMMDD")&amp;"-1")</f>
        <v/>
      </c>
    </row>
    <row r="11441" spans="20:20" hidden="1">
      <c r="T11441" t="str">
        <f>IF(C11441="","",UPPER(LEFT(SUBSTITUTE(C11441," ",""),3))&amp;"-"&amp;TEXT(B11441,"AAMMDD")&amp;"-1")</f>
        <v/>
      </c>
    </row>
    <row r="11442" spans="20:20" hidden="1">
      <c r="T11442" t="str">
        <f>IF(C11442="","",UPPER(LEFT(SUBSTITUTE(C11442," ",""),3))&amp;"-"&amp;TEXT(B11442,"AAMMDD")&amp;"-1")</f>
        <v/>
      </c>
    </row>
    <row r="11443" spans="20:20" hidden="1">
      <c r="T11443" t="str">
        <f>IF(C11443="","",UPPER(LEFT(SUBSTITUTE(C11443," ",""),3))&amp;"-"&amp;TEXT(B11443,"AAMMDD")&amp;"-1")</f>
        <v/>
      </c>
    </row>
    <row r="11444" spans="20:20" hidden="1">
      <c r="T11444" t="str">
        <f>IF(C11444="","",UPPER(LEFT(SUBSTITUTE(C11444," ",""),3))&amp;"-"&amp;TEXT(B11444,"AAMMDD")&amp;"-1")</f>
        <v/>
      </c>
    </row>
    <row r="11445" spans="20:20" hidden="1">
      <c r="T11445" t="str">
        <f>IF(C11445="","",UPPER(LEFT(SUBSTITUTE(C11445," ",""),3))&amp;"-"&amp;TEXT(B11445,"AAMMDD")&amp;"-1")</f>
        <v/>
      </c>
    </row>
    <row r="11446" spans="20:20" hidden="1">
      <c r="T11446" t="str">
        <f>IF(C11446="","",UPPER(LEFT(SUBSTITUTE(C11446," ",""),3))&amp;"-"&amp;TEXT(B11446,"AAMMDD")&amp;"-1")</f>
        <v/>
      </c>
    </row>
    <row r="11447" spans="20:20" hidden="1">
      <c r="T11447" t="str">
        <f>IF(C11447="","",UPPER(LEFT(SUBSTITUTE(C11447," ",""),3))&amp;"-"&amp;TEXT(B11447,"AAMMDD")&amp;"-1")</f>
        <v/>
      </c>
    </row>
    <row r="11448" spans="20:20" hidden="1">
      <c r="T11448" t="str">
        <f>IF(C11448="","",UPPER(LEFT(SUBSTITUTE(C11448," ",""),3))&amp;"-"&amp;TEXT(B11448,"AAMMDD")&amp;"-1")</f>
        <v/>
      </c>
    </row>
    <row r="11449" spans="20:20" hidden="1">
      <c r="T11449" t="str">
        <f>IF(C11449="","",UPPER(LEFT(SUBSTITUTE(C11449," ",""),3))&amp;"-"&amp;TEXT(B11449,"AAMMDD")&amp;"-1")</f>
        <v/>
      </c>
    </row>
    <row r="11450" spans="20:20" hidden="1">
      <c r="T11450" t="str">
        <f>IF(C11450="","",UPPER(LEFT(SUBSTITUTE(C11450," ",""),3))&amp;"-"&amp;TEXT(B11450,"AAMMDD")&amp;"-1")</f>
        <v/>
      </c>
    </row>
    <row r="11451" spans="20:20" hidden="1">
      <c r="T11451" t="str">
        <f>IF(C11451="","",UPPER(LEFT(SUBSTITUTE(C11451," ",""),3))&amp;"-"&amp;TEXT(B11451,"AAMMDD")&amp;"-1")</f>
        <v/>
      </c>
    </row>
    <row r="11452" spans="20:20" hidden="1">
      <c r="T11452" t="str">
        <f>IF(C11452="","",UPPER(LEFT(SUBSTITUTE(C11452," ",""),3))&amp;"-"&amp;TEXT(B11452,"AAMMDD")&amp;"-1")</f>
        <v/>
      </c>
    </row>
    <row r="11453" spans="20:20" hidden="1">
      <c r="T11453" t="str">
        <f>IF(C11453="","",UPPER(LEFT(SUBSTITUTE(C11453," ",""),3))&amp;"-"&amp;TEXT(B11453,"AAMMDD")&amp;"-1")</f>
        <v/>
      </c>
    </row>
    <row r="11454" spans="20:20" hidden="1">
      <c r="T11454" t="str">
        <f>IF(C11454="","",UPPER(LEFT(SUBSTITUTE(C11454," ",""),3))&amp;"-"&amp;TEXT(B11454,"AAMMDD")&amp;"-1")</f>
        <v/>
      </c>
    </row>
    <row r="11455" spans="20:20" hidden="1">
      <c r="T11455" t="str">
        <f>IF(C11455="","",UPPER(LEFT(SUBSTITUTE(C11455," ",""),3))&amp;"-"&amp;TEXT(B11455,"AAMMDD")&amp;"-1")</f>
        <v/>
      </c>
    </row>
    <row r="11456" spans="20:20" hidden="1">
      <c r="T11456" t="str">
        <f>IF(C11456="","",UPPER(LEFT(SUBSTITUTE(C11456," ",""),3))&amp;"-"&amp;TEXT(B11456,"AAMMDD")&amp;"-1")</f>
        <v/>
      </c>
    </row>
    <row r="11457" spans="20:20" hidden="1">
      <c r="T11457" t="str">
        <f>IF(C11457="","",UPPER(LEFT(SUBSTITUTE(C11457," ",""),3))&amp;"-"&amp;TEXT(B11457,"AAMMDD")&amp;"-1")</f>
        <v/>
      </c>
    </row>
    <row r="11458" spans="20:20" hidden="1">
      <c r="T11458" t="str">
        <f>IF(C11458="","",UPPER(LEFT(SUBSTITUTE(C11458," ",""),3))&amp;"-"&amp;TEXT(B11458,"AAMMDD")&amp;"-1")</f>
        <v/>
      </c>
    </row>
    <row r="11459" spans="20:20" hidden="1">
      <c r="T11459" t="str">
        <f>IF(C11459="","",UPPER(LEFT(SUBSTITUTE(C11459," ",""),3))&amp;"-"&amp;TEXT(B11459,"AAMMDD")&amp;"-1")</f>
        <v/>
      </c>
    </row>
    <row r="11460" spans="20:20" hidden="1">
      <c r="T11460" t="str">
        <f>IF(C11460="","",UPPER(LEFT(SUBSTITUTE(C11460," ",""),3))&amp;"-"&amp;TEXT(B11460,"AAMMDD")&amp;"-1")</f>
        <v/>
      </c>
    </row>
    <row r="11461" spans="20:20" hidden="1">
      <c r="T11461" t="str">
        <f>IF(C11461="","",UPPER(LEFT(SUBSTITUTE(C11461," ",""),3))&amp;"-"&amp;TEXT(B11461,"AAMMDD")&amp;"-1")</f>
        <v/>
      </c>
    </row>
    <row r="11462" spans="20:20" hidden="1">
      <c r="T11462" t="str">
        <f>IF(C11462="","",UPPER(LEFT(SUBSTITUTE(C11462," ",""),3))&amp;"-"&amp;TEXT(B11462,"AAMMDD")&amp;"-1")</f>
        <v/>
      </c>
    </row>
    <row r="11463" spans="20:20" hidden="1">
      <c r="T11463" t="str">
        <f>IF(C11463="","",UPPER(LEFT(SUBSTITUTE(C11463," ",""),3))&amp;"-"&amp;TEXT(B11463,"AAMMDD")&amp;"-1")</f>
        <v/>
      </c>
    </row>
    <row r="11464" spans="20:20" hidden="1">
      <c r="T11464" t="str">
        <f>IF(C11464="","",UPPER(LEFT(SUBSTITUTE(C11464," ",""),3))&amp;"-"&amp;TEXT(B11464,"AAMMDD")&amp;"-1")</f>
        <v/>
      </c>
    </row>
    <row r="11465" spans="20:20" hidden="1">
      <c r="T11465" t="str">
        <f>IF(C11465="","",UPPER(LEFT(SUBSTITUTE(C11465," ",""),3))&amp;"-"&amp;TEXT(B11465,"AAMMDD")&amp;"-1")</f>
        <v/>
      </c>
    </row>
    <row r="11466" spans="20:20" hidden="1">
      <c r="T11466" t="str">
        <f>IF(C11466="","",UPPER(LEFT(SUBSTITUTE(C11466," ",""),3))&amp;"-"&amp;TEXT(B11466,"AAMMDD")&amp;"-1")</f>
        <v/>
      </c>
    </row>
    <row r="11467" spans="20:20" hidden="1">
      <c r="T11467" t="str">
        <f>IF(C11467="","",UPPER(LEFT(SUBSTITUTE(C11467," ",""),3))&amp;"-"&amp;TEXT(B11467,"AAMMDD")&amp;"-1")</f>
        <v/>
      </c>
    </row>
    <row r="11468" spans="20:20" hidden="1">
      <c r="T11468" t="str">
        <f>IF(C11468="","",UPPER(LEFT(SUBSTITUTE(C11468," ",""),3))&amp;"-"&amp;TEXT(B11468,"AAMMDD")&amp;"-1")</f>
        <v/>
      </c>
    </row>
    <row r="11469" spans="20:20" hidden="1">
      <c r="T11469" t="str">
        <f>IF(C11469="","",UPPER(LEFT(SUBSTITUTE(C11469," ",""),3))&amp;"-"&amp;TEXT(B11469,"AAMMDD")&amp;"-1")</f>
        <v/>
      </c>
    </row>
    <row r="11470" spans="20:20" hidden="1">
      <c r="T11470" t="str">
        <f>IF(C11470="","",UPPER(LEFT(SUBSTITUTE(C11470," ",""),3))&amp;"-"&amp;TEXT(B11470,"AAMMDD")&amp;"-1")</f>
        <v/>
      </c>
    </row>
    <row r="11471" spans="20:20" hidden="1">
      <c r="T11471" t="str">
        <f>IF(C11471="","",UPPER(LEFT(SUBSTITUTE(C11471," ",""),3))&amp;"-"&amp;TEXT(B11471,"AAMMDD")&amp;"-1")</f>
        <v/>
      </c>
    </row>
    <row r="11472" spans="20:20" hidden="1">
      <c r="T11472" t="str">
        <f>IF(C11472="","",UPPER(LEFT(SUBSTITUTE(C11472," ",""),3))&amp;"-"&amp;TEXT(B11472,"AAMMDD")&amp;"-1")</f>
        <v/>
      </c>
    </row>
    <row r="11473" spans="20:20" hidden="1">
      <c r="T11473" t="str">
        <f>IF(C11473="","",UPPER(LEFT(SUBSTITUTE(C11473," ",""),3))&amp;"-"&amp;TEXT(B11473,"AAMMDD")&amp;"-1")</f>
        <v/>
      </c>
    </row>
    <row r="11474" spans="20:20" hidden="1">
      <c r="T11474" t="str">
        <f>IF(C11474="","",UPPER(LEFT(SUBSTITUTE(C11474," ",""),3))&amp;"-"&amp;TEXT(B11474,"AAMMDD")&amp;"-1")</f>
        <v/>
      </c>
    </row>
    <row r="11475" spans="20:20" hidden="1">
      <c r="T11475" t="str">
        <f>IF(C11475="","",UPPER(LEFT(SUBSTITUTE(C11475," ",""),3))&amp;"-"&amp;TEXT(B11475,"AAMMDD")&amp;"-1")</f>
        <v/>
      </c>
    </row>
    <row r="11476" spans="20:20" hidden="1">
      <c r="T11476" t="str">
        <f>IF(C11476="","",UPPER(LEFT(SUBSTITUTE(C11476," ",""),3))&amp;"-"&amp;TEXT(B11476,"AAMMDD")&amp;"-1")</f>
        <v/>
      </c>
    </row>
    <row r="11477" spans="20:20" hidden="1">
      <c r="T11477" t="str">
        <f>IF(C11477="","",UPPER(LEFT(SUBSTITUTE(C11477," ",""),3))&amp;"-"&amp;TEXT(B11477,"AAMMDD")&amp;"-1")</f>
        <v/>
      </c>
    </row>
    <row r="11478" spans="20:20" hidden="1">
      <c r="T11478" t="str">
        <f>IF(C11478="","",UPPER(LEFT(SUBSTITUTE(C11478," ",""),3))&amp;"-"&amp;TEXT(B11478,"AAMMDD")&amp;"-1")</f>
        <v/>
      </c>
    </row>
    <row r="11479" spans="20:20" hidden="1">
      <c r="T11479" t="str">
        <f>IF(C11479="","",UPPER(LEFT(SUBSTITUTE(C11479," ",""),3))&amp;"-"&amp;TEXT(B11479,"AAMMDD")&amp;"-1")</f>
        <v/>
      </c>
    </row>
    <row r="11480" spans="20:20" hidden="1">
      <c r="T11480" t="str">
        <f>IF(C11480="","",UPPER(LEFT(SUBSTITUTE(C11480," ",""),3))&amp;"-"&amp;TEXT(B11480,"AAMMDD")&amp;"-1")</f>
        <v/>
      </c>
    </row>
    <row r="11481" spans="20:20" hidden="1">
      <c r="T11481" t="str">
        <f>IF(C11481="","",UPPER(LEFT(SUBSTITUTE(C11481," ",""),3))&amp;"-"&amp;TEXT(B11481,"AAMMDD")&amp;"-1")</f>
        <v/>
      </c>
    </row>
    <row r="11482" spans="20:20" hidden="1">
      <c r="T11482" t="str">
        <f>IF(C11482="","",UPPER(LEFT(SUBSTITUTE(C11482," ",""),3))&amp;"-"&amp;TEXT(B11482,"AAMMDD")&amp;"-1")</f>
        <v/>
      </c>
    </row>
    <row r="11483" spans="20:20" hidden="1">
      <c r="T11483" t="str">
        <f>IF(C11483="","",UPPER(LEFT(SUBSTITUTE(C11483," ",""),3))&amp;"-"&amp;TEXT(B11483,"AAMMDD")&amp;"-1")</f>
        <v/>
      </c>
    </row>
    <row r="11484" spans="20:20" hidden="1">
      <c r="T11484" t="str">
        <f>IF(C11484="","",UPPER(LEFT(SUBSTITUTE(C11484," ",""),3))&amp;"-"&amp;TEXT(B11484,"AAMMDD")&amp;"-1")</f>
        <v/>
      </c>
    </row>
    <row r="11485" spans="20:20" hidden="1">
      <c r="T11485" t="str">
        <f>IF(C11485="","",UPPER(LEFT(SUBSTITUTE(C11485," ",""),3))&amp;"-"&amp;TEXT(B11485,"AAMMDD")&amp;"-1")</f>
        <v/>
      </c>
    </row>
    <row r="11486" spans="20:20" hidden="1">
      <c r="T11486" t="str">
        <f>IF(C11486="","",UPPER(LEFT(SUBSTITUTE(C11486," ",""),3))&amp;"-"&amp;TEXT(B11486,"AAMMDD")&amp;"-1")</f>
        <v/>
      </c>
    </row>
    <row r="11487" spans="20:20" hidden="1">
      <c r="T11487" t="str">
        <f>IF(C11487="","",UPPER(LEFT(SUBSTITUTE(C11487," ",""),3))&amp;"-"&amp;TEXT(B11487,"AAMMDD")&amp;"-1")</f>
        <v/>
      </c>
    </row>
    <row r="11488" spans="20:20" hidden="1">
      <c r="T11488" t="str">
        <f>IF(C11488="","",UPPER(LEFT(SUBSTITUTE(C11488," ",""),3))&amp;"-"&amp;TEXT(B11488,"AAMMDD")&amp;"-1")</f>
        <v/>
      </c>
    </row>
    <row r="11489" spans="20:20" hidden="1">
      <c r="T11489" t="str">
        <f>IF(C11489="","",UPPER(LEFT(SUBSTITUTE(C11489," ",""),3))&amp;"-"&amp;TEXT(B11489,"AAMMDD")&amp;"-1")</f>
        <v/>
      </c>
    </row>
    <row r="11490" spans="20:20" hidden="1">
      <c r="T11490" t="str">
        <f>IF(C11490="","",UPPER(LEFT(SUBSTITUTE(C11490," ",""),3))&amp;"-"&amp;TEXT(B11490,"AAMMDD")&amp;"-1")</f>
        <v/>
      </c>
    </row>
    <row r="11491" spans="20:20" hidden="1">
      <c r="T11491" t="str">
        <f>IF(C11491="","",UPPER(LEFT(SUBSTITUTE(C11491," ",""),3))&amp;"-"&amp;TEXT(B11491,"AAMMDD")&amp;"-1")</f>
        <v/>
      </c>
    </row>
    <row r="11492" spans="20:20" hidden="1">
      <c r="T11492" t="str">
        <f>IF(C11492="","",UPPER(LEFT(SUBSTITUTE(C11492," ",""),3))&amp;"-"&amp;TEXT(B11492,"AAMMDD")&amp;"-1")</f>
        <v/>
      </c>
    </row>
    <row r="11493" spans="20:20" hidden="1">
      <c r="T11493" t="str">
        <f>IF(C11493="","",UPPER(LEFT(SUBSTITUTE(C11493," ",""),3))&amp;"-"&amp;TEXT(B11493,"AAMMDD")&amp;"-1")</f>
        <v/>
      </c>
    </row>
    <row r="11494" spans="20:20" hidden="1">
      <c r="T11494" t="str">
        <f>IF(C11494="","",UPPER(LEFT(SUBSTITUTE(C11494," ",""),3))&amp;"-"&amp;TEXT(B11494,"AAMMDD")&amp;"-1")</f>
        <v/>
      </c>
    </row>
    <row r="11495" spans="20:20" hidden="1">
      <c r="T11495" t="str">
        <f>IF(C11495="","",UPPER(LEFT(SUBSTITUTE(C11495," ",""),3))&amp;"-"&amp;TEXT(B11495,"AAMMDD")&amp;"-1")</f>
        <v/>
      </c>
    </row>
    <row r="11496" spans="20:20" hidden="1">
      <c r="T11496" t="str">
        <f>IF(C11496="","",UPPER(LEFT(SUBSTITUTE(C11496," ",""),3))&amp;"-"&amp;TEXT(B11496,"AAMMDD")&amp;"-1")</f>
        <v/>
      </c>
    </row>
    <row r="11497" spans="20:20" hidden="1">
      <c r="T11497" t="str">
        <f>IF(C11497="","",UPPER(LEFT(SUBSTITUTE(C11497," ",""),3))&amp;"-"&amp;TEXT(B11497,"AAMMDD")&amp;"-1")</f>
        <v/>
      </c>
    </row>
    <row r="11498" spans="20:20" hidden="1">
      <c r="T11498" t="str">
        <f>IF(C11498="","",UPPER(LEFT(SUBSTITUTE(C11498," ",""),3))&amp;"-"&amp;TEXT(B11498,"AAMMDD")&amp;"-1")</f>
        <v/>
      </c>
    </row>
    <row r="11499" spans="20:20" hidden="1">
      <c r="T11499" t="str">
        <f>IF(C11499="","",UPPER(LEFT(SUBSTITUTE(C11499," ",""),3))&amp;"-"&amp;TEXT(B11499,"AAMMDD")&amp;"-1")</f>
        <v/>
      </c>
    </row>
    <row r="11500" spans="20:20" hidden="1">
      <c r="T11500" t="str">
        <f>IF(C11500="","",UPPER(LEFT(SUBSTITUTE(C11500," ",""),3))&amp;"-"&amp;TEXT(B11500,"AAMMDD")&amp;"-1")</f>
        <v/>
      </c>
    </row>
    <row r="11501" spans="20:20" hidden="1">
      <c r="T11501" t="str">
        <f>IF(C11501="","",UPPER(LEFT(SUBSTITUTE(C11501," ",""),3))&amp;"-"&amp;TEXT(B11501,"AAMMDD")&amp;"-1")</f>
        <v/>
      </c>
    </row>
    <row r="11502" spans="20:20" hidden="1">
      <c r="T11502" t="str">
        <f>IF(C11502="","",UPPER(LEFT(SUBSTITUTE(C11502," ",""),3))&amp;"-"&amp;TEXT(B11502,"AAMMDD")&amp;"-1")</f>
        <v/>
      </c>
    </row>
    <row r="11503" spans="20:20" hidden="1">
      <c r="T11503" t="str">
        <f>IF(C11503="","",UPPER(LEFT(SUBSTITUTE(C11503," ",""),3))&amp;"-"&amp;TEXT(B11503,"AAMMDD")&amp;"-1")</f>
        <v/>
      </c>
    </row>
    <row r="11504" spans="20:20" hidden="1">
      <c r="T11504" t="str">
        <f>IF(C11504="","",UPPER(LEFT(SUBSTITUTE(C11504," ",""),3))&amp;"-"&amp;TEXT(B11504,"AAMMDD")&amp;"-1")</f>
        <v/>
      </c>
    </row>
    <row r="11505" spans="20:20" hidden="1">
      <c r="T11505" t="str">
        <f>IF(C11505="","",UPPER(LEFT(SUBSTITUTE(C11505," ",""),3))&amp;"-"&amp;TEXT(B11505,"AAMMDD")&amp;"-1")</f>
        <v/>
      </c>
    </row>
    <row r="11506" spans="20:20" hidden="1">
      <c r="T11506" t="str">
        <f>IF(C11506="","",UPPER(LEFT(SUBSTITUTE(C11506," ",""),3))&amp;"-"&amp;TEXT(B11506,"AAMMDD")&amp;"-1")</f>
        <v/>
      </c>
    </row>
    <row r="11507" spans="20:20" hidden="1">
      <c r="T11507" t="str">
        <f>IF(C11507="","",UPPER(LEFT(SUBSTITUTE(C11507," ",""),3))&amp;"-"&amp;TEXT(B11507,"AAMMDD")&amp;"-1")</f>
        <v/>
      </c>
    </row>
    <row r="11508" spans="20:20" hidden="1">
      <c r="T11508" t="str">
        <f>IF(C11508="","",UPPER(LEFT(SUBSTITUTE(C11508," ",""),3))&amp;"-"&amp;TEXT(B11508,"AAMMDD")&amp;"-1")</f>
        <v/>
      </c>
    </row>
    <row r="11509" spans="20:20" hidden="1">
      <c r="T11509" t="str">
        <f>IF(C11509="","",UPPER(LEFT(SUBSTITUTE(C11509," ",""),3))&amp;"-"&amp;TEXT(B11509,"AAMMDD")&amp;"-1")</f>
        <v/>
      </c>
    </row>
    <row r="11510" spans="20:20" hidden="1">
      <c r="T11510" t="str">
        <f>IF(C11510="","",UPPER(LEFT(SUBSTITUTE(C11510," ",""),3))&amp;"-"&amp;TEXT(B11510,"AAMMDD")&amp;"-1")</f>
        <v/>
      </c>
    </row>
    <row r="11511" spans="20:20" hidden="1">
      <c r="T11511" t="str">
        <f>IF(C11511="","",UPPER(LEFT(SUBSTITUTE(C11511," ",""),3))&amp;"-"&amp;TEXT(B11511,"AAMMDD")&amp;"-1")</f>
        <v/>
      </c>
    </row>
    <row r="11512" spans="20:20" hidden="1">
      <c r="T11512" t="str">
        <f>IF(C11512="","",UPPER(LEFT(SUBSTITUTE(C11512," ",""),3))&amp;"-"&amp;TEXT(B11512,"AAMMDD")&amp;"-1")</f>
        <v/>
      </c>
    </row>
    <row r="11513" spans="20:20" hidden="1">
      <c r="T11513" t="str">
        <f>IF(C11513="","",UPPER(LEFT(SUBSTITUTE(C11513," ",""),3))&amp;"-"&amp;TEXT(B11513,"AAMMDD")&amp;"-1")</f>
        <v/>
      </c>
    </row>
    <row r="11514" spans="20:20" hidden="1">
      <c r="T11514" t="str">
        <f>IF(C11514="","",UPPER(LEFT(SUBSTITUTE(C11514," ",""),3))&amp;"-"&amp;TEXT(B11514,"AAMMDD")&amp;"-1")</f>
        <v/>
      </c>
    </row>
    <row r="11515" spans="20:20" hidden="1">
      <c r="T11515" t="str">
        <f>IF(C11515="","",UPPER(LEFT(SUBSTITUTE(C11515," ",""),3))&amp;"-"&amp;TEXT(B11515,"AAMMDD")&amp;"-1")</f>
        <v/>
      </c>
    </row>
    <row r="11516" spans="20:20" hidden="1">
      <c r="T11516" t="str">
        <f>IF(C11516="","",UPPER(LEFT(SUBSTITUTE(C11516," ",""),3))&amp;"-"&amp;TEXT(B11516,"AAMMDD")&amp;"-1")</f>
        <v/>
      </c>
    </row>
    <row r="11517" spans="20:20" hidden="1">
      <c r="T11517" t="str">
        <f>IF(C11517="","",UPPER(LEFT(SUBSTITUTE(C11517," ",""),3))&amp;"-"&amp;TEXT(B11517,"AAMMDD")&amp;"-1")</f>
        <v/>
      </c>
    </row>
    <row r="11518" spans="20:20" hidden="1">
      <c r="T11518" t="str">
        <f>IF(C11518="","",UPPER(LEFT(SUBSTITUTE(C11518," ",""),3))&amp;"-"&amp;TEXT(B11518,"AAMMDD")&amp;"-1")</f>
        <v/>
      </c>
    </row>
    <row r="11519" spans="20:20" hidden="1">
      <c r="T11519" t="str">
        <f>IF(C11519="","",UPPER(LEFT(SUBSTITUTE(C11519," ",""),3))&amp;"-"&amp;TEXT(B11519,"AAMMDD")&amp;"-1")</f>
        <v/>
      </c>
    </row>
    <row r="11520" spans="20:20" hidden="1">
      <c r="T11520" t="str">
        <f>IF(C11520="","",UPPER(LEFT(SUBSTITUTE(C11520," ",""),3))&amp;"-"&amp;TEXT(B11520,"AAMMDD")&amp;"-1")</f>
        <v/>
      </c>
    </row>
    <row r="11521" spans="20:20" hidden="1">
      <c r="T11521" t="str">
        <f>IF(C11521="","",UPPER(LEFT(SUBSTITUTE(C11521," ",""),3))&amp;"-"&amp;TEXT(B11521,"AAMMDD")&amp;"-1")</f>
        <v/>
      </c>
    </row>
    <row r="11522" spans="20:20" hidden="1">
      <c r="T11522" t="str">
        <f>IF(C11522="","",UPPER(LEFT(SUBSTITUTE(C11522," ",""),3))&amp;"-"&amp;TEXT(B11522,"AAMMDD")&amp;"-1")</f>
        <v/>
      </c>
    </row>
    <row r="11523" spans="20:20" hidden="1">
      <c r="T11523" t="str">
        <f>IF(C11523="","",UPPER(LEFT(SUBSTITUTE(C11523," ",""),3))&amp;"-"&amp;TEXT(B11523,"AAMMDD")&amp;"-1")</f>
        <v/>
      </c>
    </row>
    <row r="11524" spans="20:20" hidden="1">
      <c r="T11524" t="str">
        <f>IF(C11524="","",UPPER(LEFT(SUBSTITUTE(C11524," ",""),3))&amp;"-"&amp;TEXT(B11524,"AAMMDD")&amp;"-1")</f>
        <v/>
      </c>
    </row>
    <row r="11525" spans="20:20" hidden="1">
      <c r="T11525" t="str">
        <f>IF(C11525="","",UPPER(LEFT(SUBSTITUTE(C11525," ",""),3))&amp;"-"&amp;TEXT(B11525,"AAMMDD")&amp;"-1")</f>
        <v/>
      </c>
    </row>
    <row r="11526" spans="20:20" hidden="1">
      <c r="T11526" t="str">
        <f>IF(C11526="","",UPPER(LEFT(SUBSTITUTE(C11526," ",""),3))&amp;"-"&amp;TEXT(B11526,"AAMMDD")&amp;"-1")</f>
        <v/>
      </c>
    </row>
    <row r="11527" spans="20:20" hidden="1">
      <c r="T11527" t="str">
        <f>IF(C11527="","",UPPER(LEFT(SUBSTITUTE(C11527," ",""),3))&amp;"-"&amp;TEXT(B11527,"AAMMDD")&amp;"-1")</f>
        <v/>
      </c>
    </row>
    <row r="11528" spans="20:20" hidden="1">
      <c r="T11528" t="str">
        <f>IF(C11528="","",UPPER(LEFT(SUBSTITUTE(C11528," ",""),3))&amp;"-"&amp;TEXT(B11528,"AAMMDD")&amp;"-1")</f>
        <v/>
      </c>
    </row>
    <row r="11529" spans="20:20" hidden="1">
      <c r="T11529" t="str">
        <f>IF(C11529="","",UPPER(LEFT(SUBSTITUTE(C11529," ",""),3))&amp;"-"&amp;TEXT(B11529,"AAMMDD")&amp;"-1")</f>
        <v/>
      </c>
    </row>
    <row r="11530" spans="20:20" hidden="1">
      <c r="T11530" t="str">
        <f>IF(C11530="","",UPPER(LEFT(SUBSTITUTE(C11530," ",""),3))&amp;"-"&amp;TEXT(B11530,"AAMMDD")&amp;"-1")</f>
        <v/>
      </c>
    </row>
    <row r="11531" spans="20:20" hidden="1">
      <c r="T11531" t="str">
        <f>IF(C11531="","",UPPER(LEFT(SUBSTITUTE(C11531," ",""),3))&amp;"-"&amp;TEXT(B11531,"AAMMDD")&amp;"-1")</f>
        <v/>
      </c>
    </row>
    <row r="11532" spans="20:20" hidden="1">
      <c r="T11532" t="str">
        <f>IF(C11532="","",UPPER(LEFT(SUBSTITUTE(C11532," ",""),3))&amp;"-"&amp;TEXT(B11532,"AAMMDD")&amp;"-1")</f>
        <v/>
      </c>
    </row>
    <row r="11533" spans="20:20" hidden="1">
      <c r="T11533" t="str">
        <f>IF(C11533="","",UPPER(LEFT(SUBSTITUTE(C11533," ",""),3))&amp;"-"&amp;TEXT(B11533,"AAMMDD")&amp;"-1")</f>
        <v/>
      </c>
    </row>
    <row r="11534" spans="20:20" hidden="1">
      <c r="T11534" t="str">
        <f>IF(C11534="","",UPPER(LEFT(SUBSTITUTE(C11534," ",""),3))&amp;"-"&amp;TEXT(B11534,"AAMMDD")&amp;"-1")</f>
        <v/>
      </c>
    </row>
    <row r="11535" spans="20:20" hidden="1">
      <c r="T11535" t="str">
        <f>IF(C11535="","",UPPER(LEFT(SUBSTITUTE(C11535," ",""),3))&amp;"-"&amp;TEXT(B11535,"AAMMDD")&amp;"-1")</f>
        <v/>
      </c>
    </row>
    <row r="11536" spans="20:20" hidden="1">
      <c r="T11536" t="str">
        <f>IF(C11536="","",UPPER(LEFT(SUBSTITUTE(C11536," ",""),3))&amp;"-"&amp;TEXT(B11536,"AAMMDD")&amp;"-1")</f>
        <v/>
      </c>
    </row>
    <row r="11537" spans="20:20" hidden="1">
      <c r="T11537" t="str">
        <f>IF(C11537="","",UPPER(LEFT(SUBSTITUTE(C11537," ",""),3))&amp;"-"&amp;TEXT(B11537,"AAMMDD")&amp;"-1")</f>
        <v/>
      </c>
    </row>
    <row r="11538" spans="20:20" hidden="1">
      <c r="T11538" t="str">
        <f>IF(C11538="","",UPPER(LEFT(SUBSTITUTE(C11538," ",""),3))&amp;"-"&amp;TEXT(B11538,"AAMMDD")&amp;"-1")</f>
        <v/>
      </c>
    </row>
    <row r="11539" spans="20:20" hidden="1">
      <c r="T11539" t="str">
        <f>IF(C11539="","",UPPER(LEFT(SUBSTITUTE(C11539," ",""),3))&amp;"-"&amp;TEXT(B11539,"AAMMDD")&amp;"-1")</f>
        <v/>
      </c>
    </row>
    <row r="11540" spans="20:20" hidden="1">
      <c r="T11540" t="str">
        <f>IF(C11540="","",UPPER(LEFT(SUBSTITUTE(C11540," ",""),3))&amp;"-"&amp;TEXT(B11540,"AAMMDD")&amp;"-1")</f>
        <v/>
      </c>
    </row>
    <row r="11541" spans="20:20" hidden="1">
      <c r="T11541" t="str">
        <f>IF(C11541="","",UPPER(LEFT(SUBSTITUTE(C11541," ",""),3))&amp;"-"&amp;TEXT(B11541,"AAMMDD")&amp;"-1")</f>
        <v/>
      </c>
    </row>
    <row r="11542" spans="20:20" hidden="1">
      <c r="T11542" t="str">
        <f>IF(C11542="","",UPPER(LEFT(SUBSTITUTE(C11542," ",""),3))&amp;"-"&amp;TEXT(B11542,"AAMMDD")&amp;"-1")</f>
        <v/>
      </c>
    </row>
    <row r="11543" spans="20:20" hidden="1">
      <c r="T11543" t="str">
        <f>IF(C11543="","",UPPER(LEFT(SUBSTITUTE(C11543," ",""),3))&amp;"-"&amp;TEXT(B11543,"AAMMDD")&amp;"-1")</f>
        <v/>
      </c>
    </row>
    <row r="11544" spans="20:20" hidden="1">
      <c r="T11544" t="str">
        <f>IF(C11544="","",UPPER(LEFT(SUBSTITUTE(C11544," ",""),3))&amp;"-"&amp;TEXT(B11544,"AAMMDD")&amp;"-1")</f>
        <v/>
      </c>
    </row>
    <row r="11545" spans="20:20" hidden="1">
      <c r="T11545" t="str">
        <f>IF(C11545="","",UPPER(LEFT(SUBSTITUTE(C11545," ",""),3))&amp;"-"&amp;TEXT(B11545,"AAMMDD")&amp;"-1")</f>
        <v/>
      </c>
    </row>
    <row r="11546" spans="20:20" hidden="1">
      <c r="T11546" t="str">
        <f>IF(C11546="","",UPPER(LEFT(SUBSTITUTE(C11546," ",""),3))&amp;"-"&amp;TEXT(B11546,"AAMMDD")&amp;"-1")</f>
        <v/>
      </c>
    </row>
    <row r="11547" spans="20:20" hidden="1">
      <c r="T11547" t="str">
        <f>IF(C11547="","",UPPER(LEFT(SUBSTITUTE(C11547," ",""),3))&amp;"-"&amp;TEXT(B11547,"AAMMDD")&amp;"-1")</f>
        <v/>
      </c>
    </row>
    <row r="11548" spans="20:20" hidden="1">
      <c r="T11548" t="str">
        <f>IF(C11548="","",UPPER(LEFT(SUBSTITUTE(C11548," ",""),3))&amp;"-"&amp;TEXT(B11548,"AAMMDD")&amp;"-1")</f>
        <v/>
      </c>
    </row>
    <row r="11549" spans="20:20" hidden="1">
      <c r="T11549" t="str">
        <f>IF(C11549="","",UPPER(LEFT(SUBSTITUTE(C11549," ",""),3))&amp;"-"&amp;TEXT(B11549,"AAMMDD")&amp;"-1")</f>
        <v/>
      </c>
    </row>
    <row r="11550" spans="20:20" hidden="1">
      <c r="T11550" t="str">
        <f>IF(C11550="","",UPPER(LEFT(SUBSTITUTE(C11550," ",""),3))&amp;"-"&amp;TEXT(B11550,"AAMMDD")&amp;"-1")</f>
        <v/>
      </c>
    </row>
    <row r="11551" spans="20:20" hidden="1">
      <c r="T11551" t="str">
        <f>IF(C11551="","",UPPER(LEFT(SUBSTITUTE(C11551," ",""),3))&amp;"-"&amp;TEXT(B11551,"AAMMDD")&amp;"-1")</f>
        <v/>
      </c>
    </row>
    <row r="11552" spans="20:20" hidden="1">
      <c r="T11552" t="str">
        <f>IF(C11552="","",UPPER(LEFT(SUBSTITUTE(C11552," ",""),3))&amp;"-"&amp;TEXT(B11552,"AAMMDD")&amp;"-1")</f>
        <v/>
      </c>
    </row>
    <row r="11553" spans="20:20" hidden="1">
      <c r="T11553" t="str">
        <f>IF(C11553="","",UPPER(LEFT(SUBSTITUTE(C11553," ",""),3))&amp;"-"&amp;TEXT(B11553,"AAMMDD")&amp;"-1")</f>
        <v/>
      </c>
    </row>
    <row r="11554" spans="20:20" hidden="1">
      <c r="T11554" t="str">
        <f>IF(C11554="","",UPPER(LEFT(SUBSTITUTE(C11554," ",""),3))&amp;"-"&amp;TEXT(B11554,"AAMMDD")&amp;"-1")</f>
        <v/>
      </c>
    </row>
    <row r="11555" spans="20:20" hidden="1">
      <c r="T11555" t="str">
        <f>IF(C11555="","",UPPER(LEFT(SUBSTITUTE(C11555," ",""),3))&amp;"-"&amp;TEXT(B11555,"AAMMDD")&amp;"-1")</f>
        <v/>
      </c>
    </row>
    <row r="11556" spans="20:20" hidden="1">
      <c r="T11556" t="str">
        <f>IF(C11556="","",UPPER(LEFT(SUBSTITUTE(C11556," ",""),3))&amp;"-"&amp;TEXT(B11556,"AAMMDD")&amp;"-1")</f>
        <v/>
      </c>
    </row>
    <row r="11557" spans="20:20" hidden="1">
      <c r="T11557" t="str">
        <f>IF(C11557="","",UPPER(LEFT(SUBSTITUTE(C11557," ",""),3))&amp;"-"&amp;TEXT(B11557,"AAMMDD")&amp;"-1")</f>
        <v/>
      </c>
    </row>
    <row r="11558" spans="20:20" hidden="1">
      <c r="T11558" t="str">
        <f>IF(C11558="","",UPPER(LEFT(SUBSTITUTE(C11558," ",""),3))&amp;"-"&amp;TEXT(B11558,"AAMMDD")&amp;"-1")</f>
        <v/>
      </c>
    </row>
    <row r="11559" spans="20:20" hidden="1">
      <c r="T11559" t="str">
        <f>IF(C11559="","",UPPER(LEFT(SUBSTITUTE(C11559," ",""),3))&amp;"-"&amp;TEXT(B11559,"AAMMDD")&amp;"-1")</f>
        <v/>
      </c>
    </row>
    <row r="11560" spans="20:20" hidden="1">
      <c r="T11560" t="str">
        <f>IF(C11560="","",UPPER(LEFT(SUBSTITUTE(C11560," ",""),3))&amp;"-"&amp;TEXT(B11560,"AAMMDD")&amp;"-1")</f>
        <v/>
      </c>
    </row>
    <row r="11561" spans="20:20" hidden="1">
      <c r="T11561" t="str">
        <f>IF(C11561="","",UPPER(LEFT(SUBSTITUTE(C11561," ",""),3))&amp;"-"&amp;TEXT(B11561,"AAMMDD")&amp;"-1")</f>
        <v/>
      </c>
    </row>
    <row r="11562" spans="20:20" hidden="1">
      <c r="T11562" t="str">
        <f>IF(C11562="","",UPPER(LEFT(SUBSTITUTE(C11562," ",""),3))&amp;"-"&amp;TEXT(B11562,"AAMMDD")&amp;"-1")</f>
        <v/>
      </c>
    </row>
    <row r="11563" spans="20:20" hidden="1">
      <c r="T11563" t="str">
        <f>IF(C11563="","",UPPER(LEFT(SUBSTITUTE(C11563," ",""),3))&amp;"-"&amp;TEXT(B11563,"AAMMDD")&amp;"-1")</f>
        <v/>
      </c>
    </row>
    <row r="11564" spans="20:20" hidden="1">
      <c r="T11564" t="str">
        <f>IF(C11564="","",UPPER(LEFT(SUBSTITUTE(C11564," ",""),3))&amp;"-"&amp;TEXT(B11564,"AAMMDD")&amp;"-1")</f>
        <v/>
      </c>
    </row>
    <row r="11565" spans="20:20" hidden="1">
      <c r="T11565" t="str">
        <f>IF(C11565="","",UPPER(LEFT(SUBSTITUTE(C11565," ",""),3))&amp;"-"&amp;TEXT(B11565,"AAMMDD")&amp;"-1")</f>
        <v/>
      </c>
    </row>
    <row r="11566" spans="20:20" hidden="1">
      <c r="T11566" t="str">
        <f>IF(C11566="","",UPPER(LEFT(SUBSTITUTE(C11566," ",""),3))&amp;"-"&amp;TEXT(B11566,"AAMMDD")&amp;"-1")</f>
        <v/>
      </c>
    </row>
    <row r="11567" spans="20:20" hidden="1">
      <c r="T11567" t="str">
        <f>IF(C11567="","",UPPER(LEFT(SUBSTITUTE(C11567," ",""),3))&amp;"-"&amp;TEXT(B11567,"AAMMDD")&amp;"-1")</f>
        <v/>
      </c>
    </row>
    <row r="11568" spans="20:20" hidden="1">
      <c r="T11568" t="str">
        <f>IF(C11568="","",UPPER(LEFT(SUBSTITUTE(C11568," ",""),3))&amp;"-"&amp;TEXT(B11568,"AAMMDD")&amp;"-1")</f>
        <v/>
      </c>
    </row>
    <row r="11569" spans="20:20" hidden="1">
      <c r="T11569" t="str">
        <f>IF(C11569="","",UPPER(LEFT(SUBSTITUTE(C11569," ",""),3))&amp;"-"&amp;TEXT(B11569,"AAMMDD")&amp;"-1")</f>
        <v/>
      </c>
    </row>
    <row r="11570" spans="20:20" hidden="1">
      <c r="T11570" t="str">
        <f>IF(C11570="","",UPPER(LEFT(SUBSTITUTE(C11570," ",""),3))&amp;"-"&amp;TEXT(B11570,"AAMMDD")&amp;"-1")</f>
        <v/>
      </c>
    </row>
    <row r="11571" spans="20:20" hidden="1">
      <c r="T11571" t="str">
        <f>IF(C11571="","",UPPER(LEFT(SUBSTITUTE(C11571," ",""),3))&amp;"-"&amp;TEXT(B11571,"AAMMDD")&amp;"-1")</f>
        <v/>
      </c>
    </row>
    <row r="11572" spans="20:20" hidden="1">
      <c r="T11572" t="str">
        <f>IF(C11572="","",UPPER(LEFT(SUBSTITUTE(C11572," ",""),3))&amp;"-"&amp;TEXT(B11572,"AAMMDD")&amp;"-1")</f>
        <v/>
      </c>
    </row>
    <row r="11573" spans="20:20" hidden="1">
      <c r="T11573" t="str">
        <f>IF(C11573="","",UPPER(LEFT(SUBSTITUTE(C11573," ",""),3))&amp;"-"&amp;TEXT(B11573,"AAMMDD")&amp;"-1")</f>
        <v/>
      </c>
    </row>
    <row r="11574" spans="20:20" hidden="1">
      <c r="T11574" t="str">
        <f>IF(C11574="","",UPPER(LEFT(SUBSTITUTE(C11574," ",""),3))&amp;"-"&amp;TEXT(B11574,"AAMMDD")&amp;"-1")</f>
        <v/>
      </c>
    </row>
    <row r="11575" spans="20:20" hidden="1">
      <c r="T11575" t="str">
        <f>IF(C11575="","",UPPER(LEFT(SUBSTITUTE(C11575," ",""),3))&amp;"-"&amp;TEXT(B11575,"AAMMDD")&amp;"-1")</f>
        <v/>
      </c>
    </row>
    <row r="11576" spans="20:20" hidden="1">
      <c r="T11576" t="str">
        <f>IF(C11576="","",UPPER(LEFT(SUBSTITUTE(C11576," ",""),3))&amp;"-"&amp;TEXT(B11576,"AAMMDD")&amp;"-1")</f>
        <v/>
      </c>
    </row>
    <row r="11577" spans="20:20" hidden="1">
      <c r="T11577" t="str">
        <f>IF(C11577="","",UPPER(LEFT(SUBSTITUTE(C11577," ",""),3))&amp;"-"&amp;TEXT(B11577,"AAMMDD")&amp;"-1")</f>
        <v/>
      </c>
    </row>
    <row r="11578" spans="20:20" hidden="1">
      <c r="T11578" t="str">
        <f>IF(C11578="","",UPPER(LEFT(SUBSTITUTE(C11578," ",""),3))&amp;"-"&amp;TEXT(B11578,"AAMMDD")&amp;"-1")</f>
        <v/>
      </c>
    </row>
    <row r="11579" spans="20:20" hidden="1">
      <c r="T11579" t="str">
        <f>IF(C11579="","",UPPER(LEFT(SUBSTITUTE(C11579," ",""),3))&amp;"-"&amp;TEXT(B11579,"AAMMDD")&amp;"-1")</f>
        <v/>
      </c>
    </row>
    <row r="11580" spans="20:20" hidden="1">
      <c r="T11580" t="str">
        <f>IF(C11580="","",UPPER(LEFT(SUBSTITUTE(C11580," ",""),3))&amp;"-"&amp;TEXT(B11580,"AAMMDD")&amp;"-1")</f>
        <v/>
      </c>
    </row>
    <row r="11581" spans="20:20" hidden="1">
      <c r="T11581" t="str">
        <f>IF(C11581="","",UPPER(LEFT(SUBSTITUTE(C11581," ",""),3))&amp;"-"&amp;TEXT(B11581,"AAMMDD")&amp;"-1")</f>
        <v/>
      </c>
    </row>
    <row r="11582" spans="20:20" hidden="1">
      <c r="T11582" t="str">
        <f>IF(C11582="","",UPPER(LEFT(SUBSTITUTE(C11582," ",""),3))&amp;"-"&amp;TEXT(B11582,"AAMMDD")&amp;"-1")</f>
        <v/>
      </c>
    </row>
    <row r="11583" spans="20:20" hidden="1">
      <c r="T11583" t="str">
        <f>IF(C11583="","",UPPER(LEFT(SUBSTITUTE(C11583," ",""),3))&amp;"-"&amp;TEXT(B11583,"AAMMDD")&amp;"-1")</f>
        <v/>
      </c>
    </row>
    <row r="11584" spans="20:20" hidden="1">
      <c r="T11584" t="str">
        <f>IF(C11584="","",UPPER(LEFT(SUBSTITUTE(C11584," ",""),3))&amp;"-"&amp;TEXT(B11584,"AAMMDD")&amp;"-1")</f>
        <v/>
      </c>
    </row>
    <row r="11585" spans="20:20" hidden="1">
      <c r="T11585" t="str">
        <f>IF(C11585="","",UPPER(LEFT(SUBSTITUTE(C11585," ",""),3))&amp;"-"&amp;TEXT(B11585,"AAMMDD")&amp;"-1")</f>
        <v/>
      </c>
    </row>
    <row r="11586" spans="20:20" hidden="1">
      <c r="T11586" t="str">
        <f>IF(C11586="","",UPPER(LEFT(SUBSTITUTE(C11586," ",""),3))&amp;"-"&amp;TEXT(B11586,"AAMMDD")&amp;"-1")</f>
        <v/>
      </c>
    </row>
    <row r="11587" spans="20:20" hidden="1">
      <c r="T11587" t="str">
        <f>IF(C11587="","",UPPER(LEFT(SUBSTITUTE(C11587," ",""),3))&amp;"-"&amp;TEXT(B11587,"AAMMDD")&amp;"-1")</f>
        <v/>
      </c>
    </row>
    <row r="11588" spans="20:20" hidden="1">
      <c r="T11588" t="str">
        <f>IF(C11588="","",UPPER(LEFT(SUBSTITUTE(C11588," ",""),3))&amp;"-"&amp;TEXT(B11588,"AAMMDD")&amp;"-1")</f>
        <v/>
      </c>
    </row>
    <row r="11589" spans="20:20" hidden="1">
      <c r="T11589" t="str">
        <f>IF(C11589="","",UPPER(LEFT(SUBSTITUTE(C11589," ",""),3))&amp;"-"&amp;TEXT(B11589,"AAMMDD")&amp;"-1")</f>
        <v/>
      </c>
    </row>
    <row r="11590" spans="20:20" hidden="1">
      <c r="T11590" t="str">
        <f>IF(C11590="","",UPPER(LEFT(SUBSTITUTE(C11590," ",""),3))&amp;"-"&amp;TEXT(B11590,"AAMMDD")&amp;"-1")</f>
        <v/>
      </c>
    </row>
    <row r="11591" spans="20:20" hidden="1">
      <c r="T11591" t="str">
        <f>IF(C11591="","",UPPER(LEFT(SUBSTITUTE(C11591," ",""),3))&amp;"-"&amp;TEXT(B11591,"AAMMDD")&amp;"-1")</f>
        <v/>
      </c>
    </row>
    <row r="11592" spans="20:20" hidden="1">
      <c r="T11592" t="str">
        <f>IF(C11592="","",UPPER(LEFT(SUBSTITUTE(C11592," ",""),3))&amp;"-"&amp;TEXT(B11592,"AAMMDD")&amp;"-1")</f>
        <v/>
      </c>
    </row>
    <row r="11593" spans="20:20" hidden="1">
      <c r="T11593" t="str">
        <f>IF(C11593="","",UPPER(LEFT(SUBSTITUTE(C11593," ",""),3))&amp;"-"&amp;TEXT(B11593,"AAMMDD")&amp;"-1")</f>
        <v/>
      </c>
    </row>
    <row r="11594" spans="20:20" hidden="1">
      <c r="T11594" t="str">
        <f>IF(C11594="","",UPPER(LEFT(SUBSTITUTE(C11594," ",""),3))&amp;"-"&amp;TEXT(B11594,"AAMMDD")&amp;"-1")</f>
        <v/>
      </c>
    </row>
    <row r="11595" spans="20:20" hidden="1">
      <c r="T11595" t="str">
        <f>IF(C11595="","",UPPER(LEFT(SUBSTITUTE(C11595," ",""),3))&amp;"-"&amp;TEXT(B11595,"AAMMDD")&amp;"-1")</f>
        <v/>
      </c>
    </row>
    <row r="11596" spans="20:20" hidden="1">
      <c r="T11596" t="str">
        <f>IF(C11596="","",UPPER(LEFT(SUBSTITUTE(C11596," ",""),3))&amp;"-"&amp;TEXT(B11596,"AAMMDD")&amp;"-1")</f>
        <v/>
      </c>
    </row>
    <row r="11597" spans="20:20" hidden="1">
      <c r="T11597" t="str">
        <f>IF(C11597="","",UPPER(LEFT(SUBSTITUTE(C11597," ",""),3))&amp;"-"&amp;TEXT(B11597,"AAMMDD")&amp;"-1")</f>
        <v/>
      </c>
    </row>
    <row r="11598" spans="20:20" hidden="1">
      <c r="T11598" t="str">
        <f>IF(C11598="","",UPPER(LEFT(SUBSTITUTE(C11598," ",""),3))&amp;"-"&amp;TEXT(B11598,"AAMMDD")&amp;"-1")</f>
        <v/>
      </c>
    </row>
    <row r="11599" spans="20:20" hidden="1">
      <c r="T11599" t="str">
        <f>IF(C11599="","",UPPER(LEFT(SUBSTITUTE(C11599," ",""),3))&amp;"-"&amp;TEXT(B11599,"AAMMDD")&amp;"-1")</f>
        <v/>
      </c>
    </row>
    <row r="11600" spans="20:20" hidden="1">
      <c r="T11600" t="str">
        <f>IF(C11600="","",UPPER(LEFT(SUBSTITUTE(C11600," ",""),3))&amp;"-"&amp;TEXT(B11600,"AAMMDD")&amp;"-1")</f>
        <v/>
      </c>
    </row>
    <row r="11601" spans="20:20" hidden="1">
      <c r="T11601" t="str">
        <f>IF(C11601="","",UPPER(LEFT(SUBSTITUTE(C11601," ",""),3))&amp;"-"&amp;TEXT(B11601,"AAMMDD")&amp;"-1")</f>
        <v/>
      </c>
    </row>
    <row r="11602" spans="20:20" hidden="1">
      <c r="T11602" t="str">
        <f>IF(C11602="","",UPPER(LEFT(SUBSTITUTE(C11602," ",""),3))&amp;"-"&amp;TEXT(B11602,"AAMMDD")&amp;"-1")</f>
        <v/>
      </c>
    </row>
    <row r="11603" spans="20:20" hidden="1">
      <c r="T11603" t="str">
        <f>IF(C11603="","",UPPER(LEFT(SUBSTITUTE(C11603," ",""),3))&amp;"-"&amp;TEXT(B11603,"AAMMDD")&amp;"-1")</f>
        <v/>
      </c>
    </row>
    <row r="11604" spans="20:20" hidden="1">
      <c r="T11604" t="str">
        <f>IF(C11604="","",UPPER(LEFT(SUBSTITUTE(C11604," ",""),3))&amp;"-"&amp;TEXT(B11604,"AAMMDD")&amp;"-1")</f>
        <v/>
      </c>
    </row>
    <row r="11605" spans="20:20" hidden="1">
      <c r="T11605" t="str">
        <f>IF(C11605="","",UPPER(LEFT(SUBSTITUTE(C11605," ",""),3))&amp;"-"&amp;TEXT(B11605,"AAMMDD")&amp;"-1")</f>
        <v/>
      </c>
    </row>
    <row r="11606" spans="20:20" hidden="1">
      <c r="T11606" t="str">
        <f>IF(C11606="","",UPPER(LEFT(SUBSTITUTE(C11606," ",""),3))&amp;"-"&amp;TEXT(B11606,"AAMMDD")&amp;"-1")</f>
        <v/>
      </c>
    </row>
    <row r="11607" spans="20:20" hidden="1">
      <c r="T11607" t="str">
        <f>IF(C11607="","",UPPER(LEFT(SUBSTITUTE(C11607," ",""),3))&amp;"-"&amp;TEXT(B11607,"AAMMDD")&amp;"-1")</f>
        <v/>
      </c>
    </row>
    <row r="11608" spans="20:20" hidden="1">
      <c r="T11608" t="str">
        <f>IF(C11608="","",UPPER(LEFT(SUBSTITUTE(C11608," ",""),3))&amp;"-"&amp;TEXT(B11608,"AAMMDD")&amp;"-1")</f>
        <v/>
      </c>
    </row>
    <row r="11609" spans="20:20" hidden="1">
      <c r="T11609" t="str">
        <f>IF(C11609="","",UPPER(LEFT(SUBSTITUTE(C11609," ",""),3))&amp;"-"&amp;TEXT(B11609,"AAMMDD")&amp;"-1")</f>
        <v/>
      </c>
    </row>
    <row r="11610" spans="20:20" hidden="1">
      <c r="T11610" t="str">
        <f>IF(C11610="","",UPPER(LEFT(SUBSTITUTE(C11610," ",""),3))&amp;"-"&amp;TEXT(B11610,"AAMMDD")&amp;"-1")</f>
        <v/>
      </c>
    </row>
    <row r="11611" spans="20:20" hidden="1">
      <c r="T11611" t="str">
        <f>IF(C11611="","",UPPER(LEFT(SUBSTITUTE(C11611," ",""),3))&amp;"-"&amp;TEXT(B11611,"AAMMDD")&amp;"-1")</f>
        <v/>
      </c>
    </row>
    <row r="11612" spans="20:20" hidden="1">
      <c r="T11612" t="str">
        <f>IF(C11612="","",UPPER(LEFT(SUBSTITUTE(C11612," ",""),3))&amp;"-"&amp;TEXT(B11612,"AAMMDD")&amp;"-1")</f>
        <v/>
      </c>
    </row>
    <row r="11613" spans="20:20" hidden="1">
      <c r="T11613" t="str">
        <f>IF(C11613="","",UPPER(LEFT(SUBSTITUTE(C11613," ",""),3))&amp;"-"&amp;TEXT(B11613,"AAMMDD")&amp;"-1")</f>
        <v/>
      </c>
    </row>
    <row r="11614" spans="20:20" hidden="1">
      <c r="T11614" t="str">
        <f>IF(C11614="","",UPPER(LEFT(SUBSTITUTE(C11614," ",""),3))&amp;"-"&amp;TEXT(B11614,"AAMMDD")&amp;"-1")</f>
        <v/>
      </c>
    </row>
    <row r="11615" spans="20:20" hidden="1">
      <c r="T11615" t="str">
        <f>IF(C11615="","",UPPER(LEFT(SUBSTITUTE(C11615," ",""),3))&amp;"-"&amp;TEXT(B11615,"AAMMDD")&amp;"-1")</f>
        <v/>
      </c>
    </row>
    <row r="11616" spans="20:20" hidden="1">
      <c r="T11616" t="str">
        <f>IF(C11616="","",UPPER(LEFT(SUBSTITUTE(C11616," ",""),3))&amp;"-"&amp;TEXT(B11616,"AAMMDD")&amp;"-1")</f>
        <v/>
      </c>
    </row>
    <row r="11617" spans="20:20" hidden="1">
      <c r="T11617" t="str">
        <f>IF(C11617="","",UPPER(LEFT(SUBSTITUTE(C11617," ",""),3))&amp;"-"&amp;TEXT(B11617,"AAMMDD")&amp;"-1")</f>
        <v/>
      </c>
    </row>
    <row r="11618" spans="20:20" hidden="1">
      <c r="T11618" t="str">
        <f>IF(C11618="","",UPPER(LEFT(SUBSTITUTE(C11618," ",""),3))&amp;"-"&amp;TEXT(B11618,"AAMMDD")&amp;"-1")</f>
        <v/>
      </c>
    </row>
    <row r="11619" spans="20:20" hidden="1">
      <c r="T11619" t="str">
        <f>IF(C11619="","",UPPER(LEFT(SUBSTITUTE(C11619," ",""),3))&amp;"-"&amp;TEXT(B11619,"AAMMDD")&amp;"-1")</f>
        <v/>
      </c>
    </row>
    <row r="11620" spans="20:20" hidden="1">
      <c r="T11620" t="str">
        <f>IF(C11620="","",UPPER(LEFT(SUBSTITUTE(C11620," ",""),3))&amp;"-"&amp;TEXT(B11620,"AAMMDD")&amp;"-1")</f>
        <v/>
      </c>
    </row>
    <row r="11621" spans="20:20" hidden="1">
      <c r="T11621" t="str">
        <f>IF(C11621="","",UPPER(LEFT(SUBSTITUTE(C11621," ",""),3))&amp;"-"&amp;TEXT(B11621,"AAMMDD")&amp;"-1")</f>
        <v/>
      </c>
    </row>
    <row r="11622" spans="20:20" hidden="1">
      <c r="T11622" t="str">
        <f>IF(C11622="","",UPPER(LEFT(SUBSTITUTE(C11622," ",""),3))&amp;"-"&amp;TEXT(B11622,"AAMMDD")&amp;"-1")</f>
        <v/>
      </c>
    </row>
    <row r="11623" spans="20:20" hidden="1">
      <c r="T11623" t="str">
        <f>IF(C11623="","",UPPER(LEFT(SUBSTITUTE(C11623," ",""),3))&amp;"-"&amp;TEXT(B11623,"AAMMDD")&amp;"-1")</f>
        <v/>
      </c>
    </row>
    <row r="11624" spans="20:20" hidden="1">
      <c r="T11624" t="str">
        <f>IF(C11624="","",UPPER(LEFT(SUBSTITUTE(C11624," ",""),3))&amp;"-"&amp;TEXT(B11624,"AAMMDD")&amp;"-1")</f>
        <v/>
      </c>
    </row>
    <row r="11625" spans="20:20" hidden="1">
      <c r="T11625" t="str">
        <f>IF(C11625="","",UPPER(LEFT(SUBSTITUTE(C11625," ",""),3))&amp;"-"&amp;TEXT(B11625,"AAMMDD")&amp;"-1")</f>
        <v/>
      </c>
    </row>
    <row r="11626" spans="20:20" hidden="1">
      <c r="T11626" t="str">
        <f>IF(C11626="","",UPPER(LEFT(SUBSTITUTE(C11626," ",""),3))&amp;"-"&amp;TEXT(B11626,"AAMMDD")&amp;"-1")</f>
        <v/>
      </c>
    </row>
    <row r="11627" spans="20:20" hidden="1">
      <c r="T11627" t="str">
        <f>IF(C11627="","",UPPER(LEFT(SUBSTITUTE(C11627," ",""),3))&amp;"-"&amp;TEXT(B11627,"AAMMDD")&amp;"-1")</f>
        <v/>
      </c>
    </row>
    <row r="11628" spans="20:20" hidden="1">
      <c r="T11628" t="str">
        <f>IF(C11628="","",UPPER(LEFT(SUBSTITUTE(C11628," ",""),3))&amp;"-"&amp;TEXT(B11628,"AAMMDD")&amp;"-1")</f>
        <v/>
      </c>
    </row>
    <row r="11629" spans="20:20" hidden="1">
      <c r="T11629" t="str">
        <f>IF(C11629="","",UPPER(LEFT(SUBSTITUTE(C11629," ",""),3))&amp;"-"&amp;TEXT(B11629,"AAMMDD")&amp;"-1")</f>
        <v/>
      </c>
    </row>
    <row r="11630" spans="20:20" hidden="1">
      <c r="T11630" t="str">
        <f>IF(C11630="","",UPPER(LEFT(SUBSTITUTE(C11630," ",""),3))&amp;"-"&amp;TEXT(B11630,"AAMMDD")&amp;"-1")</f>
        <v/>
      </c>
    </row>
    <row r="11631" spans="20:20" hidden="1">
      <c r="T11631" t="str">
        <f>IF(C11631="","",UPPER(LEFT(SUBSTITUTE(C11631," ",""),3))&amp;"-"&amp;TEXT(B11631,"AAMMDD")&amp;"-1")</f>
        <v/>
      </c>
    </row>
    <row r="11632" spans="20:20" hidden="1">
      <c r="T11632" t="str">
        <f>IF(C11632="","",UPPER(LEFT(SUBSTITUTE(C11632," ",""),3))&amp;"-"&amp;TEXT(B11632,"AAMMDD")&amp;"-1")</f>
        <v/>
      </c>
    </row>
    <row r="11633" spans="20:20" hidden="1">
      <c r="T11633" t="str">
        <f>IF(C11633="","",UPPER(LEFT(SUBSTITUTE(C11633," ",""),3))&amp;"-"&amp;TEXT(B11633,"AAMMDD")&amp;"-1")</f>
        <v/>
      </c>
    </row>
    <row r="11634" spans="20:20" hidden="1">
      <c r="T11634" t="str">
        <f>IF(C11634="","",UPPER(LEFT(SUBSTITUTE(C11634," ",""),3))&amp;"-"&amp;TEXT(B11634,"AAMMDD")&amp;"-1")</f>
        <v/>
      </c>
    </row>
    <row r="11635" spans="20:20" hidden="1">
      <c r="T11635" t="str">
        <f>IF(C11635="","",UPPER(LEFT(SUBSTITUTE(C11635," ",""),3))&amp;"-"&amp;TEXT(B11635,"AAMMDD")&amp;"-1")</f>
        <v/>
      </c>
    </row>
    <row r="11636" spans="20:20" hidden="1">
      <c r="T11636" t="str">
        <f>IF(C11636="","",UPPER(LEFT(SUBSTITUTE(C11636," ",""),3))&amp;"-"&amp;TEXT(B11636,"AAMMDD")&amp;"-1")</f>
        <v/>
      </c>
    </row>
    <row r="11637" spans="20:20" hidden="1">
      <c r="T11637" t="str">
        <f>IF(C11637="","",UPPER(LEFT(SUBSTITUTE(C11637," ",""),3))&amp;"-"&amp;TEXT(B11637,"AAMMDD")&amp;"-1")</f>
        <v/>
      </c>
    </row>
    <row r="11638" spans="20:20" hidden="1">
      <c r="T11638" t="str">
        <f>IF(C11638="","",UPPER(LEFT(SUBSTITUTE(C11638," ",""),3))&amp;"-"&amp;TEXT(B11638,"AAMMDD")&amp;"-1")</f>
        <v/>
      </c>
    </row>
    <row r="11639" spans="20:20" hidden="1">
      <c r="T11639" t="str">
        <f>IF(C11639="","",UPPER(LEFT(SUBSTITUTE(C11639," ",""),3))&amp;"-"&amp;TEXT(B11639,"AAMMDD")&amp;"-1")</f>
        <v/>
      </c>
    </row>
    <row r="11640" spans="20:20" hidden="1">
      <c r="T11640" t="str">
        <f>IF(C11640="","",UPPER(LEFT(SUBSTITUTE(C11640," ",""),3))&amp;"-"&amp;TEXT(B11640,"AAMMDD")&amp;"-1")</f>
        <v/>
      </c>
    </row>
    <row r="11641" spans="20:20" hidden="1">
      <c r="T11641" t="str">
        <f>IF(C11641="","",UPPER(LEFT(SUBSTITUTE(C11641," ",""),3))&amp;"-"&amp;TEXT(B11641,"AAMMDD")&amp;"-1")</f>
        <v/>
      </c>
    </row>
    <row r="11642" spans="20:20" hidden="1">
      <c r="T11642" t="str">
        <f>IF(C11642="","",UPPER(LEFT(SUBSTITUTE(C11642," ",""),3))&amp;"-"&amp;TEXT(B11642,"AAMMDD")&amp;"-1")</f>
        <v/>
      </c>
    </row>
    <row r="11643" spans="20:20" hidden="1">
      <c r="T11643" t="str">
        <f>IF(C11643="","",UPPER(LEFT(SUBSTITUTE(C11643," ",""),3))&amp;"-"&amp;TEXT(B11643,"AAMMDD")&amp;"-1")</f>
        <v/>
      </c>
    </row>
    <row r="11644" spans="20:20" hidden="1">
      <c r="T11644" t="str">
        <f>IF(C11644="","",UPPER(LEFT(SUBSTITUTE(C11644," ",""),3))&amp;"-"&amp;TEXT(B11644,"AAMMDD")&amp;"-1")</f>
        <v/>
      </c>
    </row>
    <row r="11645" spans="20:20" hidden="1">
      <c r="T11645" t="str">
        <f>IF(C11645="","",UPPER(LEFT(SUBSTITUTE(C11645," ",""),3))&amp;"-"&amp;TEXT(B11645,"AAMMDD")&amp;"-1")</f>
        <v/>
      </c>
    </row>
    <row r="11646" spans="20:20" hidden="1">
      <c r="T11646" t="str">
        <f>IF(C11646="","",UPPER(LEFT(SUBSTITUTE(C11646," ",""),3))&amp;"-"&amp;TEXT(B11646,"AAMMDD")&amp;"-1")</f>
        <v/>
      </c>
    </row>
    <row r="11647" spans="20:20" hidden="1">
      <c r="T11647" t="str">
        <f>IF(C11647="","",UPPER(LEFT(SUBSTITUTE(C11647," ",""),3))&amp;"-"&amp;TEXT(B11647,"AAMMDD")&amp;"-1")</f>
        <v/>
      </c>
    </row>
    <row r="11648" spans="20:20" hidden="1">
      <c r="T11648" t="str">
        <f>IF(C11648="","",UPPER(LEFT(SUBSTITUTE(C11648," ",""),3))&amp;"-"&amp;TEXT(B11648,"AAMMDD")&amp;"-1")</f>
        <v/>
      </c>
    </row>
    <row r="11649" spans="20:20" hidden="1">
      <c r="T11649" t="str">
        <f>IF(C11649="","",UPPER(LEFT(SUBSTITUTE(C11649," ",""),3))&amp;"-"&amp;TEXT(B11649,"AAMMDD")&amp;"-1")</f>
        <v/>
      </c>
    </row>
    <row r="11650" spans="20:20" hidden="1">
      <c r="T11650" t="str">
        <f>IF(C11650="","",UPPER(LEFT(SUBSTITUTE(C11650," ",""),3))&amp;"-"&amp;TEXT(B11650,"AAMMDD")&amp;"-1")</f>
        <v/>
      </c>
    </row>
    <row r="11651" spans="20:20" hidden="1">
      <c r="T11651" t="str">
        <f>IF(C11651="","",UPPER(LEFT(SUBSTITUTE(C11651," ",""),3))&amp;"-"&amp;TEXT(B11651,"AAMMDD")&amp;"-1")</f>
        <v/>
      </c>
    </row>
    <row r="11652" spans="20:20" hidden="1">
      <c r="T11652" t="str">
        <f>IF(C11652="","",UPPER(LEFT(SUBSTITUTE(C11652," ",""),3))&amp;"-"&amp;TEXT(B11652,"AAMMDD")&amp;"-1")</f>
        <v/>
      </c>
    </row>
    <row r="11653" spans="20:20" hidden="1">
      <c r="T11653" t="str">
        <f>IF(C11653="","",UPPER(LEFT(SUBSTITUTE(C11653," ",""),3))&amp;"-"&amp;TEXT(B11653,"AAMMDD")&amp;"-1")</f>
        <v/>
      </c>
    </row>
    <row r="11654" spans="20:20" hidden="1">
      <c r="T11654" t="str">
        <f>IF(C11654="","",UPPER(LEFT(SUBSTITUTE(C11654," ",""),3))&amp;"-"&amp;TEXT(B11654,"AAMMDD")&amp;"-1")</f>
        <v/>
      </c>
    </row>
    <row r="11655" spans="20:20" hidden="1">
      <c r="T11655" t="str">
        <f>IF(C11655="","",UPPER(LEFT(SUBSTITUTE(C11655," ",""),3))&amp;"-"&amp;TEXT(B11655,"AAMMDD")&amp;"-1")</f>
        <v/>
      </c>
    </row>
    <row r="11656" spans="20:20" hidden="1">
      <c r="T11656" t="str">
        <f>IF(C11656="","",UPPER(LEFT(SUBSTITUTE(C11656," ",""),3))&amp;"-"&amp;TEXT(B11656,"AAMMDD")&amp;"-1")</f>
        <v/>
      </c>
    </row>
    <row r="11657" spans="20:20" hidden="1">
      <c r="T11657" t="str">
        <f>IF(C11657="","",UPPER(LEFT(SUBSTITUTE(C11657," ",""),3))&amp;"-"&amp;TEXT(B11657,"AAMMDD")&amp;"-1")</f>
        <v/>
      </c>
    </row>
    <row r="11658" spans="20:20" hidden="1">
      <c r="T11658" t="str">
        <f>IF(C11658="","",UPPER(LEFT(SUBSTITUTE(C11658," ",""),3))&amp;"-"&amp;TEXT(B11658,"AAMMDD")&amp;"-1")</f>
        <v/>
      </c>
    </row>
    <row r="11659" spans="20:20" hidden="1">
      <c r="T11659" t="str">
        <f>IF(C11659="","",UPPER(LEFT(SUBSTITUTE(C11659," ",""),3))&amp;"-"&amp;TEXT(B11659,"AAMMDD")&amp;"-1")</f>
        <v/>
      </c>
    </row>
    <row r="11660" spans="20:20" hidden="1">
      <c r="T11660" t="str">
        <f>IF(C11660="","",UPPER(LEFT(SUBSTITUTE(C11660," ",""),3))&amp;"-"&amp;TEXT(B11660,"AAMMDD")&amp;"-1")</f>
        <v/>
      </c>
    </row>
    <row r="11661" spans="20:20" hidden="1">
      <c r="T11661" t="str">
        <f>IF(C11661="","",UPPER(LEFT(SUBSTITUTE(C11661," ",""),3))&amp;"-"&amp;TEXT(B11661,"AAMMDD")&amp;"-1")</f>
        <v/>
      </c>
    </row>
    <row r="11662" spans="20:20" hidden="1">
      <c r="T11662" t="str">
        <f>IF(C11662="","",UPPER(LEFT(SUBSTITUTE(C11662," ",""),3))&amp;"-"&amp;TEXT(B11662,"AAMMDD")&amp;"-1")</f>
        <v/>
      </c>
    </row>
    <row r="11663" spans="20:20" hidden="1">
      <c r="T11663" t="str">
        <f>IF(C11663="","",UPPER(LEFT(SUBSTITUTE(C11663," ",""),3))&amp;"-"&amp;TEXT(B11663,"AAMMDD")&amp;"-1")</f>
        <v/>
      </c>
    </row>
    <row r="11664" spans="20:20" hidden="1">
      <c r="T11664" t="str">
        <f>IF(C11664="","",UPPER(LEFT(SUBSTITUTE(C11664," ",""),3))&amp;"-"&amp;TEXT(B11664,"AAMMDD")&amp;"-1")</f>
        <v/>
      </c>
    </row>
    <row r="11665" spans="20:20" hidden="1">
      <c r="T11665" t="str">
        <f>IF(C11665="","",UPPER(LEFT(SUBSTITUTE(C11665," ",""),3))&amp;"-"&amp;TEXT(B11665,"AAMMDD")&amp;"-1")</f>
        <v/>
      </c>
    </row>
    <row r="11666" spans="20:20" hidden="1">
      <c r="T11666" t="str">
        <f>IF(C11666="","",UPPER(LEFT(SUBSTITUTE(C11666," ",""),3))&amp;"-"&amp;TEXT(B11666,"AAMMDD")&amp;"-1")</f>
        <v/>
      </c>
    </row>
    <row r="11667" spans="20:20" hidden="1">
      <c r="T11667" t="str">
        <f>IF(C11667="","",UPPER(LEFT(SUBSTITUTE(C11667," ",""),3))&amp;"-"&amp;TEXT(B11667,"AAMMDD")&amp;"-1")</f>
        <v/>
      </c>
    </row>
    <row r="11668" spans="20:20" hidden="1">
      <c r="T11668" t="str">
        <f>IF(C11668="","",UPPER(LEFT(SUBSTITUTE(C11668," ",""),3))&amp;"-"&amp;TEXT(B11668,"AAMMDD")&amp;"-1")</f>
        <v/>
      </c>
    </row>
    <row r="11669" spans="20:20" hidden="1">
      <c r="T11669" t="str">
        <f>IF(C11669="","",UPPER(LEFT(SUBSTITUTE(C11669," ",""),3))&amp;"-"&amp;TEXT(B11669,"AAMMDD")&amp;"-1")</f>
        <v/>
      </c>
    </row>
    <row r="11670" spans="20:20" hidden="1">
      <c r="T11670" t="str">
        <f>IF(C11670="","",UPPER(LEFT(SUBSTITUTE(C11670," ",""),3))&amp;"-"&amp;TEXT(B11670,"AAMMDD")&amp;"-1")</f>
        <v/>
      </c>
    </row>
    <row r="11671" spans="20:20" hidden="1">
      <c r="T11671" t="str">
        <f>IF(C11671="","",UPPER(LEFT(SUBSTITUTE(C11671," ",""),3))&amp;"-"&amp;TEXT(B11671,"AAMMDD")&amp;"-1")</f>
        <v/>
      </c>
    </row>
    <row r="11672" spans="20:20" hidden="1">
      <c r="T11672" t="str">
        <f>IF(C11672="","",UPPER(LEFT(SUBSTITUTE(C11672," ",""),3))&amp;"-"&amp;TEXT(B11672,"AAMMDD")&amp;"-1")</f>
        <v/>
      </c>
    </row>
    <row r="11673" spans="20:20" hidden="1">
      <c r="T11673" t="str">
        <f>IF(C11673="","",UPPER(LEFT(SUBSTITUTE(C11673," ",""),3))&amp;"-"&amp;TEXT(B11673,"AAMMDD")&amp;"-1")</f>
        <v/>
      </c>
    </row>
    <row r="11674" spans="20:20" hidden="1">
      <c r="T11674" t="str">
        <f>IF(C11674="","",UPPER(LEFT(SUBSTITUTE(C11674," ",""),3))&amp;"-"&amp;TEXT(B11674,"AAMMDD")&amp;"-1")</f>
        <v/>
      </c>
    </row>
    <row r="11675" spans="20:20" hidden="1">
      <c r="T11675" t="str">
        <f>IF(C11675="","",UPPER(LEFT(SUBSTITUTE(C11675," ",""),3))&amp;"-"&amp;TEXT(B11675,"AAMMDD")&amp;"-1")</f>
        <v/>
      </c>
    </row>
    <row r="11676" spans="20:20" hidden="1">
      <c r="T11676" t="str">
        <f>IF(C11676="","",UPPER(LEFT(SUBSTITUTE(C11676," ",""),3))&amp;"-"&amp;TEXT(B11676,"AAMMDD")&amp;"-1")</f>
        <v/>
      </c>
    </row>
    <row r="11677" spans="20:20" hidden="1">
      <c r="T11677" t="str">
        <f>IF(C11677="","",UPPER(LEFT(SUBSTITUTE(C11677," ",""),3))&amp;"-"&amp;TEXT(B11677,"AAMMDD")&amp;"-1")</f>
        <v/>
      </c>
    </row>
    <row r="11678" spans="20:20" hidden="1">
      <c r="T11678" t="str">
        <f>IF(C11678="","",UPPER(LEFT(SUBSTITUTE(C11678," ",""),3))&amp;"-"&amp;TEXT(B11678,"AAMMDD")&amp;"-1")</f>
        <v/>
      </c>
    </row>
    <row r="11679" spans="20:20" hidden="1">
      <c r="T11679" t="str">
        <f>IF(C11679="","",UPPER(LEFT(SUBSTITUTE(C11679," ",""),3))&amp;"-"&amp;TEXT(B11679,"AAMMDD")&amp;"-1")</f>
        <v/>
      </c>
    </row>
    <row r="11680" spans="20:20" hidden="1">
      <c r="T11680" t="str">
        <f>IF(C11680="","",UPPER(LEFT(SUBSTITUTE(C11680," ",""),3))&amp;"-"&amp;TEXT(B11680,"AAMMDD")&amp;"-1")</f>
        <v/>
      </c>
    </row>
    <row r="11681" spans="20:20" hidden="1">
      <c r="T11681" t="str">
        <f>IF(C11681="","",UPPER(LEFT(SUBSTITUTE(C11681," ",""),3))&amp;"-"&amp;TEXT(B11681,"AAMMDD")&amp;"-1")</f>
        <v/>
      </c>
    </row>
    <row r="11682" spans="20:20" hidden="1">
      <c r="T11682" t="str">
        <f>IF(C11682="","",UPPER(LEFT(SUBSTITUTE(C11682," ",""),3))&amp;"-"&amp;TEXT(B11682,"AAMMDD")&amp;"-1")</f>
        <v/>
      </c>
    </row>
    <row r="11683" spans="20:20" hidden="1">
      <c r="T11683" t="str">
        <f>IF(C11683="","",UPPER(LEFT(SUBSTITUTE(C11683," ",""),3))&amp;"-"&amp;TEXT(B11683,"AAMMDD")&amp;"-1")</f>
        <v/>
      </c>
    </row>
    <row r="11684" spans="20:20" hidden="1">
      <c r="T11684" t="str">
        <f>IF(C11684="","",UPPER(LEFT(SUBSTITUTE(C11684," ",""),3))&amp;"-"&amp;TEXT(B11684,"AAMMDD")&amp;"-1")</f>
        <v/>
      </c>
    </row>
    <row r="11685" spans="20:20" hidden="1">
      <c r="T11685" t="str">
        <f>IF(C11685="","",UPPER(LEFT(SUBSTITUTE(C11685," ",""),3))&amp;"-"&amp;TEXT(B11685,"AAMMDD")&amp;"-1")</f>
        <v/>
      </c>
    </row>
    <row r="11686" spans="20:20" hidden="1">
      <c r="T11686" t="str">
        <f>IF(C11686="","",UPPER(LEFT(SUBSTITUTE(C11686," ",""),3))&amp;"-"&amp;TEXT(B11686,"AAMMDD")&amp;"-1")</f>
        <v/>
      </c>
    </row>
    <row r="11687" spans="20:20" hidden="1">
      <c r="T11687" t="str">
        <f>IF(C11687="","",UPPER(LEFT(SUBSTITUTE(C11687," ",""),3))&amp;"-"&amp;TEXT(B11687,"AAMMDD")&amp;"-1")</f>
        <v/>
      </c>
    </row>
    <row r="11688" spans="20:20" hidden="1">
      <c r="T11688" t="str">
        <f>IF(C11688="","",UPPER(LEFT(SUBSTITUTE(C11688," ",""),3))&amp;"-"&amp;TEXT(B11688,"AAMMDD")&amp;"-1")</f>
        <v/>
      </c>
    </row>
    <row r="11689" spans="20:20" hidden="1">
      <c r="T11689" t="str">
        <f>IF(C11689="","",UPPER(LEFT(SUBSTITUTE(C11689," ",""),3))&amp;"-"&amp;TEXT(B11689,"AAMMDD")&amp;"-1")</f>
        <v/>
      </c>
    </row>
    <row r="11690" spans="20:20" hidden="1">
      <c r="T11690" t="str">
        <f>IF(C11690="","",UPPER(LEFT(SUBSTITUTE(C11690," ",""),3))&amp;"-"&amp;TEXT(B11690,"AAMMDD")&amp;"-1")</f>
        <v/>
      </c>
    </row>
    <row r="11691" spans="20:20" hidden="1">
      <c r="T11691" t="str">
        <f>IF(C11691="","",UPPER(LEFT(SUBSTITUTE(C11691," ",""),3))&amp;"-"&amp;TEXT(B11691,"AAMMDD")&amp;"-1")</f>
        <v/>
      </c>
    </row>
    <row r="11692" spans="20:20" hidden="1">
      <c r="T11692" t="str">
        <f>IF(C11692="","",UPPER(LEFT(SUBSTITUTE(C11692," ",""),3))&amp;"-"&amp;TEXT(B11692,"AAMMDD")&amp;"-1")</f>
        <v/>
      </c>
    </row>
    <row r="11693" spans="20:20" hidden="1">
      <c r="T11693" t="str">
        <f>IF(C11693="","",UPPER(LEFT(SUBSTITUTE(C11693," ",""),3))&amp;"-"&amp;TEXT(B11693,"AAMMDD")&amp;"-1")</f>
        <v/>
      </c>
    </row>
    <row r="11694" spans="20:20" hidden="1">
      <c r="T11694" t="str">
        <f>IF(C11694="","",UPPER(LEFT(SUBSTITUTE(C11694," ",""),3))&amp;"-"&amp;TEXT(B11694,"AAMMDD")&amp;"-1")</f>
        <v/>
      </c>
    </row>
    <row r="11695" spans="20:20" hidden="1">
      <c r="T11695" t="str">
        <f>IF(C11695="","",UPPER(LEFT(SUBSTITUTE(C11695," ",""),3))&amp;"-"&amp;TEXT(B11695,"AAMMDD")&amp;"-1")</f>
        <v/>
      </c>
    </row>
    <row r="11696" spans="20:20" hidden="1">
      <c r="T11696" t="str">
        <f>IF(C11696="","",UPPER(LEFT(SUBSTITUTE(C11696," ",""),3))&amp;"-"&amp;TEXT(B11696,"AAMMDD")&amp;"-1")</f>
        <v/>
      </c>
    </row>
    <row r="11697" spans="20:20" hidden="1">
      <c r="T11697" t="str">
        <f>IF(C11697="","",UPPER(LEFT(SUBSTITUTE(C11697," ",""),3))&amp;"-"&amp;TEXT(B11697,"AAMMDD")&amp;"-1")</f>
        <v/>
      </c>
    </row>
    <row r="11698" spans="20:20" hidden="1">
      <c r="T11698" t="str">
        <f>IF(C11698="","",UPPER(LEFT(SUBSTITUTE(C11698," ",""),3))&amp;"-"&amp;TEXT(B11698,"AAMMDD")&amp;"-1")</f>
        <v/>
      </c>
    </row>
    <row r="11699" spans="20:20" hidden="1">
      <c r="T11699" t="str">
        <f>IF(C11699="","",UPPER(LEFT(SUBSTITUTE(C11699," ",""),3))&amp;"-"&amp;TEXT(B11699,"AAMMDD")&amp;"-1")</f>
        <v/>
      </c>
    </row>
    <row r="11700" spans="20:20" hidden="1">
      <c r="T11700" t="str">
        <f>IF(C11700="","",UPPER(LEFT(SUBSTITUTE(C11700," ",""),3))&amp;"-"&amp;TEXT(B11700,"AAMMDD")&amp;"-1")</f>
        <v/>
      </c>
    </row>
    <row r="11701" spans="20:20" hidden="1">
      <c r="T11701" t="str">
        <f>IF(C11701="","",UPPER(LEFT(SUBSTITUTE(C11701," ",""),3))&amp;"-"&amp;TEXT(B11701,"AAMMDD")&amp;"-1")</f>
        <v/>
      </c>
    </row>
    <row r="11702" spans="20:20" hidden="1">
      <c r="T11702" t="str">
        <f>IF(C11702="","",UPPER(LEFT(SUBSTITUTE(C11702," ",""),3))&amp;"-"&amp;TEXT(B11702,"AAMMDD")&amp;"-1")</f>
        <v/>
      </c>
    </row>
    <row r="11703" spans="20:20" hidden="1">
      <c r="T11703" t="str">
        <f>IF(C11703="","",UPPER(LEFT(SUBSTITUTE(C11703," ",""),3))&amp;"-"&amp;TEXT(B11703,"AAMMDD")&amp;"-1")</f>
        <v/>
      </c>
    </row>
    <row r="11704" spans="20:20" hidden="1">
      <c r="T11704" t="str">
        <f>IF(C11704="","",UPPER(LEFT(SUBSTITUTE(C11704," ",""),3))&amp;"-"&amp;TEXT(B11704,"AAMMDD")&amp;"-1")</f>
        <v/>
      </c>
    </row>
    <row r="11705" spans="20:20" hidden="1">
      <c r="T11705" t="str">
        <f>IF(C11705="","",UPPER(LEFT(SUBSTITUTE(C11705," ",""),3))&amp;"-"&amp;TEXT(B11705,"AAMMDD")&amp;"-1")</f>
        <v/>
      </c>
    </row>
    <row r="11706" spans="20:20" hidden="1">
      <c r="T11706" t="str">
        <f>IF(C11706="","",UPPER(LEFT(SUBSTITUTE(C11706," ",""),3))&amp;"-"&amp;TEXT(B11706,"AAMMDD")&amp;"-1")</f>
        <v/>
      </c>
    </row>
    <row r="11707" spans="20:20" hidden="1">
      <c r="T11707" t="str">
        <f>IF(C11707="","",UPPER(LEFT(SUBSTITUTE(C11707," ",""),3))&amp;"-"&amp;TEXT(B11707,"AAMMDD")&amp;"-1")</f>
        <v/>
      </c>
    </row>
    <row r="11708" spans="20:20" hidden="1">
      <c r="T11708" t="str">
        <f>IF(C11708="","",UPPER(LEFT(SUBSTITUTE(C11708," ",""),3))&amp;"-"&amp;TEXT(B11708,"AAMMDD")&amp;"-1")</f>
        <v/>
      </c>
    </row>
    <row r="11709" spans="20:20" hidden="1">
      <c r="T11709" t="str">
        <f>IF(C11709="","",UPPER(LEFT(SUBSTITUTE(C11709," ",""),3))&amp;"-"&amp;TEXT(B11709,"AAMMDD")&amp;"-1")</f>
        <v/>
      </c>
    </row>
    <row r="11710" spans="20:20" hidden="1">
      <c r="T11710" t="str">
        <f>IF(C11710="","",UPPER(LEFT(SUBSTITUTE(C11710," ",""),3))&amp;"-"&amp;TEXT(B11710,"AAMMDD")&amp;"-1")</f>
        <v/>
      </c>
    </row>
    <row r="11711" spans="20:20" hidden="1">
      <c r="T11711" t="str">
        <f>IF(C11711="","",UPPER(LEFT(SUBSTITUTE(C11711," ",""),3))&amp;"-"&amp;TEXT(B11711,"AAMMDD")&amp;"-1")</f>
        <v/>
      </c>
    </row>
    <row r="11712" spans="20:20" hidden="1">
      <c r="T11712" t="str">
        <f>IF(C11712="","",UPPER(LEFT(SUBSTITUTE(C11712," ",""),3))&amp;"-"&amp;TEXT(B11712,"AAMMDD")&amp;"-1")</f>
        <v/>
      </c>
    </row>
    <row r="11713" spans="20:20" hidden="1">
      <c r="T11713" t="str">
        <f>IF(C11713="","",UPPER(LEFT(SUBSTITUTE(C11713," ",""),3))&amp;"-"&amp;TEXT(B11713,"AAMMDD")&amp;"-1")</f>
        <v/>
      </c>
    </row>
    <row r="11714" spans="20:20" hidden="1">
      <c r="T11714" t="str">
        <f>IF(C11714="","",UPPER(LEFT(SUBSTITUTE(C11714," ",""),3))&amp;"-"&amp;TEXT(B11714,"AAMMDD")&amp;"-1")</f>
        <v/>
      </c>
    </row>
    <row r="11715" spans="20:20" hidden="1">
      <c r="T11715" t="str">
        <f>IF(C11715="","",UPPER(LEFT(SUBSTITUTE(C11715," ",""),3))&amp;"-"&amp;TEXT(B11715,"AAMMDD")&amp;"-1")</f>
        <v/>
      </c>
    </row>
    <row r="11716" spans="20:20" hidden="1">
      <c r="T11716" t="str">
        <f>IF(C11716="","",UPPER(LEFT(SUBSTITUTE(C11716," ",""),3))&amp;"-"&amp;TEXT(B11716,"AAMMDD")&amp;"-1")</f>
        <v/>
      </c>
    </row>
    <row r="11717" spans="20:20" hidden="1">
      <c r="T11717" t="str">
        <f>IF(C11717="","",UPPER(LEFT(SUBSTITUTE(C11717," ",""),3))&amp;"-"&amp;TEXT(B11717,"AAMMDD")&amp;"-1")</f>
        <v/>
      </c>
    </row>
    <row r="11718" spans="20:20" hidden="1">
      <c r="T11718" t="str">
        <f>IF(C11718="","",UPPER(LEFT(SUBSTITUTE(C11718," ",""),3))&amp;"-"&amp;TEXT(B11718,"AAMMDD")&amp;"-1")</f>
        <v/>
      </c>
    </row>
    <row r="11719" spans="20:20" hidden="1">
      <c r="T11719" t="str">
        <f>IF(C11719="","",UPPER(LEFT(SUBSTITUTE(C11719," ",""),3))&amp;"-"&amp;TEXT(B11719,"AAMMDD")&amp;"-1")</f>
        <v/>
      </c>
    </row>
    <row r="11720" spans="20:20" hidden="1">
      <c r="T11720" t="str">
        <f>IF(C11720="","",UPPER(LEFT(SUBSTITUTE(C11720," ",""),3))&amp;"-"&amp;TEXT(B11720,"AAMMDD")&amp;"-1")</f>
        <v/>
      </c>
    </row>
    <row r="11721" spans="20:20" hidden="1">
      <c r="T11721" t="str">
        <f>IF(C11721="","",UPPER(LEFT(SUBSTITUTE(C11721," ",""),3))&amp;"-"&amp;TEXT(B11721,"AAMMDD")&amp;"-1")</f>
        <v/>
      </c>
    </row>
    <row r="11722" spans="20:20" hidden="1">
      <c r="T11722" t="str">
        <f>IF(C11722="","",UPPER(LEFT(SUBSTITUTE(C11722," ",""),3))&amp;"-"&amp;TEXT(B11722,"AAMMDD")&amp;"-1")</f>
        <v/>
      </c>
    </row>
    <row r="11723" spans="20:20" hidden="1">
      <c r="T11723" t="str">
        <f>IF(C11723="","",UPPER(LEFT(SUBSTITUTE(C11723," ",""),3))&amp;"-"&amp;TEXT(B11723,"AAMMDD")&amp;"-1")</f>
        <v/>
      </c>
    </row>
    <row r="11724" spans="20:20" hidden="1">
      <c r="T11724" t="str">
        <f>IF(C11724="","",UPPER(LEFT(SUBSTITUTE(C11724," ",""),3))&amp;"-"&amp;TEXT(B11724,"AAMMDD")&amp;"-1")</f>
        <v/>
      </c>
    </row>
    <row r="11725" spans="20:20" hidden="1">
      <c r="T11725" t="str">
        <f>IF(C11725="","",UPPER(LEFT(SUBSTITUTE(C11725," ",""),3))&amp;"-"&amp;TEXT(B11725,"AAMMDD")&amp;"-1")</f>
        <v/>
      </c>
    </row>
    <row r="11726" spans="20:20" hidden="1">
      <c r="T11726" t="str">
        <f>IF(C11726="","",UPPER(LEFT(SUBSTITUTE(C11726," ",""),3))&amp;"-"&amp;TEXT(B11726,"AAMMDD")&amp;"-1")</f>
        <v/>
      </c>
    </row>
    <row r="11727" spans="20:20" hidden="1">
      <c r="T11727" t="str">
        <f>IF(C11727="","",UPPER(LEFT(SUBSTITUTE(C11727," ",""),3))&amp;"-"&amp;TEXT(B11727,"AAMMDD")&amp;"-1")</f>
        <v/>
      </c>
    </row>
    <row r="11728" spans="20:20" hidden="1">
      <c r="T11728" t="str">
        <f>IF(C11728="","",UPPER(LEFT(SUBSTITUTE(C11728," ",""),3))&amp;"-"&amp;TEXT(B11728,"AAMMDD")&amp;"-1")</f>
        <v/>
      </c>
    </row>
    <row r="11729" spans="20:20" hidden="1">
      <c r="T11729" t="str">
        <f>IF(C11729="","",UPPER(LEFT(SUBSTITUTE(C11729," ",""),3))&amp;"-"&amp;TEXT(B11729,"AAMMDD")&amp;"-1")</f>
        <v/>
      </c>
    </row>
    <row r="11730" spans="20:20" hidden="1">
      <c r="T11730" t="str">
        <f>IF(C11730="","",UPPER(LEFT(SUBSTITUTE(C11730," ",""),3))&amp;"-"&amp;TEXT(B11730,"AAMMDD")&amp;"-1")</f>
        <v/>
      </c>
    </row>
    <row r="11731" spans="20:20" hidden="1">
      <c r="T11731" t="str">
        <f>IF(C11731="","",UPPER(LEFT(SUBSTITUTE(C11731," ",""),3))&amp;"-"&amp;TEXT(B11731,"AAMMDD")&amp;"-1")</f>
        <v/>
      </c>
    </row>
    <row r="11732" spans="20:20" hidden="1">
      <c r="T11732" t="str">
        <f>IF(C11732="","",UPPER(LEFT(SUBSTITUTE(C11732," ",""),3))&amp;"-"&amp;TEXT(B11732,"AAMMDD")&amp;"-1")</f>
        <v/>
      </c>
    </row>
    <row r="11733" spans="20:20" hidden="1">
      <c r="T11733" t="str">
        <f>IF(C11733="","",UPPER(LEFT(SUBSTITUTE(C11733," ",""),3))&amp;"-"&amp;TEXT(B11733,"AAMMDD")&amp;"-1")</f>
        <v/>
      </c>
    </row>
    <row r="11734" spans="20:20" hidden="1">
      <c r="T11734" t="str">
        <f>IF(C11734="","",UPPER(LEFT(SUBSTITUTE(C11734," ",""),3))&amp;"-"&amp;TEXT(B11734,"AAMMDD")&amp;"-1")</f>
        <v/>
      </c>
    </row>
    <row r="11735" spans="20:20" hidden="1">
      <c r="T11735" t="str">
        <f>IF(C11735="","",UPPER(LEFT(SUBSTITUTE(C11735," ",""),3))&amp;"-"&amp;TEXT(B11735,"AAMMDD")&amp;"-1")</f>
        <v/>
      </c>
    </row>
    <row r="11736" spans="20:20" hidden="1">
      <c r="T11736" t="str">
        <f>IF(C11736="","",UPPER(LEFT(SUBSTITUTE(C11736," ",""),3))&amp;"-"&amp;TEXT(B11736,"AAMMDD")&amp;"-1")</f>
        <v/>
      </c>
    </row>
    <row r="11737" spans="20:20" hidden="1">
      <c r="T11737" t="str">
        <f>IF(C11737="","",UPPER(LEFT(SUBSTITUTE(C11737," ",""),3))&amp;"-"&amp;TEXT(B11737,"AAMMDD")&amp;"-1")</f>
        <v/>
      </c>
    </row>
    <row r="11738" spans="20:20" hidden="1">
      <c r="T11738" t="str">
        <f>IF(C11738="","",UPPER(LEFT(SUBSTITUTE(C11738," ",""),3))&amp;"-"&amp;TEXT(B11738,"AAMMDD")&amp;"-1")</f>
        <v/>
      </c>
    </row>
    <row r="11739" spans="20:20" hidden="1">
      <c r="T11739" t="str">
        <f>IF(C11739="","",UPPER(LEFT(SUBSTITUTE(C11739," ",""),3))&amp;"-"&amp;TEXT(B11739,"AAMMDD")&amp;"-1")</f>
        <v/>
      </c>
    </row>
    <row r="11740" spans="20:20" hidden="1">
      <c r="T11740" t="str">
        <f>IF(C11740="","",UPPER(LEFT(SUBSTITUTE(C11740," ",""),3))&amp;"-"&amp;TEXT(B11740,"AAMMDD")&amp;"-1")</f>
        <v/>
      </c>
    </row>
    <row r="11741" spans="20:20" hidden="1">
      <c r="T11741" t="str">
        <f>IF(C11741="","",UPPER(LEFT(SUBSTITUTE(C11741," ",""),3))&amp;"-"&amp;TEXT(B11741,"AAMMDD")&amp;"-1")</f>
        <v/>
      </c>
    </row>
    <row r="11742" spans="20:20" hidden="1">
      <c r="T11742" t="str">
        <f>IF(C11742="","",UPPER(LEFT(SUBSTITUTE(C11742," ",""),3))&amp;"-"&amp;TEXT(B11742,"AAMMDD")&amp;"-1")</f>
        <v/>
      </c>
    </row>
    <row r="11743" spans="20:20" hidden="1">
      <c r="T11743" t="str">
        <f>IF(C11743="","",UPPER(LEFT(SUBSTITUTE(C11743," ",""),3))&amp;"-"&amp;TEXT(B11743,"AAMMDD")&amp;"-1")</f>
        <v/>
      </c>
    </row>
    <row r="11744" spans="20:20" hidden="1">
      <c r="T11744" t="str">
        <f>IF(C11744="","",UPPER(LEFT(SUBSTITUTE(C11744," ",""),3))&amp;"-"&amp;TEXT(B11744,"AAMMDD")&amp;"-1")</f>
        <v/>
      </c>
    </row>
    <row r="11745" spans="20:20" hidden="1">
      <c r="T11745" t="str">
        <f>IF(C11745="","",UPPER(LEFT(SUBSTITUTE(C11745," ",""),3))&amp;"-"&amp;TEXT(B11745,"AAMMDD")&amp;"-1")</f>
        <v/>
      </c>
    </row>
    <row r="11746" spans="20:20" hidden="1">
      <c r="T11746" t="str">
        <f>IF(C11746="","",UPPER(LEFT(SUBSTITUTE(C11746," ",""),3))&amp;"-"&amp;TEXT(B11746,"AAMMDD")&amp;"-1")</f>
        <v/>
      </c>
    </row>
    <row r="11747" spans="20:20" hidden="1">
      <c r="T11747" t="str">
        <f>IF(C11747="","",UPPER(LEFT(SUBSTITUTE(C11747," ",""),3))&amp;"-"&amp;TEXT(B11747,"AAMMDD")&amp;"-1")</f>
        <v/>
      </c>
    </row>
    <row r="11748" spans="20:20" hidden="1">
      <c r="T11748" t="str">
        <f>IF(C11748="","",UPPER(LEFT(SUBSTITUTE(C11748," ",""),3))&amp;"-"&amp;TEXT(B11748,"AAMMDD")&amp;"-1")</f>
        <v/>
      </c>
    </row>
    <row r="11749" spans="20:20" hidden="1">
      <c r="T11749" t="str">
        <f>IF(C11749="","",UPPER(LEFT(SUBSTITUTE(C11749," ",""),3))&amp;"-"&amp;TEXT(B11749,"AAMMDD")&amp;"-1")</f>
        <v/>
      </c>
    </row>
    <row r="11750" spans="20:20" hidden="1">
      <c r="T11750" t="str">
        <f>IF(C11750="","",UPPER(LEFT(SUBSTITUTE(C11750," ",""),3))&amp;"-"&amp;TEXT(B11750,"AAMMDD")&amp;"-1")</f>
        <v/>
      </c>
    </row>
    <row r="11751" spans="20:20" hidden="1">
      <c r="T11751" t="str">
        <f>IF(C11751="","",UPPER(LEFT(SUBSTITUTE(C11751," ",""),3))&amp;"-"&amp;TEXT(B11751,"AAMMDD")&amp;"-1")</f>
        <v/>
      </c>
    </row>
    <row r="11752" spans="20:20" hidden="1">
      <c r="T11752" t="str">
        <f>IF(C11752="","",UPPER(LEFT(SUBSTITUTE(C11752," ",""),3))&amp;"-"&amp;TEXT(B11752,"AAMMDD")&amp;"-1")</f>
        <v/>
      </c>
    </row>
    <row r="11753" spans="20:20" hidden="1">
      <c r="T11753" t="str">
        <f>IF(C11753="","",UPPER(LEFT(SUBSTITUTE(C11753," ",""),3))&amp;"-"&amp;TEXT(B11753,"AAMMDD")&amp;"-1")</f>
        <v/>
      </c>
    </row>
    <row r="11754" spans="20:20" hidden="1">
      <c r="T11754" t="str">
        <f>IF(C11754="","",UPPER(LEFT(SUBSTITUTE(C11754," ",""),3))&amp;"-"&amp;TEXT(B11754,"AAMMDD")&amp;"-1")</f>
        <v/>
      </c>
    </row>
    <row r="11755" spans="20:20" hidden="1">
      <c r="T11755" t="str">
        <f>IF(C11755="","",UPPER(LEFT(SUBSTITUTE(C11755," ",""),3))&amp;"-"&amp;TEXT(B11755,"AAMMDD")&amp;"-1")</f>
        <v/>
      </c>
    </row>
    <row r="11756" spans="20:20" hidden="1">
      <c r="T11756" t="str">
        <f>IF(C11756="","",UPPER(LEFT(SUBSTITUTE(C11756," ",""),3))&amp;"-"&amp;TEXT(B11756,"AAMMDD")&amp;"-1")</f>
        <v/>
      </c>
    </row>
    <row r="11757" spans="20:20" hidden="1">
      <c r="T11757" t="str">
        <f>IF(C11757="","",UPPER(LEFT(SUBSTITUTE(C11757," ",""),3))&amp;"-"&amp;TEXT(B11757,"AAMMDD")&amp;"-1")</f>
        <v/>
      </c>
    </row>
    <row r="11758" spans="20:20" hidden="1">
      <c r="T11758" t="str">
        <f>IF(C11758="","",UPPER(LEFT(SUBSTITUTE(C11758," ",""),3))&amp;"-"&amp;TEXT(B11758,"AAMMDD")&amp;"-1")</f>
        <v/>
      </c>
    </row>
    <row r="11759" spans="20:20" hidden="1">
      <c r="T11759" t="str">
        <f>IF(C11759="","",UPPER(LEFT(SUBSTITUTE(C11759," ",""),3))&amp;"-"&amp;TEXT(B11759,"AAMMDD")&amp;"-1")</f>
        <v/>
      </c>
    </row>
    <row r="11760" spans="20:20" hidden="1">
      <c r="T11760" t="str">
        <f>IF(C11760="","",UPPER(LEFT(SUBSTITUTE(C11760," ",""),3))&amp;"-"&amp;TEXT(B11760,"AAMMDD")&amp;"-1")</f>
        <v/>
      </c>
    </row>
    <row r="11761" spans="20:20" hidden="1">
      <c r="T11761" t="str">
        <f>IF(C11761="","",UPPER(LEFT(SUBSTITUTE(C11761," ",""),3))&amp;"-"&amp;TEXT(B11761,"AAMMDD")&amp;"-1")</f>
        <v/>
      </c>
    </row>
    <row r="11762" spans="20:20" hidden="1">
      <c r="T11762" t="str">
        <f>IF(C11762="","",UPPER(LEFT(SUBSTITUTE(C11762," ",""),3))&amp;"-"&amp;TEXT(B11762,"AAMMDD")&amp;"-1")</f>
        <v/>
      </c>
    </row>
    <row r="11763" spans="20:20" hidden="1">
      <c r="T11763" t="str">
        <f>IF(C11763="","",UPPER(LEFT(SUBSTITUTE(C11763," ",""),3))&amp;"-"&amp;TEXT(B11763,"AAMMDD")&amp;"-1")</f>
        <v/>
      </c>
    </row>
    <row r="11764" spans="20:20" hidden="1">
      <c r="T11764" t="str">
        <f>IF(C11764="","",UPPER(LEFT(SUBSTITUTE(C11764," ",""),3))&amp;"-"&amp;TEXT(B11764,"AAMMDD")&amp;"-1")</f>
        <v/>
      </c>
    </row>
    <row r="11765" spans="20:20" hidden="1">
      <c r="T11765" t="str">
        <f>IF(C11765="","",UPPER(LEFT(SUBSTITUTE(C11765," ",""),3))&amp;"-"&amp;TEXT(B11765,"AAMMDD")&amp;"-1")</f>
        <v/>
      </c>
    </row>
    <row r="11766" spans="20:20" hidden="1">
      <c r="T11766" t="str">
        <f>IF(C11766="","",UPPER(LEFT(SUBSTITUTE(C11766," ",""),3))&amp;"-"&amp;TEXT(B11766,"AAMMDD")&amp;"-1")</f>
        <v/>
      </c>
    </row>
    <row r="11767" spans="20:20" hidden="1">
      <c r="T11767" t="str">
        <f>IF(C11767="","",UPPER(LEFT(SUBSTITUTE(C11767," ",""),3))&amp;"-"&amp;TEXT(B11767,"AAMMDD")&amp;"-1")</f>
        <v/>
      </c>
    </row>
    <row r="11768" spans="20:20" hidden="1">
      <c r="T11768" t="str">
        <f>IF(C11768="","",UPPER(LEFT(SUBSTITUTE(C11768," ",""),3))&amp;"-"&amp;TEXT(B11768,"AAMMDD")&amp;"-1")</f>
        <v/>
      </c>
    </row>
    <row r="11769" spans="20:20" hidden="1">
      <c r="T11769" t="str">
        <f>IF(C11769="","",UPPER(LEFT(SUBSTITUTE(C11769," ",""),3))&amp;"-"&amp;TEXT(B11769,"AAMMDD")&amp;"-1")</f>
        <v/>
      </c>
    </row>
    <row r="11770" spans="20:20" hidden="1">
      <c r="T11770" t="str">
        <f>IF(C11770="","",UPPER(LEFT(SUBSTITUTE(C11770," ",""),3))&amp;"-"&amp;TEXT(B11770,"AAMMDD")&amp;"-1")</f>
        <v/>
      </c>
    </row>
    <row r="11771" spans="20:20" hidden="1">
      <c r="T11771" t="str">
        <f>IF(C11771="","",UPPER(LEFT(SUBSTITUTE(C11771," ",""),3))&amp;"-"&amp;TEXT(B11771,"AAMMDD")&amp;"-1")</f>
        <v/>
      </c>
    </row>
    <row r="11772" spans="20:20" hidden="1">
      <c r="T11772" t="str">
        <f>IF(C11772="","",UPPER(LEFT(SUBSTITUTE(C11772," ",""),3))&amp;"-"&amp;TEXT(B11772,"AAMMDD")&amp;"-1")</f>
        <v/>
      </c>
    </row>
    <row r="11773" spans="20:20" hidden="1">
      <c r="T11773" t="str">
        <f>IF(C11773="","",UPPER(LEFT(SUBSTITUTE(C11773," ",""),3))&amp;"-"&amp;TEXT(B11773,"AAMMDD")&amp;"-1")</f>
        <v/>
      </c>
    </row>
    <row r="11774" spans="20:20" hidden="1">
      <c r="T11774" t="str">
        <f>IF(C11774="","",UPPER(LEFT(SUBSTITUTE(C11774," ",""),3))&amp;"-"&amp;TEXT(B11774,"AAMMDD")&amp;"-1")</f>
        <v/>
      </c>
    </row>
    <row r="11775" spans="20:20" hidden="1">
      <c r="T11775" t="str">
        <f>IF(C11775="","",UPPER(LEFT(SUBSTITUTE(C11775," ",""),3))&amp;"-"&amp;TEXT(B11775,"AAMMDD")&amp;"-1")</f>
        <v/>
      </c>
    </row>
    <row r="11776" spans="20:20" hidden="1">
      <c r="T11776" t="str">
        <f>IF(C11776="","",UPPER(LEFT(SUBSTITUTE(C11776," ",""),3))&amp;"-"&amp;TEXT(B11776,"AAMMDD")&amp;"-1")</f>
        <v/>
      </c>
    </row>
    <row r="11777" spans="20:20" hidden="1">
      <c r="T11777" t="str">
        <f>IF(C11777="","",UPPER(LEFT(SUBSTITUTE(C11777," ",""),3))&amp;"-"&amp;TEXT(B11777,"AAMMDD")&amp;"-1")</f>
        <v/>
      </c>
    </row>
    <row r="11778" spans="20:20" hidden="1">
      <c r="T11778" t="str">
        <f>IF(C11778="","",UPPER(LEFT(SUBSTITUTE(C11778," ",""),3))&amp;"-"&amp;TEXT(B11778,"AAMMDD")&amp;"-1")</f>
        <v/>
      </c>
    </row>
    <row r="11779" spans="20:20" hidden="1">
      <c r="T11779" t="str">
        <f>IF(C11779="","",UPPER(LEFT(SUBSTITUTE(C11779," ",""),3))&amp;"-"&amp;TEXT(B11779,"AAMMDD")&amp;"-1")</f>
        <v/>
      </c>
    </row>
    <row r="11780" spans="20:20" hidden="1">
      <c r="T11780" t="str">
        <f>IF(C11780="","",UPPER(LEFT(SUBSTITUTE(C11780," ",""),3))&amp;"-"&amp;TEXT(B11780,"AAMMDD")&amp;"-1")</f>
        <v/>
      </c>
    </row>
    <row r="11781" spans="20:20" hidden="1">
      <c r="T11781" t="str">
        <f>IF(C11781="","",UPPER(LEFT(SUBSTITUTE(C11781," ",""),3))&amp;"-"&amp;TEXT(B11781,"AAMMDD")&amp;"-1")</f>
        <v/>
      </c>
    </row>
    <row r="11782" spans="20:20" hidden="1">
      <c r="T11782" t="str">
        <f>IF(C11782="","",UPPER(LEFT(SUBSTITUTE(C11782," ",""),3))&amp;"-"&amp;TEXT(B11782,"AAMMDD")&amp;"-1")</f>
        <v/>
      </c>
    </row>
    <row r="11783" spans="20:20" hidden="1">
      <c r="T11783" t="str">
        <f>IF(C11783="","",UPPER(LEFT(SUBSTITUTE(C11783," ",""),3))&amp;"-"&amp;TEXT(B11783,"AAMMDD")&amp;"-1")</f>
        <v/>
      </c>
    </row>
    <row r="11784" spans="20:20" hidden="1">
      <c r="T11784" t="str">
        <f>IF(C11784="","",UPPER(LEFT(SUBSTITUTE(C11784," ",""),3))&amp;"-"&amp;TEXT(B11784,"AAMMDD")&amp;"-1")</f>
        <v/>
      </c>
    </row>
    <row r="11785" spans="20:20" hidden="1">
      <c r="T11785" t="str">
        <f>IF(C11785="","",UPPER(LEFT(SUBSTITUTE(C11785," ",""),3))&amp;"-"&amp;TEXT(B11785,"AAMMDD")&amp;"-1")</f>
        <v/>
      </c>
    </row>
    <row r="11786" spans="20:20" hidden="1">
      <c r="T11786" t="str">
        <f>IF(C11786="","",UPPER(LEFT(SUBSTITUTE(C11786," ",""),3))&amp;"-"&amp;TEXT(B11786,"AAMMDD")&amp;"-1")</f>
        <v/>
      </c>
    </row>
    <row r="11787" spans="20:20" hidden="1">
      <c r="T11787" t="str">
        <f>IF(C11787="","",UPPER(LEFT(SUBSTITUTE(C11787," ",""),3))&amp;"-"&amp;TEXT(B11787,"AAMMDD")&amp;"-1")</f>
        <v/>
      </c>
    </row>
    <row r="11788" spans="20:20" hidden="1">
      <c r="T11788" t="str">
        <f>IF(C11788="","",UPPER(LEFT(SUBSTITUTE(C11788," ",""),3))&amp;"-"&amp;TEXT(B11788,"AAMMDD")&amp;"-1")</f>
        <v/>
      </c>
    </row>
    <row r="11789" spans="20:20" hidden="1">
      <c r="T11789" t="str">
        <f>IF(C11789="","",UPPER(LEFT(SUBSTITUTE(C11789," ",""),3))&amp;"-"&amp;TEXT(B11789,"AAMMDD")&amp;"-1")</f>
        <v/>
      </c>
    </row>
    <row r="11790" spans="20:20" hidden="1">
      <c r="T11790" t="str">
        <f>IF(C11790="","",UPPER(LEFT(SUBSTITUTE(C11790," ",""),3))&amp;"-"&amp;TEXT(B11790,"AAMMDD")&amp;"-1")</f>
        <v/>
      </c>
    </row>
    <row r="11791" spans="20:20" hidden="1">
      <c r="T11791" t="str">
        <f>IF(C11791="","",UPPER(LEFT(SUBSTITUTE(C11791," ",""),3))&amp;"-"&amp;TEXT(B11791,"AAMMDD")&amp;"-1")</f>
        <v/>
      </c>
    </row>
    <row r="11792" spans="20:20" hidden="1">
      <c r="T11792" t="str">
        <f>IF(C11792="","",UPPER(LEFT(SUBSTITUTE(C11792," ",""),3))&amp;"-"&amp;TEXT(B11792,"AAMMDD")&amp;"-1")</f>
        <v/>
      </c>
    </row>
    <row r="11793" spans="20:20" hidden="1">
      <c r="T11793" t="str">
        <f>IF(C11793="","",UPPER(LEFT(SUBSTITUTE(C11793," ",""),3))&amp;"-"&amp;TEXT(B11793,"AAMMDD")&amp;"-1")</f>
        <v/>
      </c>
    </row>
    <row r="11794" spans="20:20" hidden="1">
      <c r="T11794" t="str">
        <f>IF(C11794="","",UPPER(LEFT(SUBSTITUTE(C11794," ",""),3))&amp;"-"&amp;TEXT(B11794,"AAMMDD")&amp;"-1")</f>
        <v/>
      </c>
    </row>
    <row r="11795" spans="20:20" hidden="1">
      <c r="T11795" t="str">
        <f>IF(C11795="","",UPPER(LEFT(SUBSTITUTE(C11795," ",""),3))&amp;"-"&amp;TEXT(B11795,"AAMMDD")&amp;"-1")</f>
        <v/>
      </c>
    </row>
    <row r="11796" spans="20:20" hidden="1">
      <c r="T11796" t="str">
        <f>IF(C11796="","",UPPER(LEFT(SUBSTITUTE(C11796," ",""),3))&amp;"-"&amp;TEXT(B11796,"AAMMDD")&amp;"-1")</f>
        <v/>
      </c>
    </row>
    <row r="11797" spans="20:20" hidden="1">
      <c r="T11797" t="str">
        <f>IF(C11797="","",UPPER(LEFT(SUBSTITUTE(C11797," ",""),3))&amp;"-"&amp;TEXT(B11797,"AAMMDD")&amp;"-1")</f>
        <v/>
      </c>
    </row>
    <row r="11798" spans="20:20" hidden="1">
      <c r="T11798" t="str">
        <f>IF(C11798="","",UPPER(LEFT(SUBSTITUTE(C11798," ",""),3))&amp;"-"&amp;TEXT(B11798,"AAMMDD")&amp;"-1")</f>
        <v/>
      </c>
    </row>
    <row r="11799" spans="20:20" hidden="1">
      <c r="T11799" t="str">
        <f>IF(C11799="","",UPPER(LEFT(SUBSTITUTE(C11799," ",""),3))&amp;"-"&amp;TEXT(B11799,"AAMMDD")&amp;"-1")</f>
        <v/>
      </c>
    </row>
    <row r="11800" spans="20:20" hidden="1">
      <c r="T11800" t="str">
        <f>IF(C11800="","",UPPER(LEFT(SUBSTITUTE(C11800," ",""),3))&amp;"-"&amp;TEXT(B11800,"AAMMDD")&amp;"-1")</f>
        <v/>
      </c>
    </row>
    <row r="11801" spans="20:20" hidden="1">
      <c r="T11801" t="str">
        <f>IF(C11801="","",UPPER(LEFT(SUBSTITUTE(C11801," ",""),3))&amp;"-"&amp;TEXT(B11801,"AAMMDD")&amp;"-1")</f>
        <v/>
      </c>
    </row>
    <row r="11802" spans="20:20" hidden="1">
      <c r="T11802" t="str">
        <f>IF(C11802="","",UPPER(LEFT(SUBSTITUTE(C11802," ",""),3))&amp;"-"&amp;TEXT(B11802,"AAMMDD")&amp;"-1")</f>
        <v/>
      </c>
    </row>
    <row r="11803" spans="20:20" hidden="1">
      <c r="T11803" t="str">
        <f>IF(C11803="","",UPPER(LEFT(SUBSTITUTE(C11803," ",""),3))&amp;"-"&amp;TEXT(B11803,"AAMMDD")&amp;"-1")</f>
        <v/>
      </c>
    </row>
    <row r="11804" spans="20:20" hidden="1">
      <c r="T11804" t="str">
        <f>IF(C11804="","",UPPER(LEFT(SUBSTITUTE(C11804," ",""),3))&amp;"-"&amp;TEXT(B11804,"AAMMDD")&amp;"-1")</f>
        <v/>
      </c>
    </row>
    <row r="11805" spans="20:20" hidden="1">
      <c r="T11805" t="str">
        <f>IF(C11805="","",UPPER(LEFT(SUBSTITUTE(C11805," ",""),3))&amp;"-"&amp;TEXT(B11805,"AAMMDD")&amp;"-1")</f>
        <v/>
      </c>
    </row>
    <row r="11806" spans="20:20" hidden="1">
      <c r="T11806" t="str">
        <f>IF(C11806="","",UPPER(LEFT(SUBSTITUTE(C11806," ",""),3))&amp;"-"&amp;TEXT(B11806,"AAMMDD")&amp;"-1")</f>
        <v/>
      </c>
    </row>
    <row r="11807" spans="20:20" hidden="1">
      <c r="T11807" t="str">
        <f>IF(C11807="","",UPPER(LEFT(SUBSTITUTE(C11807," ",""),3))&amp;"-"&amp;TEXT(B11807,"AAMMDD")&amp;"-1")</f>
        <v/>
      </c>
    </row>
    <row r="11808" spans="20:20" hidden="1">
      <c r="T11808" t="str">
        <f>IF(C11808="","",UPPER(LEFT(SUBSTITUTE(C11808," ",""),3))&amp;"-"&amp;TEXT(B11808,"AAMMDD")&amp;"-1")</f>
        <v/>
      </c>
    </row>
    <row r="11809" spans="20:20" hidden="1">
      <c r="T11809" t="str">
        <f>IF(C11809="","",UPPER(LEFT(SUBSTITUTE(C11809," ",""),3))&amp;"-"&amp;TEXT(B11809,"AAMMDD")&amp;"-1")</f>
        <v/>
      </c>
    </row>
    <row r="11810" spans="20:20" hidden="1">
      <c r="T11810" t="str">
        <f>IF(C11810="","",UPPER(LEFT(SUBSTITUTE(C11810," ",""),3))&amp;"-"&amp;TEXT(B11810,"AAMMDD")&amp;"-1")</f>
        <v/>
      </c>
    </row>
    <row r="11811" spans="20:20" hidden="1">
      <c r="T11811" t="str">
        <f>IF(C11811="","",UPPER(LEFT(SUBSTITUTE(C11811," ",""),3))&amp;"-"&amp;TEXT(B11811,"AAMMDD")&amp;"-1")</f>
        <v/>
      </c>
    </row>
    <row r="11812" spans="20:20" hidden="1">
      <c r="T11812" t="str">
        <f>IF(C11812="","",UPPER(LEFT(SUBSTITUTE(C11812," ",""),3))&amp;"-"&amp;TEXT(B11812,"AAMMDD")&amp;"-1")</f>
        <v/>
      </c>
    </row>
    <row r="11813" spans="20:20" hidden="1">
      <c r="T11813" t="str">
        <f>IF(C11813="","",UPPER(LEFT(SUBSTITUTE(C11813," ",""),3))&amp;"-"&amp;TEXT(B11813,"AAMMDD")&amp;"-1")</f>
        <v/>
      </c>
    </row>
    <row r="11814" spans="20:20" hidden="1">
      <c r="T11814" t="str">
        <f>IF(C11814="","",UPPER(LEFT(SUBSTITUTE(C11814," ",""),3))&amp;"-"&amp;TEXT(B11814,"AAMMDD")&amp;"-1")</f>
        <v/>
      </c>
    </row>
    <row r="11815" spans="20:20" hidden="1">
      <c r="T11815" t="str">
        <f>IF(C11815="","",UPPER(LEFT(SUBSTITUTE(C11815," ",""),3))&amp;"-"&amp;TEXT(B11815,"AAMMDD")&amp;"-1")</f>
        <v/>
      </c>
    </row>
    <row r="11816" spans="20:20" hidden="1">
      <c r="T11816" t="str">
        <f>IF(C11816="","",UPPER(LEFT(SUBSTITUTE(C11816," ",""),3))&amp;"-"&amp;TEXT(B11816,"AAMMDD")&amp;"-1")</f>
        <v/>
      </c>
    </row>
    <row r="11817" spans="20:20" hidden="1">
      <c r="T11817" t="str">
        <f>IF(C11817="","",UPPER(LEFT(SUBSTITUTE(C11817," ",""),3))&amp;"-"&amp;TEXT(B11817,"AAMMDD")&amp;"-1")</f>
        <v/>
      </c>
    </row>
    <row r="11818" spans="20:20" hidden="1">
      <c r="T11818" t="str">
        <f>IF(C11818="","",UPPER(LEFT(SUBSTITUTE(C11818," ",""),3))&amp;"-"&amp;TEXT(B11818,"AAMMDD")&amp;"-1")</f>
        <v/>
      </c>
    </row>
    <row r="11819" spans="20:20" hidden="1">
      <c r="T11819" t="str">
        <f>IF(C11819="","",UPPER(LEFT(SUBSTITUTE(C11819," ",""),3))&amp;"-"&amp;TEXT(B11819,"AAMMDD")&amp;"-1")</f>
        <v/>
      </c>
    </row>
    <row r="11820" spans="20:20" hidden="1">
      <c r="T11820" t="str">
        <f>IF(C11820="","",UPPER(LEFT(SUBSTITUTE(C11820," ",""),3))&amp;"-"&amp;TEXT(B11820,"AAMMDD")&amp;"-1")</f>
        <v/>
      </c>
    </row>
    <row r="11821" spans="20:20" hidden="1">
      <c r="T11821" t="str">
        <f>IF(C11821="","",UPPER(LEFT(SUBSTITUTE(C11821," ",""),3))&amp;"-"&amp;TEXT(B11821,"AAMMDD")&amp;"-1")</f>
        <v/>
      </c>
    </row>
    <row r="11822" spans="20:20" hidden="1">
      <c r="T11822" t="str">
        <f>IF(C11822="","",UPPER(LEFT(SUBSTITUTE(C11822," ",""),3))&amp;"-"&amp;TEXT(B11822,"AAMMDD")&amp;"-1")</f>
        <v/>
      </c>
    </row>
    <row r="11823" spans="20:20" hidden="1">
      <c r="T11823" t="str">
        <f>IF(C11823="","",UPPER(LEFT(SUBSTITUTE(C11823," ",""),3))&amp;"-"&amp;TEXT(B11823,"AAMMDD")&amp;"-1")</f>
        <v/>
      </c>
    </row>
    <row r="11824" spans="20:20" hidden="1">
      <c r="T11824" t="str">
        <f>IF(C11824="","",UPPER(LEFT(SUBSTITUTE(C11824," ",""),3))&amp;"-"&amp;TEXT(B11824,"AAMMDD")&amp;"-1")</f>
        <v/>
      </c>
    </row>
    <row r="11825" spans="20:20" hidden="1">
      <c r="T11825" t="str">
        <f>IF(C11825="","",UPPER(LEFT(SUBSTITUTE(C11825," ",""),3))&amp;"-"&amp;TEXT(B11825,"AAMMDD")&amp;"-1")</f>
        <v/>
      </c>
    </row>
    <row r="11826" spans="20:20" hidden="1">
      <c r="T11826" t="str">
        <f>IF(C11826="","",UPPER(LEFT(SUBSTITUTE(C11826," ",""),3))&amp;"-"&amp;TEXT(B11826,"AAMMDD")&amp;"-1")</f>
        <v/>
      </c>
    </row>
    <row r="11827" spans="20:20" hidden="1">
      <c r="T11827" t="str">
        <f>IF(C11827="","",UPPER(LEFT(SUBSTITUTE(C11827," ",""),3))&amp;"-"&amp;TEXT(B11827,"AAMMDD")&amp;"-1")</f>
        <v/>
      </c>
    </row>
    <row r="11828" spans="20:20" hidden="1">
      <c r="T11828" t="str">
        <f>IF(C11828="","",UPPER(LEFT(SUBSTITUTE(C11828," ",""),3))&amp;"-"&amp;TEXT(B11828,"AAMMDD")&amp;"-1")</f>
        <v/>
      </c>
    </row>
    <row r="11829" spans="20:20" hidden="1">
      <c r="T11829" t="str">
        <f>IF(C11829="","",UPPER(LEFT(SUBSTITUTE(C11829," ",""),3))&amp;"-"&amp;TEXT(B11829,"AAMMDD")&amp;"-1")</f>
        <v/>
      </c>
    </row>
    <row r="11830" spans="20:20" hidden="1">
      <c r="T11830" t="str">
        <f>IF(C11830="","",UPPER(LEFT(SUBSTITUTE(C11830," ",""),3))&amp;"-"&amp;TEXT(B11830,"AAMMDD")&amp;"-1")</f>
        <v/>
      </c>
    </row>
    <row r="11831" spans="20:20" hidden="1">
      <c r="T11831" t="str">
        <f>IF(C11831="","",UPPER(LEFT(SUBSTITUTE(C11831," ",""),3))&amp;"-"&amp;TEXT(B11831,"AAMMDD")&amp;"-1")</f>
        <v/>
      </c>
    </row>
    <row r="11832" spans="20:20" hidden="1">
      <c r="T11832" t="str">
        <f>IF(C11832="","",UPPER(LEFT(SUBSTITUTE(C11832," ",""),3))&amp;"-"&amp;TEXT(B11832,"AAMMDD")&amp;"-1")</f>
        <v/>
      </c>
    </row>
    <row r="11833" spans="20:20" hidden="1">
      <c r="T11833" t="str">
        <f>IF(C11833="","",UPPER(LEFT(SUBSTITUTE(C11833," ",""),3))&amp;"-"&amp;TEXT(B11833,"AAMMDD")&amp;"-1")</f>
        <v/>
      </c>
    </row>
    <row r="11834" spans="20:20" hidden="1">
      <c r="T11834" t="str">
        <f>IF(C11834="","",UPPER(LEFT(SUBSTITUTE(C11834," ",""),3))&amp;"-"&amp;TEXT(B11834,"AAMMDD")&amp;"-1")</f>
        <v/>
      </c>
    </row>
    <row r="11835" spans="20:20" hidden="1">
      <c r="T11835" t="str">
        <f>IF(C11835="","",UPPER(LEFT(SUBSTITUTE(C11835," ",""),3))&amp;"-"&amp;TEXT(B11835,"AAMMDD")&amp;"-1")</f>
        <v/>
      </c>
    </row>
    <row r="11836" spans="20:20" hidden="1">
      <c r="T11836" t="str">
        <f>IF(C11836="","",UPPER(LEFT(SUBSTITUTE(C11836," ",""),3))&amp;"-"&amp;TEXT(B11836,"AAMMDD")&amp;"-1")</f>
        <v/>
      </c>
    </row>
    <row r="11837" spans="20:20" hidden="1">
      <c r="T11837" t="str">
        <f>IF(C11837="","",UPPER(LEFT(SUBSTITUTE(C11837," ",""),3))&amp;"-"&amp;TEXT(B11837,"AAMMDD")&amp;"-1")</f>
        <v/>
      </c>
    </row>
    <row r="11838" spans="20:20" hidden="1">
      <c r="T11838" t="str">
        <f>IF(C11838="","",UPPER(LEFT(SUBSTITUTE(C11838," ",""),3))&amp;"-"&amp;TEXT(B11838,"AAMMDD")&amp;"-1")</f>
        <v/>
      </c>
    </row>
    <row r="11839" spans="20:20" hidden="1">
      <c r="T11839" t="str">
        <f>IF(C11839="","",UPPER(LEFT(SUBSTITUTE(C11839," ",""),3))&amp;"-"&amp;TEXT(B11839,"AAMMDD")&amp;"-1")</f>
        <v/>
      </c>
    </row>
    <row r="11840" spans="20:20" hidden="1">
      <c r="T11840" t="str">
        <f>IF(C11840="","",UPPER(LEFT(SUBSTITUTE(C11840," ",""),3))&amp;"-"&amp;TEXT(B11840,"AAMMDD")&amp;"-1")</f>
        <v/>
      </c>
    </row>
    <row r="11841" spans="20:20" hidden="1">
      <c r="T11841" t="str">
        <f>IF(C11841="","",UPPER(LEFT(SUBSTITUTE(C11841," ",""),3))&amp;"-"&amp;TEXT(B11841,"AAMMDD")&amp;"-1")</f>
        <v/>
      </c>
    </row>
    <row r="11842" spans="20:20" hidden="1">
      <c r="T11842" t="str">
        <f>IF(C11842="","",UPPER(LEFT(SUBSTITUTE(C11842," ",""),3))&amp;"-"&amp;TEXT(B11842,"AAMMDD")&amp;"-1")</f>
        <v/>
      </c>
    </row>
    <row r="11843" spans="20:20" hidden="1">
      <c r="T11843" t="str">
        <f>IF(C11843="","",UPPER(LEFT(SUBSTITUTE(C11843," ",""),3))&amp;"-"&amp;TEXT(B11843,"AAMMDD")&amp;"-1")</f>
        <v/>
      </c>
    </row>
    <row r="11844" spans="20:20" hidden="1">
      <c r="T11844" t="str">
        <f>IF(C11844="","",UPPER(LEFT(SUBSTITUTE(C11844," ",""),3))&amp;"-"&amp;TEXT(B11844,"AAMMDD")&amp;"-1")</f>
        <v/>
      </c>
    </row>
    <row r="11845" spans="20:20" hidden="1">
      <c r="T11845" t="str">
        <f>IF(C11845="","",UPPER(LEFT(SUBSTITUTE(C11845," ",""),3))&amp;"-"&amp;TEXT(B11845,"AAMMDD")&amp;"-1")</f>
        <v/>
      </c>
    </row>
    <row r="11846" spans="20:20" hidden="1">
      <c r="T11846" t="str">
        <f>IF(C11846="","",UPPER(LEFT(SUBSTITUTE(C11846," ",""),3))&amp;"-"&amp;TEXT(B11846,"AAMMDD")&amp;"-1")</f>
        <v/>
      </c>
    </row>
    <row r="11847" spans="20:20" hidden="1">
      <c r="T11847" t="str">
        <f>IF(C11847="","",UPPER(LEFT(SUBSTITUTE(C11847," ",""),3))&amp;"-"&amp;TEXT(B11847,"AAMMDD")&amp;"-1")</f>
        <v/>
      </c>
    </row>
    <row r="11848" spans="20:20" hidden="1">
      <c r="T11848" t="str">
        <f>IF(C11848="","",UPPER(LEFT(SUBSTITUTE(C11848," ",""),3))&amp;"-"&amp;TEXT(B11848,"AAMMDD")&amp;"-1")</f>
        <v/>
      </c>
    </row>
    <row r="11849" spans="20:20" hidden="1">
      <c r="T11849" t="str">
        <f>IF(C11849="","",UPPER(LEFT(SUBSTITUTE(C11849," ",""),3))&amp;"-"&amp;TEXT(B11849,"AAMMDD")&amp;"-1")</f>
        <v/>
      </c>
    </row>
    <row r="11850" spans="20:20" hidden="1">
      <c r="T11850" t="str">
        <f>IF(C11850="","",UPPER(LEFT(SUBSTITUTE(C11850," ",""),3))&amp;"-"&amp;TEXT(B11850,"AAMMDD")&amp;"-1")</f>
        <v/>
      </c>
    </row>
    <row r="11851" spans="20:20" hidden="1">
      <c r="T11851" t="str">
        <f>IF(C11851="","",UPPER(LEFT(SUBSTITUTE(C11851," ",""),3))&amp;"-"&amp;TEXT(B11851,"AAMMDD")&amp;"-1")</f>
        <v/>
      </c>
    </row>
    <row r="11852" spans="20:20" hidden="1">
      <c r="T11852" t="str">
        <f>IF(C11852="","",UPPER(LEFT(SUBSTITUTE(C11852," ",""),3))&amp;"-"&amp;TEXT(B11852,"AAMMDD")&amp;"-1")</f>
        <v/>
      </c>
    </row>
    <row r="11853" spans="20:20" hidden="1">
      <c r="T11853" t="str">
        <f>IF(C11853="","",UPPER(LEFT(SUBSTITUTE(C11853," ",""),3))&amp;"-"&amp;TEXT(B11853,"AAMMDD")&amp;"-1")</f>
        <v/>
      </c>
    </row>
    <row r="11854" spans="20:20" hidden="1">
      <c r="T11854" t="str">
        <f>IF(C11854="","",UPPER(LEFT(SUBSTITUTE(C11854," ",""),3))&amp;"-"&amp;TEXT(B11854,"AAMMDD")&amp;"-1")</f>
        <v/>
      </c>
    </row>
    <row r="11855" spans="20:20" hidden="1">
      <c r="T11855" t="str">
        <f>IF(C11855="","",UPPER(LEFT(SUBSTITUTE(C11855," ",""),3))&amp;"-"&amp;TEXT(B11855,"AAMMDD")&amp;"-1")</f>
        <v/>
      </c>
    </row>
    <row r="11856" spans="20:20" hidden="1">
      <c r="T11856" t="str">
        <f>IF(C11856="","",UPPER(LEFT(SUBSTITUTE(C11856," ",""),3))&amp;"-"&amp;TEXT(B11856,"AAMMDD")&amp;"-1")</f>
        <v/>
      </c>
    </row>
    <row r="11857" spans="20:20" hidden="1">
      <c r="T11857" t="str">
        <f>IF(C11857="","",UPPER(LEFT(SUBSTITUTE(C11857," ",""),3))&amp;"-"&amp;TEXT(B11857,"AAMMDD")&amp;"-1")</f>
        <v/>
      </c>
    </row>
    <row r="11858" spans="20:20" hidden="1">
      <c r="T11858" t="str">
        <f>IF(C11858="","",UPPER(LEFT(SUBSTITUTE(C11858," ",""),3))&amp;"-"&amp;TEXT(B11858,"AAMMDD")&amp;"-1")</f>
        <v/>
      </c>
    </row>
    <row r="11859" spans="20:20" hidden="1">
      <c r="T11859" t="str">
        <f>IF(C11859="","",UPPER(LEFT(SUBSTITUTE(C11859," ",""),3))&amp;"-"&amp;TEXT(B11859,"AAMMDD")&amp;"-1")</f>
        <v/>
      </c>
    </row>
    <row r="11860" spans="20:20" hidden="1">
      <c r="T11860" t="str">
        <f>IF(C11860="","",UPPER(LEFT(SUBSTITUTE(C11860," ",""),3))&amp;"-"&amp;TEXT(B11860,"AAMMDD")&amp;"-1")</f>
        <v/>
      </c>
    </row>
    <row r="11861" spans="20:20" hidden="1">
      <c r="T11861" t="str">
        <f>IF(C11861="","",UPPER(LEFT(SUBSTITUTE(C11861," ",""),3))&amp;"-"&amp;TEXT(B11861,"AAMMDD")&amp;"-1")</f>
        <v/>
      </c>
    </row>
    <row r="11862" spans="20:20" hidden="1">
      <c r="T11862" t="str">
        <f>IF(C11862="","",UPPER(LEFT(SUBSTITUTE(C11862," ",""),3))&amp;"-"&amp;TEXT(B11862,"AAMMDD")&amp;"-1")</f>
        <v/>
      </c>
    </row>
    <row r="11863" spans="20:20" hidden="1">
      <c r="T11863" t="str">
        <f>IF(C11863="","",UPPER(LEFT(SUBSTITUTE(C11863," ",""),3))&amp;"-"&amp;TEXT(B11863,"AAMMDD")&amp;"-1")</f>
        <v/>
      </c>
    </row>
    <row r="11864" spans="20:20" hidden="1">
      <c r="T11864" t="str">
        <f>IF(C11864="","",UPPER(LEFT(SUBSTITUTE(C11864," ",""),3))&amp;"-"&amp;TEXT(B11864,"AAMMDD")&amp;"-1")</f>
        <v/>
      </c>
    </row>
    <row r="11865" spans="20:20" hidden="1">
      <c r="T11865" t="str">
        <f>IF(C11865="","",UPPER(LEFT(SUBSTITUTE(C11865," ",""),3))&amp;"-"&amp;TEXT(B11865,"AAMMDD")&amp;"-1")</f>
        <v/>
      </c>
    </row>
    <row r="11866" spans="20:20" hidden="1">
      <c r="T11866" t="str">
        <f>IF(C11866="","",UPPER(LEFT(SUBSTITUTE(C11866," ",""),3))&amp;"-"&amp;TEXT(B11866,"AAMMDD")&amp;"-1")</f>
        <v/>
      </c>
    </row>
    <row r="11867" spans="20:20" hidden="1">
      <c r="T11867" t="str">
        <f>IF(C11867="","",UPPER(LEFT(SUBSTITUTE(C11867," ",""),3))&amp;"-"&amp;TEXT(B11867,"AAMMDD")&amp;"-1")</f>
        <v/>
      </c>
    </row>
    <row r="11868" spans="20:20" hidden="1">
      <c r="T11868" t="str">
        <f>IF(C11868="","",UPPER(LEFT(SUBSTITUTE(C11868," ",""),3))&amp;"-"&amp;TEXT(B11868,"AAMMDD")&amp;"-1")</f>
        <v/>
      </c>
    </row>
    <row r="11869" spans="20:20" hidden="1">
      <c r="T11869" t="str">
        <f>IF(C11869="","",UPPER(LEFT(SUBSTITUTE(C11869," ",""),3))&amp;"-"&amp;TEXT(B11869,"AAMMDD")&amp;"-1")</f>
        <v/>
      </c>
    </row>
    <row r="11870" spans="20:20" hidden="1">
      <c r="T11870" t="str">
        <f>IF(C11870="","",UPPER(LEFT(SUBSTITUTE(C11870," ",""),3))&amp;"-"&amp;TEXT(B11870,"AAMMDD")&amp;"-1")</f>
        <v/>
      </c>
    </row>
    <row r="11871" spans="20:20" hidden="1">
      <c r="T11871" t="str">
        <f>IF(C11871="","",UPPER(LEFT(SUBSTITUTE(C11871," ",""),3))&amp;"-"&amp;TEXT(B11871,"AAMMDD")&amp;"-1")</f>
        <v/>
      </c>
    </row>
    <row r="11872" spans="20:20" hidden="1">
      <c r="T11872" t="str">
        <f>IF(C11872="","",UPPER(LEFT(SUBSTITUTE(C11872," ",""),3))&amp;"-"&amp;TEXT(B11872,"AAMMDD")&amp;"-1")</f>
        <v/>
      </c>
    </row>
    <row r="11873" spans="20:20" hidden="1">
      <c r="T11873" t="str">
        <f>IF(C11873="","",UPPER(LEFT(SUBSTITUTE(C11873," ",""),3))&amp;"-"&amp;TEXT(B11873,"AAMMDD")&amp;"-1")</f>
        <v/>
      </c>
    </row>
    <row r="11874" spans="20:20" hidden="1">
      <c r="T11874" t="str">
        <f>IF(C11874="","",UPPER(LEFT(SUBSTITUTE(C11874," ",""),3))&amp;"-"&amp;TEXT(B11874,"AAMMDD")&amp;"-1")</f>
        <v/>
      </c>
    </row>
    <row r="11875" spans="20:20" hidden="1">
      <c r="T11875" t="str">
        <f>IF(C11875="","",UPPER(LEFT(SUBSTITUTE(C11875," ",""),3))&amp;"-"&amp;TEXT(B11875,"AAMMDD")&amp;"-1")</f>
        <v/>
      </c>
    </row>
    <row r="11876" spans="20:20" hidden="1">
      <c r="T11876" t="str">
        <f>IF(C11876="","",UPPER(LEFT(SUBSTITUTE(C11876," ",""),3))&amp;"-"&amp;TEXT(B11876,"AAMMDD")&amp;"-1")</f>
        <v/>
      </c>
    </row>
    <row r="11877" spans="20:20" hidden="1">
      <c r="T11877" t="str">
        <f>IF(C11877="","",UPPER(LEFT(SUBSTITUTE(C11877," ",""),3))&amp;"-"&amp;TEXT(B11877,"AAMMDD")&amp;"-1")</f>
        <v/>
      </c>
    </row>
    <row r="11878" spans="20:20" hidden="1">
      <c r="T11878" t="str">
        <f>IF(C11878="","",UPPER(LEFT(SUBSTITUTE(C11878," ",""),3))&amp;"-"&amp;TEXT(B11878,"AAMMDD")&amp;"-1")</f>
        <v/>
      </c>
    </row>
    <row r="11879" spans="20:20" hidden="1">
      <c r="T11879" t="str">
        <f>IF(C11879="","",UPPER(LEFT(SUBSTITUTE(C11879," ",""),3))&amp;"-"&amp;TEXT(B11879,"AAMMDD")&amp;"-1")</f>
        <v/>
      </c>
    </row>
    <row r="11880" spans="20:20" hidden="1">
      <c r="T11880" t="str">
        <f>IF(C11880="","",UPPER(LEFT(SUBSTITUTE(C11880," ",""),3))&amp;"-"&amp;TEXT(B11880,"AAMMDD")&amp;"-1")</f>
        <v/>
      </c>
    </row>
    <row r="11881" spans="20:20" hidden="1">
      <c r="T11881" t="str">
        <f>IF(C11881="","",UPPER(LEFT(SUBSTITUTE(C11881," ",""),3))&amp;"-"&amp;TEXT(B11881,"AAMMDD")&amp;"-1")</f>
        <v/>
      </c>
    </row>
    <row r="11882" spans="20:20" hidden="1">
      <c r="T11882" t="str">
        <f>IF(C11882="","",UPPER(LEFT(SUBSTITUTE(C11882," ",""),3))&amp;"-"&amp;TEXT(B11882,"AAMMDD")&amp;"-1")</f>
        <v/>
      </c>
    </row>
    <row r="11883" spans="20:20" hidden="1">
      <c r="T11883" t="str">
        <f>IF(C11883="","",UPPER(LEFT(SUBSTITUTE(C11883," ",""),3))&amp;"-"&amp;TEXT(B11883,"AAMMDD")&amp;"-1")</f>
        <v/>
      </c>
    </row>
    <row r="11884" spans="20:20" hidden="1">
      <c r="T11884" t="str">
        <f>IF(C11884="","",UPPER(LEFT(SUBSTITUTE(C11884," ",""),3))&amp;"-"&amp;TEXT(B11884,"AAMMDD")&amp;"-1")</f>
        <v/>
      </c>
    </row>
    <row r="11885" spans="20:20" hidden="1">
      <c r="T11885" t="str">
        <f>IF(C11885="","",UPPER(LEFT(SUBSTITUTE(C11885," ",""),3))&amp;"-"&amp;TEXT(B11885,"AAMMDD")&amp;"-1")</f>
        <v/>
      </c>
    </row>
    <row r="11886" spans="20:20" hidden="1">
      <c r="T11886" t="str">
        <f>IF(C11886="","",UPPER(LEFT(SUBSTITUTE(C11886," ",""),3))&amp;"-"&amp;TEXT(B11886,"AAMMDD")&amp;"-1")</f>
        <v/>
      </c>
    </row>
    <row r="11887" spans="20:20" hidden="1">
      <c r="T11887" t="str">
        <f>IF(C11887="","",UPPER(LEFT(SUBSTITUTE(C11887," ",""),3))&amp;"-"&amp;TEXT(B11887,"AAMMDD")&amp;"-1")</f>
        <v/>
      </c>
    </row>
    <row r="11888" spans="20:20" hidden="1">
      <c r="T11888" t="str">
        <f>IF(C11888="","",UPPER(LEFT(SUBSTITUTE(C11888," ",""),3))&amp;"-"&amp;TEXT(B11888,"AAMMDD")&amp;"-1")</f>
        <v/>
      </c>
    </row>
    <row r="11889" spans="20:20" hidden="1">
      <c r="T11889" t="str">
        <f>IF(C11889="","",UPPER(LEFT(SUBSTITUTE(C11889," ",""),3))&amp;"-"&amp;TEXT(B11889,"AAMMDD")&amp;"-1")</f>
        <v/>
      </c>
    </row>
    <row r="11890" spans="20:20" hidden="1">
      <c r="T11890" t="str">
        <f>IF(C11890="","",UPPER(LEFT(SUBSTITUTE(C11890," ",""),3))&amp;"-"&amp;TEXT(B11890,"AAMMDD")&amp;"-1")</f>
        <v/>
      </c>
    </row>
    <row r="11891" spans="20:20" hidden="1">
      <c r="T11891" t="str">
        <f>IF(C11891="","",UPPER(LEFT(SUBSTITUTE(C11891," ",""),3))&amp;"-"&amp;TEXT(B11891,"AAMMDD")&amp;"-1")</f>
        <v/>
      </c>
    </row>
    <row r="11892" spans="20:20" hidden="1">
      <c r="T11892" t="str">
        <f>IF(C11892="","",UPPER(LEFT(SUBSTITUTE(C11892," ",""),3))&amp;"-"&amp;TEXT(B11892,"AAMMDD")&amp;"-1")</f>
        <v/>
      </c>
    </row>
    <row r="11893" spans="20:20" hidden="1">
      <c r="T11893" t="str">
        <f>IF(C11893="","",UPPER(LEFT(SUBSTITUTE(C11893," ",""),3))&amp;"-"&amp;TEXT(B11893,"AAMMDD")&amp;"-1")</f>
        <v/>
      </c>
    </row>
    <row r="11894" spans="20:20" hidden="1">
      <c r="T11894" t="str">
        <f>IF(C11894="","",UPPER(LEFT(SUBSTITUTE(C11894," ",""),3))&amp;"-"&amp;TEXT(B11894,"AAMMDD")&amp;"-1")</f>
        <v/>
      </c>
    </row>
    <row r="11895" spans="20:20" hidden="1">
      <c r="T11895" t="str">
        <f>IF(C11895="","",UPPER(LEFT(SUBSTITUTE(C11895," ",""),3))&amp;"-"&amp;TEXT(B11895,"AAMMDD")&amp;"-1")</f>
        <v/>
      </c>
    </row>
    <row r="11896" spans="20:20" hidden="1">
      <c r="T11896" t="str">
        <f>IF(C11896="","",UPPER(LEFT(SUBSTITUTE(C11896," ",""),3))&amp;"-"&amp;TEXT(B11896,"AAMMDD")&amp;"-1")</f>
        <v/>
      </c>
    </row>
    <row r="11897" spans="20:20" hidden="1">
      <c r="T11897" t="str">
        <f>IF(C11897="","",UPPER(LEFT(SUBSTITUTE(C11897," ",""),3))&amp;"-"&amp;TEXT(B11897,"AAMMDD")&amp;"-1")</f>
        <v/>
      </c>
    </row>
    <row r="11898" spans="20:20" hidden="1">
      <c r="T11898" t="str">
        <f>IF(C11898="","",UPPER(LEFT(SUBSTITUTE(C11898," ",""),3))&amp;"-"&amp;TEXT(B11898,"AAMMDD")&amp;"-1")</f>
        <v/>
      </c>
    </row>
    <row r="11899" spans="20:20" hidden="1">
      <c r="T11899" t="str">
        <f>IF(C11899="","",UPPER(LEFT(SUBSTITUTE(C11899," ",""),3))&amp;"-"&amp;TEXT(B11899,"AAMMDD")&amp;"-1")</f>
        <v/>
      </c>
    </row>
    <row r="11900" spans="20:20" hidden="1">
      <c r="T11900" t="str">
        <f>IF(C11900="","",UPPER(LEFT(SUBSTITUTE(C11900," ",""),3))&amp;"-"&amp;TEXT(B11900,"AAMMDD")&amp;"-1")</f>
        <v/>
      </c>
    </row>
    <row r="11901" spans="20:20" hidden="1">
      <c r="T11901" t="str">
        <f>IF(C11901="","",UPPER(LEFT(SUBSTITUTE(C11901," ",""),3))&amp;"-"&amp;TEXT(B11901,"AAMMDD")&amp;"-1")</f>
        <v/>
      </c>
    </row>
    <row r="11902" spans="20:20" hidden="1">
      <c r="T11902" t="str">
        <f>IF(C11902="","",UPPER(LEFT(SUBSTITUTE(C11902," ",""),3))&amp;"-"&amp;TEXT(B11902,"AAMMDD")&amp;"-1")</f>
        <v/>
      </c>
    </row>
    <row r="11903" spans="20:20" hidden="1">
      <c r="T11903" t="str">
        <f>IF(C11903="","",UPPER(LEFT(SUBSTITUTE(C11903," ",""),3))&amp;"-"&amp;TEXT(B11903,"AAMMDD")&amp;"-1")</f>
        <v/>
      </c>
    </row>
    <row r="11904" spans="20:20" hidden="1">
      <c r="T11904" t="str">
        <f>IF(C11904="","",UPPER(LEFT(SUBSTITUTE(C11904," ",""),3))&amp;"-"&amp;TEXT(B11904,"AAMMDD")&amp;"-1")</f>
        <v/>
      </c>
    </row>
    <row r="11905" spans="20:20" hidden="1">
      <c r="T11905" t="str">
        <f>IF(C11905="","",UPPER(LEFT(SUBSTITUTE(C11905," ",""),3))&amp;"-"&amp;TEXT(B11905,"AAMMDD")&amp;"-1")</f>
        <v/>
      </c>
    </row>
    <row r="11906" spans="20:20" hidden="1">
      <c r="T11906" t="str">
        <f>IF(C11906="","",UPPER(LEFT(SUBSTITUTE(C11906," ",""),3))&amp;"-"&amp;TEXT(B11906,"AAMMDD")&amp;"-1")</f>
        <v/>
      </c>
    </row>
    <row r="11907" spans="20:20" hidden="1">
      <c r="T11907" t="str">
        <f>IF(C11907="","",UPPER(LEFT(SUBSTITUTE(C11907," ",""),3))&amp;"-"&amp;TEXT(B11907,"AAMMDD")&amp;"-1")</f>
        <v/>
      </c>
    </row>
    <row r="11908" spans="20:20" hidden="1">
      <c r="T11908" t="str">
        <f>IF(C11908="","",UPPER(LEFT(SUBSTITUTE(C11908," ",""),3))&amp;"-"&amp;TEXT(B11908,"AAMMDD")&amp;"-1")</f>
        <v/>
      </c>
    </row>
    <row r="11909" spans="20:20" hidden="1">
      <c r="T11909" t="str">
        <f>IF(C11909="","",UPPER(LEFT(SUBSTITUTE(C11909," ",""),3))&amp;"-"&amp;TEXT(B11909,"AAMMDD")&amp;"-1")</f>
        <v/>
      </c>
    </row>
    <row r="11910" spans="20:20" hidden="1">
      <c r="T11910" t="str">
        <f>IF(C11910="","",UPPER(LEFT(SUBSTITUTE(C11910," ",""),3))&amp;"-"&amp;TEXT(B11910,"AAMMDD")&amp;"-1")</f>
        <v/>
      </c>
    </row>
    <row r="11911" spans="20:20" hidden="1">
      <c r="T11911" t="str">
        <f>IF(C11911="","",UPPER(LEFT(SUBSTITUTE(C11911," ",""),3))&amp;"-"&amp;TEXT(B11911,"AAMMDD")&amp;"-1")</f>
        <v/>
      </c>
    </row>
    <row r="11912" spans="20:20" hidden="1">
      <c r="T11912" t="str">
        <f>IF(C11912="","",UPPER(LEFT(SUBSTITUTE(C11912," ",""),3))&amp;"-"&amp;TEXT(B11912,"AAMMDD")&amp;"-1")</f>
        <v/>
      </c>
    </row>
    <row r="11913" spans="20:20" hidden="1">
      <c r="T11913" t="str">
        <f>IF(C11913="","",UPPER(LEFT(SUBSTITUTE(C11913," ",""),3))&amp;"-"&amp;TEXT(B11913,"AAMMDD")&amp;"-1")</f>
        <v/>
      </c>
    </row>
    <row r="11914" spans="20:20" hidden="1">
      <c r="T11914" t="str">
        <f>IF(C11914="","",UPPER(LEFT(SUBSTITUTE(C11914," ",""),3))&amp;"-"&amp;TEXT(B11914,"AAMMDD")&amp;"-1")</f>
        <v/>
      </c>
    </row>
    <row r="11915" spans="20:20" hidden="1">
      <c r="T11915" t="str">
        <f>IF(C11915="","",UPPER(LEFT(SUBSTITUTE(C11915," ",""),3))&amp;"-"&amp;TEXT(B11915,"AAMMDD")&amp;"-1")</f>
        <v/>
      </c>
    </row>
    <row r="11916" spans="20:20" hidden="1">
      <c r="T11916" t="str">
        <f>IF(C11916="","",UPPER(LEFT(SUBSTITUTE(C11916," ",""),3))&amp;"-"&amp;TEXT(B11916,"AAMMDD")&amp;"-1")</f>
        <v/>
      </c>
    </row>
    <row r="11917" spans="20:20" hidden="1">
      <c r="T11917" t="str">
        <f>IF(C11917="","",UPPER(LEFT(SUBSTITUTE(C11917," ",""),3))&amp;"-"&amp;TEXT(B11917,"AAMMDD")&amp;"-1")</f>
        <v/>
      </c>
    </row>
    <row r="11918" spans="20:20" hidden="1">
      <c r="T11918" t="str">
        <f>IF(C11918="","",UPPER(LEFT(SUBSTITUTE(C11918," ",""),3))&amp;"-"&amp;TEXT(B11918,"AAMMDD")&amp;"-1")</f>
        <v/>
      </c>
    </row>
    <row r="11919" spans="20:20" hidden="1">
      <c r="T11919" t="str">
        <f>IF(C11919="","",UPPER(LEFT(SUBSTITUTE(C11919," ",""),3))&amp;"-"&amp;TEXT(B11919,"AAMMDD")&amp;"-1")</f>
        <v/>
      </c>
    </row>
    <row r="11920" spans="20:20" hidden="1">
      <c r="T11920" t="str">
        <f>IF(C11920="","",UPPER(LEFT(SUBSTITUTE(C11920," ",""),3))&amp;"-"&amp;TEXT(B11920,"AAMMDD")&amp;"-1")</f>
        <v/>
      </c>
    </row>
    <row r="11921" spans="20:20" hidden="1">
      <c r="T11921" t="str">
        <f>IF(C11921="","",UPPER(LEFT(SUBSTITUTE(C11921," ",""),3))&amp;"-"&amp;TEXT(B11921,"AAMMDD")&amp;"-1")</f>
        <v/>
      </c>
    </row>
    <row r="11922" spans="20:20" hidden="1">
      <c r="T11922" t="str">
        <f>IF(C11922="","",UPPER(LEFT(SUBSTITUTE(C11922," ",""),3))&amp;"-"&amp;TEXT(B11922,"AAMMDD")&amp;"-1")</f>
        <v/>
      </c>
    </row>
    <row r="11923" spans="20:20" hidden="1">
      <c r="T11923" t="str">
        <f>IF(C11923="","",UPPER(LEFT(SUBSTITUTE(C11923," ",""),3))&amp;"-"&amp;TEXT(B11923,"AAMMDD")&amp;"-1")</f>
        <v/>
      </c>
    </row>
    <row r="11924" spans="20:20" hidden="1">
      <c r="T11924" t="str">
        <f>IF(C11924="","",UPPER(LEFT(SUBSTITUTE(C11924," ",""),3))&amp;"-"&amp;TEXT(B11924,"AAMMDD")&amp;"-1")</f>
        <v/>
      </c>
    </row>
    <row r="11925" spans="20:20" hidden="1">
      <c r="T11925" t="str">
        <f>IF(C11925="","",UPPER(LEFT(SUBSTITUTE(C11925," ",""),3))&amp;"-"&amp;TEXT(B11925,"AAMMDD")&amp;"-1")</f>
        <v/>
      </c>
    </row>
    <row r="11926" spans="20:20" hidden="1">
      <c r="T11926" t="str">
        <f>IF(C11926="","",UPPER(LEFT(SUBSTITUTE(C11926," ",""),3))&amp;"-"&amp;TEXT(B11926,"AAMMDD")&amp;"-1")</f>
        <v/>
      </c>
    </row>
    <row r="11927" spans="20:20" hidden="1">
      <c r="T11927" t="str">
        <f>IF(C11927="","",UPPER(LEFT(SUBSTITUTE(C11927," ",""),3))&amp;"-"&amp;TEXT(B11927,"AAMMDD")&amp;"-1")</f>
        <v/>
      </c>
    </row>
    <row r="11928" spans="20:20" hidden="1">
      <c r="T11928" t="str">
        <f>IF(C11928="","",UPPER(LEFT(SUBSTITUTE(C11928," ",""),3))&amp;"-"&amp;TEXT(B11928,"AAMMDD")&amp;"-1")</f>
        <v/>
      </c>
    </row>
    <row r="11929" spans="20:20" hidden="1">
      <c r="T11929" t="str">
        <f>IF(C11929="","",UPPER(LEFT(SUBSTITUTE(C11929," ",""),3))&amp;"-"&amp;TEXT(B11929,"AAMMDD")&amp;"-1")</f>
        <v/>
      </c>
    </row>
    <row r="11930" spans="20:20" hidden="1">
      <c r="T11930" t="str">
        <f>IF(C11930="","",UPPER(LEFT(SUBSTITUTE(C11930," ",""),3))&amp;"-"&amp;TEXT(B11930,"AAMMDD")&amp;"-1")</f>
        <v/>
      </c>
    </row>
    <row r="11931" spans="20:20" hidden="1">
      <c r="T11931" t="str">
        <f>IF(C11931="","",UPPER(LEFT(SUBSTITUTE(C11931," ",""),3))&amp;"-"&amp;TEXT(B11931,"AAMMDD")&amp;"-1")</f>
        <v/>
      </c>
    </row>
    <row r="11932" spans="20:20" hidden="1">
      <c r="T11932" t="str">
        <f>IF(C11932="","",UPPER(LEFT(SUBSTITUTE(C11932," ",""),3))&amp;"-"&amp;TEXT(B11932,"AAMMDD")&amp;"-1")</f>
        <v/>
      </c>
    </row>
    <row r="11933" spans="20:20" hidden="1">
      <c r="T11933" t="str">
        <f>IF(C11933="","",UPPER(LEFT(SUBSTITUTE(C11933," ",""),3))&amp;"-"&amp;TEXT(B11933,"AAMMDD")&amp;"-1")</f>
        <v/>
      </c>
    </row>
    <row r="11934" spans="20:20" hidden="1">
      <c r="T11934" t="str">
        <f>IF(C11934="","",UPPER(LEFT(SUBSTITUTE(C11934," ",""),3))&amp;"-"&amp;TEXT(B11934,"AAMMDD")&amp;"-1")</f>
        <v/>
      </c>
    </row>
    <row r="11935" spans="20:20" hidden="1">
      <c r="T11935" t="str">
        <f>IF(C11935="","",UPPER(LEFT(SUBSTITUTE(C11935," ",""),3))&amp;"-"&amp;TEXT(B11935,"AAMMDD")&amp;"-1")</f>
        <v/>
      </c>
    </row>
    <row r="11936" spans="20:20" hidden="1">
      <c r="T11936" t="str">
        <f>IF(C11936="","",UPPER(LEFT(SUBSTITUTE(C11936," ",""),3))&amp;"-"&amp;TEXT(B11936,"AAMMDD")&amp;"-1")</f>
        <v/>
      </c>
    </row>
    <row r="11937" spans="20:20" hidden="1">
      <c r="T11937" t="str">
        <f>IF(C11937="","",UPPER(LEFT(SUBSTITUTE(C11937," ",""),3))&amp;"-"&amp;TEXT(B11937,"AAMMDD")&amp;"-1")</f>
        <v/>
      </c>
    </row>
    <row r="11938" spans="20:20" hidden="1">
      <c r="T11938" t="str">
        <f>IF(C11938="","",UPPER(LEFT(SUBSTITUTE(C11938," ",""),3))&amp;"-"&amp;TEXT(B11938,"AAMMDD")&amp;"-1")</f>
        <v/>
      </c>
    </row>
    <row r="11939" spans="20:20" hidden="1">
      <c r="T11939" t="str">
        <f>IF(C11939="","",UPPER(LEFT(SUBSTITUTE(C11939," ",""),3))&amp;"-"&amp;TEXT(B11939,"AAMMDD")&amp;"-1")</f>
        <v/>
      </c>
    </row>
    <row r="11940" spans="20:20" hidden="1">
      <c r="T11940" t="str">
        <f>IF(C11940="","",UPPER(LEFT(SUBSTITUTE(C11940," ",""),3))&amp;"-"&amp;TEXT(B11940,"AAMMDD")&amp;"-1")</f>
        <v/>
      </c>
    </row>
    <row r="11941" spans="20:20" hidden="1">
      <c r="T11941" t="str">
        <f>IF(C11941="","",UPPER(LEFT(SUBSTITUTE(C11941," ",""),3))&amp;"-"&amp;TEXT(B11941,"AAMMDD")&amp;"-1")</f>
        <v/>
      </c>
    </row>
    <row r="11942" spans="20:20" hidden="1">
      <c r="T11942" t="str">
        <f>IF(C11942="","",UPPER(LEFT(SUBSTITUTE(C11942," ",""),3))&amp;"-"&amp;TEXT(B11942,"AAMMDD")&amp;"-1")</f>
        <v/>
      </c>
    </row>
    <row r="11943" spans="20:20" hidden="1">
      <c r="T11943" t="str">
        <f>IF(C11943="","",UPPER(LEFT(SUBSTITUTE(C11943," ",""),3))&amp;"-"&amp;TEXT(B11943,"AAMMDD")&amp;"-1")</f>
        <v/>
      </c>
    </row>
    <row r="11944" spans="20:20" hidden="1">
      <c r="T11944" t="str">
        <f>IF(C11944="","",UPPER(LEFT(SUBSTITUTE(C11944," ",""),3))&amp;"-"&amp;TEXT(B11944,"AAMMDD")&amp;"-1")</f>
        <v/>
      </c>
    </row>
    <row r="11945" spans="20:20" hidden="1">
      <c r="T11945" t="str">
        <f>IF(C11945="","",UPPER(LEFT(SUBSTITUTE(C11945," ",""),3))&amp;"-"&amp;TEXT(B11945,"AAMMDD")&amp;"-1")</f>
        <v/>
      </c>
    </row>
    <row r="11946" spans="20:20" hidden="1">
      <c r="T11946" t="str">
        <f>IF(C11946="","",UPPER(LEFT(SUBSTITUTE(C11946," ",""),3))&amp;"-"&amp;TEXT(B11946,"AAMMDD")&amp;"-1")</f>
        <v/>
      </c>
    </row>
    <row r="11947" spans="20:20" hidden="1">
      <c r="T11947" t="str">
        <f>IF(C11947="","",UPPER(LEFT(SUBSTITUTE(C11947," ",""),3))&amp;"-"&amp;TEXT(B11947,"AAMMDD")&amp;"-1")</f>
        <v/>
      </c>
    </row>
    <row r="11948" spans="20:20" hidden="1">
      <c r="T11948" t="str">
        <f>IF(C11948="","",UPPER(LEFT(SUBSTITUTE(C11948," ",""),3))&amp;"-"&amp;TEXT(B11948,"AAMMDD")&amp;"-1")</f>
        <v/>
      </c>
    </row>
    <row r="11949" spans="20:20" hidden="1">
      <c r="T11949" t="str">
        <f>IF(C11949="","",UPPER(LEFT(SUBSTITUTE(C11949," ",""),3))&amp;"-"&amp;TEXT(B11949,"AAMMDD")&amp;"-1")</f>
        <v/>
      </c>
    </row>
    <row r="11950" spans="20:20" hidden="1">
      <c r="T11950" t="str">
        <f>IF(C11950="","",UPPER(LEFT(SUBSTITUTE(C11950," ",""),3))&amp;"-"&amp;TEXT(B11950,"AAMMDD")&amp;"-1")</f>
        <v/>
      </c>
    </row>
    <row r="11951" spans="20:20" hidden="1">
      <c r="T11951" t="str">
        <f>IF(C11951="","",UPPER(LEFT(SUBSTITUTE(C11951," ",""),3))&amp;"-"&amp;TEXT(B11951,"AAMMDD")&amp;"-1")</f>
        <v/>
      </c>
    </row>
    <row r="11952" spans="20:20" hidden="1">
      <c r="T11952" t="str">
        <f>IF(C11952="","",UPPER(LEFT(SUBSTITUTE(C11952," ",""),3))&amp;"-"&amp;TEXT(B11952,"AAMMDD")&amp;"-1")</f>
        <v/>
      </c>
    </row>
    <row r="11953" spans="20:20" hidden="1">
      <c r="T11953" t="str">
        <f>IF(C11953="","",UPPER(LEFT(SUBSTITUTE(C11953," ",""),3))&amp;"-"&amp;TEXT(B11953,"AAMMDD")&amp;"-1")</f>
        <v/>
      </c>
    </row>
    <row r="11954" spans="20:20" hidden="1">
      <c r="T11954" t="str">
        <f>IF(C11954="","",UPPER(LEFT(SUBSTITUTE(C11954," ",""),3))&amp;"-"&amp;TEXT(B11954,"AAMMDD")&amp;"-1")</f>
        <v/>
      </c>
    </row>
    <row r="11955" spans="20:20" hidden="1">
      <c r="T11955" t="str">
        <f>IF(C11955="","",UPPER(LEFT(SUBSTITUTE(C11955," ",""),3))&amp;"-"&amp;TEXT(B11955,"AAMMDD")&amp;"-1")</f>
        <v/>
      </c>
    </row>
    <row r="11956" spans="20:20" hidden="1">
      <c r="T11956" t="str">
        <f>IF(C11956="","",UPPER(LEFT(SUBSTITUTE(C11956," ",""),3))&amp;"-"&amp;TEXT(B11956,"AAMMDD")&amp;"-1")</f>
        <v/>
      </c>
    </row>
    <row r="11957" spans="20:20" hidden="1">
      <c r="T11957" t="str">
        <f>IF(C11957="","",UPPER(LEFT(SUBSTITUTE(C11957," ",""),3))&amp;"-"&amp;TEXT(B11957,"AAMMDD")&amp;"-1")</f>
        <v/>
      </c>
    </row>
    <row r="11958" spans="20:20" hidden="1">
      <c r="T11958" t="str">
        <f>IF(C11958="","",UPPER(LEFT(SUBSTITUTE(C11958," ",""),3))&amp;"-"&amp;TEXT(B11958,"AAMMDD")&amp;"-1")</f>
        <v/>
      </c>
    </row>
    <row r="11959" spans="20:20" hidden="1">
      <c r="T11959" t="str">
        <f>IF(C11959="","",UPPER(LEFT(SUBSTITUTE(C11959," ",""),3))&amp;"-"&amp;TEXT(B11959,"AAMMDD")&amp;"-1")</f>
        <v/>
      </c>
    </row>
    <row r="11960" spans="20:20" hidden="1">
      <c r="T11960" t="str">
        <f>IF(C11960="","",UPPER(LEFT(SUBSTITUTE(C11960," ",""),3))&amp;"-"&amp;TEXT(B11960,"AAMMDD")&amp;"-1")</f>
        <v/>
      </c>
    </row>
    <row r="11961" spans="20:20" hidden="1">
      <c r="T11961" t="str">
        <f>IF(C11961="","",UPPER(LEFT(SUBSTITUTE(C11961," ",""),3))&amp;"-"&amp;TEXT(B11961,"AAMMDD")&amp;"-1")</f>
        <v/>
      </c>
    </row>
    <row r="11962" spans="20:20" hidden="1">
      <c r="T11962" t="str">
        <f>IF(C11962="","",UPPER(LEFT(SUBSTITUTE(C11962," ",""),3))&amp;"-"&amp;TEXT(B11962,"AAMMDD")&amp;"-1")</f>
        <v/>
      </c>
    </row>
    <row r="11963" spans="20:20" hidden="1">
      <c r="T11963" t="str">
        <f>IF(C11963="","",UPPER(LEFT(SUBSTITUTE(C11963," ",""),3))&amp;"-"&amp;TEXT(B11963,"AAMMDD")&amp;"-1")</f>
        <v/>
      </c>
    </row>
    <row r="11964" spans="20:20" hidden="1">
      <c r="T11964" t="str">
        <f>IF(C11964="","",UPPER(LEFT(SUBSTITUTE(C11964," ",""),3))&amp;"-"&amp;TEXT(B11964,"AAMMDD")&amp;"-1")</f>
        <v/>
      </c>
    </row>
    <row r="11965" spans="20:20" hidden="1">
      <c r="T11965" t="str">
        <f>IF(C11965="","",UPPER(LEFT(SUBSTITUTE(C11965," ",""),3))&amp;"-"&amp;TEXT(B11965,"AAMMDD")&amp;"-1")</f>
        <v/>
      </c>
    </row>
    <row r="11966" spans="20:20" hidden="1">
      <c r="T11966" t="str">
        <f>IF(C11966="","",UPPER(LEFT(SUBSTITUTE(C11966," ",""),3))&amp;"-"&amp;TEXT(B11966,"AAMMDD")&amp;"-1")</f>
        <v/>
      </c>
    </row>
    <row r="11967" spans="20:20" hidden="1">
      <c r="T11967" t="str">
        <f>IF(C11967="","",UPPER(LEFT(SUBSTITUTE(C11967," ",""),3))&amp;"-"&amp;TEXT(B11967,"AAMMDD")&amp;"-1")</f>
        <v/>
      </c>
    </row>
    <row r="11968" spans="20:20" hidden="1">
      <c r="T11968" t="str">
        <f>IF(C11968="","",UPPER(LEFT(SUBSTITUTE(C11968," ",""),3))&amp;"-"&amp;TEXT(B11968,"AAMMDD")&amp;"-1")</f>
        <v/>
      </c>
    </row>
    <row r="11969" spans="20:20" hidden="1">
      <c r="T11969" t="str">
        <f>IF(C11969="","",UPPER(LEFT(SUBSTITUTE(C11969," ",""),3))&amp;"-"&amp;TEXT(B11969,"AAMMDD")&amp;"-1")</f>
        <v/>
      </c>
    </row>
    <row r="11970" spans="20:20" hidden="1">
      <c r="T11970" t="str">
        <f>IF(C11970="","",UPPER(LEFT(SUBSTITUTE(C11970," ",""),3))&amp;"-"&amp;TEXT(B11970,"AAMMDD")&amp;"-1")</f>
        <v/>
      </c>
    </row>
    <row r="11971" spans="20:20" hidden="1">
      <c r="T11971" t="str">
        <f>IF(C11971="","",UPPER(LEFT(SUBSTITUTE(C11971," ",""),3))&amp;"-"&amp;TEXT(B11971,"AAMMDD")&amp;"-1")</f>
        <v/>
      </c>
    </row>
    <row r="11972" spans="20:20" hidden="1">
      <c r="T11972" t="str">
        <f>IF(C11972="","",UPPER(LEFT(SUBSTITUTE(C11972," ",""),3))&amp;"-"&amp;TEXT(B11972,"AAMMDD")&amp;"-1")</f>
        <v/>
      </c>
    </row>
    <row r="11973" spans="20:20" hidden="1">
      <c r="T11973" t="str">
        <f>IF(C11973="","",UPPER(LEFT(SUBSTITUTE(C11973," ",""),3))&amp;"-"&amp;TEXT(B11973,"AAMMDD")&amp;"-1")</f>
        <v/>
      </c>
    </row>
    <row r="11974" spans="20:20" hidden="1">
      <c r="T11974" t="str">
        <f>IF(C11974="","",UPPER(LEFT(SUBSTITUTE(C11974," ",""),3))&amp;"-"&amp;TEXT(B11974,"AAMMDD")&amp;"-1")</f>
        <v/>
      </c>
    </row>
    <row r="11975" spans="20:20" hidden="1">
      <c r="T11975" t="str">
        <f>IF(C11975="","",UPPER(LEFT(SUBSTITUTE(C11975," ",""),3))&amp;"-"&amp;TEXT(B11975,"AAMMDD")&amp;"-1")</f>
        <v/>
      </c>
    </row>
    <row r="11976" spans="20:20" hidden="1">
      <c r="T11976" t="str">
        <f>IF(C11976="","",UPPER(LEFT(SUBSTITUTE(C11976," ",""),3))&amp;"-"&amp;TEXT(B11976,"AAMMDD")&amp;"-1")</f>
        <v/>
      </c>
    </row>
    <row r="11977" spans="20:20" hidden="1">
      <c r="T11977" t="str">
        <f>IF(C11977="","",UPPER(LEFT(SUBSTITUTE(C11977," ",""),3))&amp;"-"&amp;TEXT(B11977,"AAMMDD")&amp;"-1")</f>
        <v/>
      </c>
    </row>
    <row r="11978" spans="20:20" hidden="1">
      <c r="T11978" t="str">
        <f>IF(C11978="","",UPPER(LEFT(SUBSTITUTE(C11978," ",""),3))&amp;"-"&amp;TEXT(B11978,"AAMMDD")&amp;"-1")</f>
        <v/>
      </c>
    </row>
    <row r="11979" spans="20:20" hidden="1">
      <c r="T11979" t="str">
        <f>IF(C11979="","",UPPER(LEFT(SUBSTITUTE(C11979," ",""),3))&amp;"-"&amp;TEXT(B11979,"AAMMDD")&amp;"-1")</f>
        <v/>
      </c>
    </row>
    <row r="11980" spans="20:20" hidden="1">
      <c r="T11980" t="str">
        <f>IF(C11980="","",UPPER(LEFT(SUBSTITUTE(C11980," ",""),3))&amp;"-"&amp;TEXT(B11980,"AAMMDD")&amp;"-1")</f>
        <v/>
      </c>
    </row>
    <row r="11981" spans="20:20" hidden="1">
      <c r="T11981" t="str">
        <f>IF(C11981="","",UPPER(LEFT(SUBSTITUTE(C11981," ",""),3))&amp;"-"&amp;TEXT(B11981,"AAMMDD")&amp;"-1")</f>
        <v/>
      </c>
    </row>
    <row r="11982" spans="20:20" hidden="1">
      <c r="T11982" t="str">
        <f>IF(C11982="","",UPPER(LEFT(SUBSTITUTE(C11982," ",""),3))&amp;"-"&amp;TEXT(B11982,"AAMMDD")&amp;"-1")</f>
        <v/>
      </c>
    </row>
    <row r="11983" spans="20:20" hidden="1">
      <c r="T11983" t="str">
        <f>IF(C11983="","",UPPER(LEFT(SUBSTITUTE(C11983," ",""),3))&amp;"-"&amp;TEXT(B11983,"AAMMDD")&amp;"-1")</f>
        <v/>
      </c>
    </row>
    <row r="11984" spans="20:20" hidden="1">
      <c r="T11984" t="str">
        <f>IF(C11984="","",UPPER(LEFT(SUBSTITUTE(C11984," ",""),3))&amp;"-"&amp;TEXT(B11984,"AAMMDD")&amp;"-1")</f>
        <v/>
      </c>
    </row>
    <row r="11985" spans="2:20" hidden="1">
      <c r="T11985" t="str">
        <f>IF(C11985="","",UPPER(LEFT(SUBSTITUTE(C11985," ",""),3))&amp;"-"&amp;TEXT(B11985,"AAMMDD")&amp;"-1")</f>
        <v/>
      </c>
    </row>
    <row r="11986" spans="2:20" hidden="1">
      <c r="T11986" t="str">
        <f>IF(C11986="","",UPPER(LEFT(SUBSTITUTE(C11986," ",""),3))&amp;"-"&amp;TEXT(B11986,"AAMMDD")&amp;"-1")</f>
        <v/>
      </c>
    </row>
    <row r="11987" spans="2:20" hidden="1">
      <c r="T11987" t="str">
        <f>IF(C11987="","",UPPER(LEFT(SUBSTITUTE(C11987," ",""),3))&amp;"-"&amp;TEXT(B11987,"AAMMDD")&amp;"-1")</f>
        <v/>
      </c>
    </row>
    <row r="11988" spans="2:20" hidden="1">
      <c r="T11988" t="str">
        <f>IF(C11988="","",UPPER(LEFT(SUBSTITUTE(C11988," ",""),3))&amp;"-"&amp;TEXT(B11988,"AAMMDD")&amp;"-1")</f>
        <v/>
      </c>
    </row>
    <row r="11989" spans="2:20" hidden="1">
      <c r="T11989" t="str">
        <f>IF(C11989="","",UPPER(LEFT(SUBSTITUTE(C11989," ",""),3))&amp;"-"&amp;TEXT(B11989,"AAMMDD")&amp;"-1")</f>
        <v/>
      </c>
    </row>
    <row r="11990" spans="2:20" hidden="1">
      <c r="T11990" t="str">
        <f>IF(C11990="","",UPPER(LEFT(SUBSTITUTE(C11990," ",""),3))&amp;"-"&amp;TEXT(B11990,"AAMMDD")&amp;"-1")</f>
        <v/>
      </c>
    </row>
    <row r="11991" spans="2:20" hidden="1">
      <c r="T11991" t="str">
        <f>IF(C11991="","",UPPER(LEFT(SUBSTITUTE(C11991," ",""),3))&amp;"-"&amp;TEXT(B11991,"AAMMDD")&amp;"-1")</f>
        <v/>
      </c>
    </row>
    <row r="11992" spans="2:20" hidden="1">
      <c r="T11992" t="str">
        <f>IF(C11992="","",UPPER(LEFT(SUBSTITUTE(C11992," ",""),3))&amp;"-"&amp;TEXT(B11992,"AAMMDD")&amp;"-1")</f>
        <v/>
      </c>
    </row>
    <row r="11993" spans="2:20" hidden="1">
      <c r="T11993" t="str">
        <f>IF(C11993="","",UPPER(LEFT(SUBSTITUTE(C11993," ",""),3))&amp;"-"&amp;TEXT(B11993,"AAMMDD")&amp;"-1")</f>
        <v/>
      </c>
    </row>
    <row r="11994" spans="2:20" hidden="1">
      <c r="B11994" s="47"/>
      <c r="T11994" t="str">
        <f>IF(C11994="","",UPPER(LEFT(SUBSTITUTE(C11994," ",""),3))&amp;"-"&amp;TEXT(B11994,"AAMMDD")&amp;"-1")</f>
        <v/>
      </c>
    </row>
    <row r="11995" spans="2:20" hidden="1">
      <c r="B11995" s="47"/>
      <c r="T11995" t="str">
        <f>IF(C11995="","",UPPER(LEFT(SUBSTITUTE(C11995," ",""),3))&amp;"-"&amp;TEXT(B11995,"AAMMDD")&amp;"-1")</f>
        <v/>
      </c>
    </row>
    <row r="11996" spans="2:20" hidden="1">
      <c r="B11996" s="47"/>
      <c r="T11996" t="str">
        <f>IF(C11996="","",UPPER(LEFT(SUBSTITUTE(C11996," ",""),3))&amp;"-"&amp;TEXT(B11996,"AAMMDD")&amp;"-1")</f>
        <v/>
      </c>
    </row>
    <row r="11997" spans="2:20" hidden="1">
      <c r="B11997" s="47"/>
      <c r="T11997" t="str">
        <f>IF(C11997="","",UPPER(LEFT(SUBSTITUTE(C11997," ",""),3))&amp;"-"&amp;TEXT(B11997,"AAMMDD")&amp;"-1")</f>
        <v/>
      </c>
    </row>
  </sheetData>
  <autoFilter ref="C12003" xr:uid="{00000000-0001-0000-0000-000000000000}"/>
  <phoneticPr fontId="9" type="noConversion"/>
  <conditionalFormatting sqref="A2:Q2 A3:P11 N11994:N11995 B12:P12 Q3:Q500 B11994:B11997 D662:J663 B662:B663 L219:P500 B14:P218 B13:O13 K219:K2018 A12:A1998 B219:J661 J658:J672 N353:N744 L501:Q1993 B664:J1993">
    <cfRule type="expression" dxfId="20" priority="3">
      <formula>$I2="ENTRADA"</formula>
    </cfRule>
    <cfRule type="expression" dxfId="19" priority="4">
      <formula>$I2="SALIDA"</formula>
    </cfRule>
  </conditionalFormatting>
  <conditionalFormatting sqref="Q5788">
    <cfRule type="expression" dxfId="18" priority="1">
      <formula>$I5788="ENTRADA"</formula>
    </cfRule>
    <cfRule type="expression" dxfId="17" priority="2">
      <formula>$I5788="SALIDA"</formula>
    </cfRule>
  </conditionalFormatting>
  <conditionalFormatting sqref="C663">
    <cfRule type="expression" dxfId="16" priority="11">
      <formula>$I662="ENTRADA"</formula>
    </cfRule>
    <cfRule type="expression" dxfId="15" priority="12">
      <formula>$I662="SALIDA"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Listas!$A$2:$A$199</xm:f>
          </x14:formula1>
          <xm:sqref>C2:C295 C663:C1993 C297:C661</xm:sqref>
        </x14:dataValidation>
        <x14:dataValidation type="list" allowBlank="1" xr:uid="{00000000-0002-0000-0000-000002000000}">
          <x14:formula1>
            <xm:f>Listas!$C$2:$C$199</xm:f>
          </x14:formula1>
          <xm:sqref>E2:E1993</xm:sqref>
        </x14:dataValidation>
        <x14:dataValidation type="list" allowBlank="1" xr:uid="{00000000-0002-0000-0000-000005000000}">
          <x14:formula1>
            <xm:f>Listas!$F$2:$F$199</xm:f>
          </x14:formula1>
          <xm:sqref>I2:I1993</xm:sqref>
        </x14:dataValidation>
        <x14:dataValidation type="list" allowBlank="1" xr:uid="{00000000-0002-0000-0000-000006000000}">
          <x14:formula1>
            <xm:f>Listas!$G$2:$G$199</xm:f>
          </x14:formula1>
          <xm:sqref>L2:L1993</xm:sqref>
        </x14:dataValidation>
        <x14:dataValidation type="list" allowBlank="1" xr:uid="{00000000-0002-0000-0000-000007000000}">
          <x14:formula1>
            <xm:f>Listas!$H$2:$H$199</xm:f>
          </x14:formula1>
          <xm:sqref>O2:O1993</xm:sqref>
        </x14:dataValidation>
        <x14:dataValidation type="list" allowBlank="1" xr:uid="{00000000-0002-0000-0000-000001000000}">
          <x14:formula1>
            <xm:f>Listas!$B$2:$B$199</xm:f>
          </x14:formula1>
          <xm:sqref>D2:D1993</xm:sqref>
        </x14:dataValidation>
        <x14:dataValidation type="list" allowBlank="1" xr:uid="{00000000-0002-0000-0000-000004000000}">
          <x14:formula1>
            <xm:f>Listas!$E$2:$E$199</xm:f>
          </x14:formula1>
          <xm:sqref>G2:G1993</xm:sqref>
        </x14:dataValidation>
        <x14:dataValidation type="list" allowBlank="1" xr:uid="{00000000-0002-0000-0000-000003000000}">
          <x14:formula1>
            <xm:f>Listas!$D$2:$D$199</xm:f>
          </x14:formula1>
          <xm:sqref>F2:F1993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38" activePane="bottomLeft" state="frozen"/>
      <selection pane="bottomLeft" activeCell="G40" sqref="G40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2359</v>
      </c>
      <c r="B1" s="18" t="s">
        <v>2360</v>
      </c>
      <c r="C1" s="18" t="s">
        <v>4</v>
      </c>
      <c r="D1" s="18" t="s">
        <v>5</v>
      </c>
      <c r="E1" s="18" t="s">
        <v>11</v>
      </c>
      <c r="F1" s="18" t="s">
        <v>2361</v>
      </c>
      <c r="G1" s="18" t="s">
        <v>2362</v>
      </c>
      <c r="H1" s="18" t="s">
        <v>2363</v>
      </c>
    </row>
    <row r="2" spans="1:8">
      <c r="A2" s="7" t="s">
        <v>23</v>
      </c>
      <c r="B2" s="3" t="str">
        <f>IF(A2="","",IFERROR(INDEX(Movimientos!$D$2:$D$1993,MATCH(A2&amp;"ENTRADA",Movimientos!$S$2:$S$1993,0)),"-"))</f>
        <v>CURRY CL</v>
      </c>
      <c r="C2" s="3" t="str">
        <f>IF(A2="","",IFERROR(INDEX(Movimientos!$E$2:$E$1993,MATCH(A2&amp;"ENTRADA",Movimientos!$S$2:$S$1993,0)),"-"))</f>
        <v>Semilla</v>
      </c>
      <c r="D2" s="3" t="str">
        <f>IF(A2="","",IFERROR(INDEX(Movimientos!$F$2:$F$1993,MATCH(A2&amp;"ENTRADA",Movimientos!$S$2:$S$1993,0)),"-"))</f>
        <v>Colza</v>
      </c>
      <c r="E2" s="3" t="str">
        <f>IF(A2="","",IFERROR(INDEX(Movimientos!$L$2:$L$1993,MATCH(A2&amp;"ENTRADA",Movimientos!$S$2:$S$1993,0)),"-"))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32</v>
      </c>
      <c r="B3" s="3" t="str">
        <f>IF(A3="","",IFERROR(INDEX(Movimientos!$D$2:$D$1993,MATCH(A3&amp;"ENTRADA",Movimientos!$S$2:$S$1993,0)),"-"))</f>
        <v xml:space="preserve">Clopyralid 12% + Halauxyfen methyl 0,51% </v>
      </c>
      <c r="C3" s="3" t="str">
        <f>IF(A3="","",IFERROR(INDEX(Movimientos!$E$2:$E$1993,MATCH(A3&amp;"ENTRADA",Movimientos!$S$2:$S$1993,0)),"-"))</f>
        <v>Herbicida</v>
      </c>
      <c r="D3" s="3" t="str">
        <f>IF(A3="","",IFERROR(INDEX(Movimientos!$F$2:$F$1993,MATCH(A3&amp;"ENTRADA",Movimientos!$S$2:$S$1993,0)),"-"))</f>
        <v>Postemergente</v>
      </c>
      <c r="E3" s="3" t="str">
        <f>IF(A3="","",IFERROR(INDEX(Movimientos!$L$2:$L$1993,MATCH(A3&amp;"ENTRADA",Movimientos!$S$2:$S$1993,0)),"-"))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40</v>
      </c>
      <c r="B4" s="3" t="str">
        <f>IF(A4="","",IFERROR(INDEX(Movimientos!$D$2:$D$1993,MATCH(A4&amp;"ENTRADA",Movimientos!$S$2:$S$1993,0)),"-"))</f>
        <v>Clopyralid sal monoetanolamina 40.9%</v>
      </c>
      <c r="C4" s="3" t="str">
        <f>IF(A4="","",IFERROR(INDEX(Movimientos!$E$2:$E$1993,MATCH(A4&amp;"ENTRADA",Movimientos!$S$2:$S$1993,0)),"-"))</f>
        <v>Herbicida</v>
      </c>
      <c r="D4" s="3" t="str">
        <f>IF(A4="","",IFERROR(INDEX(Movimientos!$F$2:$F$1993,MATCH(A4&amp;"ENTRADA",Movimientos!$S$2:$S$1993,0)),"-"))</f>
        <v>Postemergente</v>
      </c>
      <c r="E4" s="3" t="str">
        <f>IF(A4="","",IFERROR(INDEX(Movimientos!$L$2:$L$1993,MATCH(A4&amp;"ENTRADA",Movimientos!$S$2:$S$1993,0)),"-"))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44</v>
      </c>
      <c r="B5" s="3" t="str">
        <f>IF(A5="","",IFERROR(INDEX(Movimientos!$D$2:$D$1993,MATCH(A5&amp;"ENTRADA",Movimientos!$S$2:$S$1993,0)),"-"))</f>
        <v>Flumetsulam 11,35%</v>
      </c>
      <c r="C5" s="3" t="str">
        <f>IF(A5="","",IFERROR(INDEX(Movimientos!$E$2:$E$1993,MATCH(A5&amp;"ENTRADA",Movimientos!$S$2:$S$1993,0)),"-"))</f>
        <v>Herbicida</v>
      </c>
      <c r="D5" s="3" t="str">
        <f>IF(A5="","",IFERROR(INDEX(Movimientos!$F$2:$F$1993,MATCH(A5&amp;"ENTRADA",Movimientos!$S$2:$S$1993,0)),"-"))</f>
        <v>Preemergente</v>
      </c>
      <c r="E5" s="3" t="str">
        <f>IF(A5="","",IFERROR(INDEX(Movimientos!$L$2:$L$1993,MATCH(A5&amp;"ENTRADA",Movimientos!$S$2:$S$1993,0)),"-"))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1920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50</v>
      </c>
      <c r="B6" s="3" t="str">
        <f>IF(A6="","",IFERROR(INDEX(Movimientos!$D$2:$D$1993,MATCH(A6&amp;"ENTRADA",Movimientos!$S$2:$S$1993,0)),"-"))</f>
        <v>Picloram 24,9%</v>
      </c>
      <c r="C6" s="3" t="str">
        <f>IF(A6="","",IFERROR(INDEX(Movimientos!$E$2:$E$1993,MATCH(A6&amp;"ENTRADA",Movimientos!$S$2:$S$1993,0)),"-"))</f>
        <v>Herbicida</v>
      </c>
      <c r="D6" s="3" t="str">
        <f>IF(A6="","",IFERROR(INDEX(Movimientos!$F$2:$F$1993,MATCH(A6&amp;"ENTRADA",Movimientos!$S$2:$S$1993,0)),"-"))</f>
        <v>Postemergente</v>
      </c>
      <c r="E6" s="3" t="str">
        <f>IF(A6="","",IFERROR(INDEX(Movimientos!$L$2:$L$1993,MATCH(A6&amp;"ENTRADA",Movimientos!$S$2:$S$1993,0)),"-"))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54</v>
      </c>
      <c r="B7" s="3" t="str">
        <f>IF(A7="","",IFERROR(INDEX(Movimientos!$D$2:$D$1993,MATCH(A7&amp;"ENTRADA",Movimientos!$S$2:$S$1993,0)),"-"))</f>
        <v>Halauxifen metil 3.3% + Aminopyralid 2.7% + Metsulfuron metil 20%</v>
      </c>
      <c r="C7" s="3" t="str">
        <f>IF(A7="","",IFERROR(INDEX(Movimientos!$E$2:$E$1993,MATCH(A7&amp;"ENTRADA",Movimientos!$S$2:$S$1993,0)),"-"))</f>
        <v>Herbicida</v>
      </c>
      <c r="D7" s="3" t="str">
        <f>IF(A7="","",IFERROR(INDEX(Movimientos!$F$2:$F$1993,MATCH(A7&amp;"ENTRADA",Movimientos!$S$2:$S$1993,0)),"-"))</f>
        <v>Postemergente</v>
      </c>
      <c r="E7" s="3" t="str">
        <f>IF(A7="","",IFERROR(INDEX(Movimientos!$L$2:$L$1993,MATCH(A7&amp;"ENTRADA",Movimientos!$S$2:$S$1993,0)),"-"))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59</v>
      </c>
      <c r="B8" s="3" t="str">
        <f>IF(A8="","",IFERROR(INDEX(Movimientos!$D$2:$D$1993,MATCH(A8&amp;"ENTRADA",Movimientos!$S$2:$S$1993,0)),"-"))</f>
        <v>2,4-Db-Butilo 93.1%</v>
      </c>
      <c r="C8" s="3" t="str">
        <f>IF(A8="","",IFERROR(INDEX(Movimientos!$E$2:$E$1993,MATCH(A8&amp;"ENTRADA",Movimientos!$S$2:$S$1993,0)),"-"))</f>
        <v>Herbicida</v>
      </c>
      <c r="D8" s="3" t="str">
        <f>IF(A8="","",IFERROR(INDEX(Movimientos!$F$2:$F$1993,MATCH(A8&amp;"ENTRADA",Movimientos!$S$2:$S$1993,0)),"-"))</f>
        <v>Postemergente</v>
      </c>
      <c r="E8" s="3" t="str">
        <f>IF(A8="","",IFERROR(INDEX(Movimientos!$L$2:$L$1993,MATCH(A8&amp;"ENTRADA",Movimientos!$S$2:$S$1993,0)),"-"))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1700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75</v>
      </c>
      <c r="B9" s="3" t="str">
        <f>IF(A9="","",IFERROR(INDEX(Movimientos!$D$2:$D$1993,MATCH(A9&amp;"ENTRADA",Movimientos!$S$2:$S$1993,0)),"-"))</f>
        <v>2,4 D Acido 27.2%</v>
      </c>
      <c r="C9" s="3" t="str">
        <f>IF(A9="","",IFERROR(INDEX(Movimientos!$E$2:$E$1993,MATCH(A9&amp;"ENTRADA",Movimientos!$S$2:$S$1993,0)),"-"))</f>
        <v>Herbicida</v>
      </c>
      <c r="D9" s="3" t="str">
        <f>IF(A9="","",IFERROR(INDEX(Movimientos!$F$2:$F$1993,MATCH(A9&amp;"ENTRADA",Movimientos!$S$2:$S$1993,0)),"-"))</f>
        <v>Postemergente</v>
      </c>
      <c r="E9" s="3" t="str">
        <f>IF(A9="","",IFERROR(INDEX(Movimientos!$L$2:$L$1993,MATCH(A9&amp;"ENTRADA",Movimientos!$S$2:$S$1993,0)),"-"))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5960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70</v>
      </c>
      <c r="B10" s="3" t="str">
        <f>IF(A10="","",IFERROR(INDEX(Movimientos!$D$2:$D$1993,MATCH(A10&amp;"ENTRADA",Movimientos!$S$2:$S$1993,0)),"-"))</f>
        <v>Silobolsa 9 pies</v>
      </c>
      <c r="C10" s="3" t="str">
        <f>IF(A10="","",IFERROR(INDEX(Movimientos!$E$2:$E$1993,MATCH(A10&amp;"ENTRADA",Movimientos!$S$2:$S$1993,0)),"-"))</f>
        <v>Silobolsa</v>
      </c>
      <c r="D10" s="3">
        <f>IF(A10="","",IFERROR(INDEX(Movimientos!$F$2:$F$1993,MATCH(A10&amp;"ENTRADA",Movimientos!$S$2:$S$1993,0)),"-"))</f>
        <v>0</v>
      </c>
      <c r="E10" s="3" t="str">
        <f>IF(A10="","",IFERROR(INDEX(Movimientos!$L$2:$L$1993,MATCH(A10&amp;"ENTRADA",Movimientos!$S$2:$S$1993,0)),"-"))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80</v>
      </c>
      <c r="B11" s="3" t="str">
        <f>IF(A11="","",IFERROR(INDEX(Movimientos!$D$2:$D$1993,MATCH(A11&amp;"ENTRADA",Movimientos!$S$2:$S$1993,0)),"-"))</f>
        <v>Estanzuela 284</v>
      </c>
      <c r="C11" s="3" t="str">
        <f>IF(A11="","",IFERROR(INDEX(Movimientos!$E$2:$E$1993,MATCH(A11&amp;"ENTRADA",Movimientos!$S$2:$S$1993,0)),"-"))</f>
        <v>Semilla</v>
      </c>
      <c r="D11" s="3" t="str">
        <f>IF(A11="","",IFERROR(INDEX(Movimientos!$F$2:$F$1993,MATCH(A11&amp;"ENTRADA",Movimientos!$S$2:$S$1993,0)),"-"))</f>
        <v>Raigrás</v>
      </c>
      <c r="E11" s="3" t="str">
        <f>IF(A11="","",IFERROR(INDEX(Movimientos!$L$2:$L$1993,MATCH(A11&amp;"ENTRADA",Movimientos!$S$2:$S$1993,0)),"-"))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86</v>
      </c>
      <c r="B12" s="3" t="str">
        <f>IF(A12="","",IFERROR(INDEX(Movimientos!$D$2:$D$1993,MATCH(A12&amp;"ENTRADA",Movimientos!$S$2:$S$1993,0)),"-"))</f>
        <v>Fluroxypyr Meptil 45,52%</v>
      </c>
      <c r="C12" s="3" t="str">
        <f>IF(A12="","",IFERROR(INDEX(Movimientos!$E$2:$E$1993,MATCH(A12&amp;"ENTRADA",Movimientos!$S$2:$S$1993,0)),"-"))</f>
        <v>Herbicida</v>
      </c>
      <c r="D12" s="3" t="str">
        <f>IF(A12="","",IFERROR(INDEX(Movimientos!$F$2:$F$1993,MATCH(A12&amp;"ENTRADA",Movimientos!$S$2:$S$1993,0)),"-"))</f>
        <v>Postemergente</v>
      </c>
      <c r="E12" s="3" t="str">
        <f>IF(A12="","",IFERROR(INDEX(Movimientos!$L$2:$L$1993,MATCH(A12&amp;"ENTRADA",Movimientos!$S$2:$S$1993,0)),"-"))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90</v>
      </c>
      <c r="B13" s="3" t="str">
        <f>IF(A13="","",IFERROR(INDEX(Movimientos!$D$2:$D$1993,MATCH(A13&amp;"ENTRADA",Movimientos!$S$2:$S$1993,0)),"-"))</f>
        <v>Fluroxypyr meptyl 34,91% + Halauxyfen methyl 1.64% + Cloquintocet mexyl 1.57%</v>
      </c>
      <c r="C13" s="3" t="str">
        <f>IF(A13="","",IFERROR(INDEX(Movimientos!$E$2:$E$1993,MATCH(A13&amp;"ENTRADA",Movimientos!$S$2:$S$1993,0)),"-"))</f>
        <v>Herbicida</v>
      </c>
      <c r="D13" s="3" t="str">
        <f>IF(A13="","",IFERROR(INDEX(Movimientos!$F$2:$F$1993,MATCH(A13&amp;"ENTRADA",Movimientos!$S$2:$S$1993,0)),"-"))</f>
        <v>Postemergente</v>
      </c>
      <c r="E13" s="3" t="str">
        <f>IF(A13="","",IFERROR(INDEX(Movimientos!$L$2:$L$1993,MATCH(A13&amp;"ENTRADA",Movimientos!$S$2:$S$1993,0)),"-"))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5460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112</v>
      </c>
      <c r="B14" s="3" t="str">
        <f>IF(A14="","",IFERROR(INDEX(Movimientos!$D$2:$D$1993,MATCH(A14&amp;"ENTRADA",Movimientos!$S$2:$S$1993,0)),"-"))</f>
        <v>APOLO CL</v>
      </c>
      <c r="C14" s="3" t="str">
        <f>IF(A14="","",IFERROR(INDEX(Movimientos!$E$2:$E$1993,MATCH(A14&amp;"ENTRADA",Movimientos!$S$2:$S$1993,0)),"-"))</f>
        <v>Semilla</v>
      </c>
      <c r="D14" s="3" t="str">
        <f>IF(A14="","",IFERROR(INDEX(Movimientos!$F$2:$F$1993,MATCH(A14&amp;"ENTRADA",Movimientos!$S$2:$S$1993,0)),"-"))</f>
        <v>Colza</v>
      </c>
      <c r="E14" s="3" t="str">
        <f>IF(A14="","",IFERROR(INDEX(Movimientos!$L$2:$L$1993,MATCH(A14&amp;"ENTRADA",Movimientos!$S$2:$S$1993,0)),"-"))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108</v>
      </c>
      <c r="B15" s="3" t="str">
        <f>IF(A15="","",IFERROR(INDEX(Movimientos!$D$2:$D$1993,MATCH(A15&amp;"ENTRADA",Movimientos!$S$2:$S$1993,0)),"-"))</f>
        <v>HYOLA 575 CL</v>
      </c>
      <c r="C15" s="3" t="str">
        <f>IF(A15="","",IFERROR(INDEX(Movimientos!$E$2:$E$1993,MATCH(A15&amp;"ENTRADA",Movimientos!$S$2:$S$1993,0)),"-"))</f>
        <v>Semilla</v>
      </c>
      <c r="D15" s="3" t="str">
        <f>IF(A15="","",IFERROR(INDEX(Movimientos!$F$2:$F$1993,MATCH(A15&amp;"ENTRADA",Movimientos!$S$2:$S$1993,0)),"-"))</f>
        <v>Colza</v>
      </c>
      <c r="E15" s="3" t="str">
        <f>IF(A15="","",IFERROR(INDEX(Movimientos!$L$2:$L$1993,MATCH(A15&amp;"ENTRADA",Movimientos!$S$2:$S$1993,0)),"-"))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115</v>
      </c>
      <c r="B16" s="3" t="str">
        <f>IF(A16="","",IFERROR(INDEX(Movimientos!$D$2:$D$1993,MATCH(A16&amp;"ENTRADA",Movimientos!$S$2:$S$1993,0)),"-"))</f>
        <v>Glifosato Sal DMA 608 g/L. Equivalente en glifosato 480 g/L</v>
      </c>
      <c r="C16" s="3" t="str">
        <f>IF(A16="","",IFERROR(INDEX(Movimientos!$E$2:$E$1993,MATCH(A16&amp;"ENTRADA",Movimientos!$S$2:$S$1993,0)),"-"))</f>
        <v>Herbicida</v>
      </c>
      <c r="D16" s="3" t="str">
        <f>IF(A16="","",IFERROR(INDEX(Movimientos!$F$2:$F$1993,MATCH(A16&amp;"ENTRADA",Movimientos!$S$2:$S$1993,0)),"-"))</f>
        <v>Postemergente</v>
      </c>
      <c r="E16" s="3" t="str">
        <f>IF(A16="","",IFERROR(INDEX(Movimientos!$L$2:$L$1993,MATCH(A16&amp;"ENTRADA",Movimientos!$S$2:$S$1993,0)),"-"))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45480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122</v>
      </c>
      <c r="B17" s="3" t="str">
        <f>IF(A17="","",IFERROR(INDEX(Movimientos!$D$2:$D$1993,MATCH(A17&amp;"ENTRADA",Movimientos!$S$2:$S$1993,0)),"-"))</f>
        <v>Clethodim 240 g/L</v>
      </c>
      <c r="C17" s="3" t="str">
        <f>IF(A17="","",IFERROR(INDEX(Movimientos!$E$2:$E$1993,MATCH(A17&amp;"ENTRADA",Movimientos!$S$2:$S$1993,0)),"-"))</f>
        <v>Herbicida</v>
      </c>
      <c r="D17" s="3" t="str">
        <f>IF(A17="","",IFERROR(INDEX(Movimientos!$F$2:$F$1993,MATCH(A17&amp;"ENTRADA",Movimientos!$S$2:$S$1993,0)),"-"))</f>
        <v>Postemergente</v>
      </c>
      <c r="E17" s="3" t="str">
        <f>IF(A17="","",IFERROR(INDEX(Movimientos!$L$2:$L$1993,MATCH(A17&amp;"ENTRADA",Movimientos!$S$2:$S$1993,0)),"-"))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4170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130</v>
      </c>
      <c r="B18" s="3" t="str">
        <f>IF(A18="","",IFERROR(INDEX(Movimientos!$D$2:$D$1993,MATCH(A18&amp;"ENTRADA",Movimientos!$S$2:$S$1993,0)),"-"))</f>
        <v>ALCOHOL LINEAL ETOXILADO 32.7%</v>
      </c>
      <c r="C18" s="3" t="str">
        <f>IF(A18="","",IFERROR(INDEX(Movimientos!$E$2:$E$1993,MATCH(A18&amp;"ENTRADA",Movimientos!$S$2:$S$1993,0)),"-"))</f>
        <v>Coadyuvante</v>
      </c>
      <c r="D18" s="3">
        <f>IF(A18="","",IFERROR(INDEX(Movimientos!$F$2:$F$1993,MATCH(A18&amp;"ENTRADA",Movimientos!$S$2:$S$1993,0)),"-"))</f>
        <v>0</v>
      </c>
      <c r="E18" s="3" t="str">
        <f>IF(A18="","",IFERROR(INDEX(Movimientos!$L$2:$L$1993,MATCH(A18&amp;"ENTRADA",Movimientos!$S$2:$S$1993,0)),"-"))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8700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137</v>
      </c>
      <c r="B19" s="3" t="str">
        <f>IF(A19="","",IFERROR(INDEX(Movimientos!$D$2:$D$1993,MATCH(A19&amp;"ENTRADA",Movimientos!$S$2:$S$1993,0)),"-"))</f>
        <v>ACIDO FOSFORICO 23 g</v>
      </c>
      <c r="C19" s="3" t="str">
        <f>IF(A19="","",IFERROR(INDEX(Movimientos!$E$2:$E$1993,MATCH(A19&amp;"ENTRADA",Movimientos!$S$2:$S$1993,0)),"-"))</f>
        <v>Coadyuvante</v>
      </c>
      <c r="D19" s="3">
        <f>IF(A19="","",IFERROR(INDEX(Movimientos!$F$2:$F$1993,MATCH(A19&amp;"ENTRADA",Movimientos!$S$2:$S$1993,0)),"-"))</f>
        <v>0</v>
      </c>
      <c r="E19" s="3" t="str">
        <f>IF(A19="","",IFERROR(INDEX(Movimientos!$L$2:$L$1993,MATCH(A19&amp;"ENTRADA",Movimientos!$S$2:$S$1993,0)),"-"))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1927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141</v>
      </c>
      <c r="B20" s="3" t="str">
        <f>IF(A20="","",IFERROR(INDEX(Movimientos!$D$2:$D$1993,MATCH(A20&amp;"ENTRADA",Movimientos!$S$2:$S$1993,0)),"-"))</f>
        <v>ACEITE DE SOJA 48 g</v>
      </c>
      <c r="C20" s="3" t="str">
        <f>IF(A20="","",IFERROR(INDEX(Movimientos!$E$2:$E$1993,MATCH(A20&amp;"ENTRADA",Movimientos!$S$2:$S$1993,0)),"-"))</f>
        <v>Coadyuvante</v>
      </c>
      <c r="D20" s="3">
        <f>IF(A20="","",IFERROR(INDEX(Movimientos!$F$2:$F$1993,MATCH(A20&amp;"ENTRADA",Movimientos!$S$2:$S$1993,0)),"-"))</f>
        <v>0</v>
      </c>
      <c r="E20" s="3" t="str">
        <f>IF(A20="","",IFERROR(INDEX(Movimientos!$L$2:$L$1993,MATCH(A20&amp;"ENTRADA",Movimientos!$S$2:$S$1993,0)),"-"))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375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147</v>
      </c>
      <c r="B21" s="3" t="str">
        <f>IF(A21="","",IFERROR(INDEX(Movimientos!$D$2:$D$1993,MATCH(A21&amp;"ENTRADA",Movimientos!$S$2:$S$1993,0)),"-"))</f>
        <v>PINOXADEN 5 GR + CLOQUINTOCET-MEXIL 1.25 GR</v>
      </c>
      <c r="C21" s="3" t="str">
        <f>IF(A21="","",IFERROR(INDEX(Movimientos!$E$2:$E$1993,MATCH(A21&amp;"ENTRADA",Movimientos!$S$2:$S$1993,0)),"-"))</f>
        <v>Herbicida</v>
      </c>
      <c r="D21" s="3" t="str">
        <f>IF(A21="","",IFERROR(INDEX(Movimientos!$F$2:$F$1993,MATCH(A21&amp;"ENTRADA",Movimientos!$S$2:$S$1993,0)),"-"))</f>
        <v>Postemergente</v>
      </c>
      <c r="E21" s="3" t="str">
        <f>IF(A21="","",IFERROR(INDEX(Movimientos!$L$2:$L$1993,MATCH(A21&amp;"ENTRADA",Movimientos!$S$2:$S$1993,0)),"-"))</f>
        <v>L</v>
      </c>
      <c r="F21" s="8">
        <f>IF(A21="","",COUNTIFS(Stock_por_Lote!$B:$B,A21,Stock_por_Lote!$J:$J,"&gt;0"))</f>
        <v>0</v>
      </c>
      <c r="G21" s="9">
        <f>IF(A21="","",SUMIFS(Movimientos!$K:$K,Movimientos!$C:$C,A21))</f>
        <v>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156</v>
      </c>
      <c r="B22" s="3" t="str">
        <f>IF(A22="","",IFERROR(INDEX(Movimientos!$D$2:$D$1993,MATCH(A22&amp;"ENTRADA",Movimientos!$S$2:$S$1993,0)),"-"))</f>
        <v>Nuola 300</v>
      </c>
      <c r="C22" s="3" t="str">
        <f>IF(A22="","",IFERROR(INDEX(Movimientos!$E$2:$E$1993,MATCH(A22&amp;"ENTRADA",Movimientos!$S$2:$S$1993,0)),"-"))</f>
        <v>Semilla</v>
      </c>
      <c r="D22" s="3" t="str">
        <f>IF(A22="","",IFERROR(INDEX(Movimientos!$F$2:$F$1993,MATCH(A22&amp;"ENTRADA",Movimientos!$S$2:$S$1993,0)),"-"))</f>
        <v>Colza</v>
      </c>
      <c r="E22" s="3" t="str">
        <f>IF(A22="","",IFERROR(INDEX(Movimientos!$L$2:$L$1993,MATCH(A22&amp;"ENTRADA",Movimientos!$S$2:$S$1993,0)),"-"))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160</v>
      </c>
      <c r="B23" s="3" t="str">
        <f>IF(A23="","",IFERROR(INDEX(Movimientos!$D$2:$D$1993,MATCH(A23&amp;"ENTRADA",Movimientos!$S$2:$S$1993,0)),"-"))</f>
        <v>Ceres IMI</v>
      </c>
      <c r="C23" s="3" t="str">
        <f>IF(A23="","",IFERROR(INDEX(Movimientos!$E$2:$E$1993,MATCH(A23&amp;"ENTRADA",Movimientos!$S$2:$S$1993,0)),"-"))</f>
        <v>Semilla</v>
      </c>
      <c r="D23" s="3" t="str">
        <f>IF(A23="","",IFERROR(INDEX(Movimientos!$F$2:$F$1993,MATCH(A23&amp;"ENTRADA",Movimientos!$S$2:$S$1993,0)),"-"))</f>
        <v>Colza</v>
      </c>
      <c r="E23" s="3" t="str">
        <f>IF(A23="","",IFERROR(INDEX(Movimientos!$L$2:$L$1993,MATCH(A23&amp;"ENTRADA",Movimientos!$S$2:$S$1993,0)),"-"))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164</v>
      </c>
      <c r="B24" s="3" t="str">
        <f>IF(A24="","",IFERROR(INDEX(Movimientos!$D$2:$D$1993,MATCH(A24&amp;"ENTRADA",Movimientos!$S$2:$S$1993,0)),"-"))</f>
        <v>Festuca Carape</v>
      </c>
      <c r="C24" s="3" t="str">
        <f>IF(A24="","",IFERROR(INDEX(Movimientos!$E$2:$E$1993,MATCH(A24&amp;"ENTRADA",Movimientos!$S$2:$S$1993,0)),"-"))</f>
        <v>Semilla</v>
      </c>
      <c r="D24" s="3" t="str">
        <f>IF(A24="","",IFERROR(INDEX(Movimientos!$F$2:$F$1993,MATCH(A24&amp;"ENTRADA",Movimientos!$S$2:$S$1993,0)),"-"))</f>
        <v>Festuca</v>
      </c>
      <c r="E24" s="3" t="str">
        <f>IF(A24="","",IFERROR(INDEX(Movimientos!$L$2:$L$1993,MATCH(A24&amp;"ENTRADA",Movimientos!$S$2:$S$1993,0)),"-"))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168</v>
      </c>
      <c r="B25" s="3" t="str">
        <f>IF(A25="","",IFERROR(INDEX(Movimientos!$D$2:$D$1993,MATCH(A25&amp;"ENTRADA",Movimientos!$S$2:$S$1993,0)),"-"))</f>
        <v>Alfalfa Verdor momla 384-2n-04</v>
      </c>
      <c r="C25" s="3" t="str">
        <f>IF(A25="","",IFERROR(INDEX(Movimientos!$E$2:$E$1993,MATCH(A25&amp;"ENTRADA",Movimientos!$S$2:$S$1993,0)),"-"))</f>
        <v>Semilla</v>
      </c>
      <c r="D25" s="3" t="str">
        <f>IF(A25="","",IFERROR(INDEX(Movimientos!$F$2:$F$1993,MATCH(A25&amp;"ENTRADA",Movimientos!$S$2:$S$1993,0)),"-"))</f>
        <v>Alfalfa</v>
      </c>
      <c r="E25" s="3" t="str">
        <f>IF(A25="","",IFERROR(INDEX(Movimientos!$L$2:$L$1993,MATCH(A25&amp;"ENTRADA",Movimientos!$S$2:$S$1993,0)),"-"))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172</v>
      </c>
      <c r="B26" s="3" t="str">
        <f>IF(A26="","",IFERROR(INDEX(Movimientos!$D$2:$D$1993,MATCH(A26&amp;"ENTRADA",Movimientos!$S$2:$S$1993,0)),"-"))</f>
        <v xml:space="preserve">Achicora inia nova </v>
      </c>
      <c r="C26" s="3" t="str">
        <f>IF(A26="","",IFERROR(INDEX(Movimientos!$E$2:$E$1993,MATCH(A26&amp;"ENTRADA",Movimientos!$S$2:$S$1993,0)),"-"))</f>
        <v>Semilla</v>
      </c>
      <c r="D26" s="3" t="str">
        <f>IF(A26="","",IFERROR(INDEX(Movimientos!$F$2:$F$1993,MATCH(A26&amp;"ENTRADA",Movimientos!$S$2:$S$1993,0)),"-"))</f>
        <v>Achicoria</v>
      </c>
      <c r="E26" s="3" t="str">
        <f>IF(A26="","",IFERROR(INDEX(Movimientos!$L$2:$L$1993,MATCH(A26&amp;"ENTRADA",Movimientos!$S$2:$S$1993,0)),"-"))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178</v>
      </c>
      <c r="B27" s="3" t="str">
        <f>IF(A27="","",IFERROR(INDEX(Movimientos!$D$2:$D$1993,MATCH(A27&amp;"ENTRADA",Movimientos!$S$2:$S$1993,0)),"-"))</f>
        <v>Festuca Sortija C2</v>
      </c>
      <c r="C27" s="3" t="str">
        <f>IF(A27="","",IFERROR(INDEX(Movimientos!$E$2:$E$1993,MATCH(A27&amp;"ENTRADA",Movimientos!$S$2:$S$1993,0)),"-"))</f>
        <v>Semilla</v>
      </c>
      <c r="D27" s="3" t="str">
        <f>IF(A27="","",IFERROR(INDEX(Movimientos!$F$2:$F$1993,MATCH(A27&amp;"ENTRADA",Movimientos!$S$2:$S$1993,0)),"-"))</f>
        <v>Festuca</v>
      </c>
      <c r="E27" s="3" t="str">
        <f>IF(A27="","",IFERROR(INDEX(Movimientos!$L$2:$L$1993,MATCH(A27&amp;"ENTRADA",Movimientos!$S$2:$S$1993,0)),"-"))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182</v>
      </c>
      <c r="B28" s="3" t="str">
        <f>IF(A28="","",IFERROR(INDEX(Movimientos!$D$2:$D$1993,MATCH(A28&amp;"ENTRADA",Movimientos!$S$2:$S$1993,0)),"-"))</f>
        <v>Dactylis Drover ecotec af gram c2</v>
      </c>
      <c r="C28" s="3" t="str">
        <f>IF(A28="","",IFERROR(INDEX(Movimientos!$E$2:$E$1993,MATCH(A28&amp;"ENTRADA",Movimientos!$S$2:$S$1993,0)),"-"))</f>
        <v>Semilla</v>
      </c>
      <c r="D28" s="3" t="str">
        <f>IF(A28="","",IFERROR(INDEX(Movimientos!$F$2:$F$1993,MATCH(A28&amp;"ENTRADA",Movimientos!$S$2:$S$1993,0)),"-"))</f>
        <v>Dactylis</v>
      </c>
      <c r="E28" s="3" t="str">
        <f>IF(A28="","",IFERROR(INDEX(Movimientos!$L$2:$L$1993,MATCH(A28&amp;"ENTRADA",Movimientos!$S$2:$S$1993,0)),"-"))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186</v>
      </c>
      <c r="B29" s="3" t="str">
        <f>IF(A29="","",IFERROR(INDEX(Movimientos!$D$2:$D$1993,MATCH(A29&amp;"ENTRADA",Movimientos!$S$2:$S$1993,0)),"-"))</f>
        <v>Trebol Blanco E Zapican Ecotec AF</v>
      </c>
      <c r="C29" s="3" t="str">
        <f>IF(A29="","",IFERROR(INDEX(Movimientos!$E$2:$E$1993,MATCH(A29&amp;"ENTRADA",Movimientos!$S$2:$S$1993,0)),"-"))</f>
        <v>Semilla</v>
      </c>
      <c r="D29" s="3" t="str">
        <f>IF(A29="","",IFERROR(INDEX(Movimientos!$F$2:$F$1993,MATCH(A29&amp;"ENTRADA",Movimientos!$S$2:$S$1993,0)),"-"))</f>
        <v>Trebol Blanco</v>
      </c>
      <c r="E29" s="3" t="str">
        <f>IF(A29="","",IFERROR(INDEX(Movimientos!$L$2:$L$1993,MATCH(A29&amp;"ENTRADA",Movimientos!$S$2:$S$1993,0)),"-"))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190</v>
      </c>
      <c r="B30" s="3" t="str">
        <f>IF(A30="","",IFERROR(INDEX(Movimientos!$D$2:$D$1993,MATCH(A30&amp;"ENTRADA",Movimientos!$S$2:$S$1993,0)),"-"))</f>
        <v>Trebol Rojo E116 Ecotec AF</v>
      </c>
      <c r="C30" s="3" t="str">
        <f>IF(A30="","",IFERROR(INDEX(Movimientos!$E$2:$E$1993,MATCH(A30&amp;"ENTRADA",Movimientos!$S$2:$S$1993,0)),"-"))</f>
        <v>Semilla</v>
      </c>
      <c r="D30" s="3" t="str">
        <f>IF(A30="","",IFERROR(INDEX(Movimientos!$F$2:$F$1993,MATCH(A30&amp;"ENTRADA",Movimientos!$S$2:$S$1993,0)),"-"))</f>
        <v xml:space="preserve">Trebol Rojo </v>
      </c>
      <c r="E30" s="3" t="str">
        <f>IF(A30="","",IFERROR(INDEX(Movimientos!$L$2:$L$1993,MATCH(A30&amp;"ENTRADA",Movimientos!$S$2:$S$1993,0)),"-"))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194</v>
      </c>
      <c r="B31" s="3" t="str">
        <f>IF(A31="","",IFERROR(INDEX(Movimientos!$D$2:$D$1993,MATCH(A31&amp;"ENTRADA",Movimientos!$S$2:$S$1993,0)),"-"))</f>
        <v>Phalaris Stockman Comb</v>
      </c>
      <c r="C31" s="3" t="str">
        <f>IF(A31="","",IFERROR(INDEX(Movimientos!$E$2:$E$1993,MATCH(A31&amp;"ENTRADA",Movimientos!$S$2:$S$1993,0)),"-"))</f>
        <v>Semilla</v>
      </c>
      <c r="D31" s="3" t="str">
        <f>IF(A31="","",IFERROR(INDEX(Movimientos!$F$2:$F$1993,MATCH(A31&amp;"ENTRADA",Movimientos!$S$2:$S$1993,0)),"-"))</f>
        <v>Phalaris</v>
      </c>
      <c r="E31" s="3" t="str">
        <f>IF(A31="","",IFERROR(INDEX(Movimientos!$L$2:$L$1993,MATCH(A31&amp;"ENTRADA",Movimientos!$S$2:$S$1993,0)),"-"))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228</v>
      </c>
      <c r="B32" s="3" t="str">
        <f>IF(A32="","",IFERROR(INDEX(Movimientos!$D$2:$D$1993,MATCH(A32&amp;"ENTRADA",Movimientos!$S$2:$S$1993,0)),"-"))</f>
        <v>Continuum CL</v>
      </c>
      <c r="C32" s="3" t="str">
        <f>IF(A32="","",IFERROR(INDEX(Movimientos!$E$2:$E$1993,MATCH(A32&amp;"ENTRADA",Movimientos!$S$2:$S$1993,0)),"-"))</f>
        <v>Semilla</v>
      </c>
      <c r="D32" s="3" t="str">
        <f>IF(A32="","",IFERROR(INDEX(Movimientos!$F$2:$F$1993,MATCH(A32&amp;"ENTRADA",Movimientos!$S$2:$S$1993,0)),"-"))</f>
        <v>Colza</v>
      </c>
      <c r="E32" s="3" t="str">
        <f>IF(A32="","",IFERROR(INDEX(Movimientos!$L$2:$L$1993,MATCH(A32&amp;"ENTRADA",Movimientos!$S$2:$S$1993,0)),"-"))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231</v>
      </c>
      <c r="B33" s="3" t="str">
        <f>IF(A33="","",IFERROR(INDEX(Movimientos!$D$2:$D$1993,MATCH(A33&amp;"ENTRADA",Movimientos!$S$2:$S$1993,0)),"-"))</f>
        <v>Colza Hyola Solstice cl</v>
      </c>
      <c r="C33" s="3" t="str">
        <f>IF(A33="","",IFERROR(INDEX(Movimientos!$E$2:$E$1993,MATCH(A33&amp;"ENTRADA",Movimientos!$S$2:$S$1993,0)),"-"))</f>
        <v>Semilla</v>
      </c>
      <c r="D33" s="3" t="str">
        <f>IF(A33="","",IFERROR(INDEX(Movimientos!$F$2:$F$1993,MATCH(A33&amp;"ENTRADA",Movimientos!$S$2:$S$1993,0)),"-"))</f>
        <v>Colza</v>
      </c>
      <c r="E33" s="3" t="str">
        <f>IF(A33="","",IFERROR(INDEX(Movimientos!$L$2:$L$1993,MATCH(A33&amp;"ENTRADA",Movimientos!$S$2:$S$1993,0)),"-"))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126</v>
      </c>
      <c r="B34" s="3" t="str">
        <f>IF(A34="","",IFERROR(INDEX(Movimientos!$D$2:$D$1993,MATCH(A34&amp;"ENTRADA",Movimientos!$S$2:$S$1993,0)),"-"))</f>
        <v xml:space="preserve">Avena propia </v>
      </c>
      <c r="C34" s="3" t="str">
        <f>IF(A34="","",IFERROR(INDEX(Movimientos!$E$2:$E$1993,MATCH(A34&amp;"ENTRADA",Movimientos!$S$2:$S$1993,0)),"-"))</f>
        <v>Semilla</v>
      </c>
      <c r="D34" s="3" t="str">
        <f>IF(A34="","",IFERROR(INDEX(Movimientos!$F$2:$F$1993,MATCH(A34&amp;"ENTRADA",Movimientos!$S$2:$S$1993,0)),"-"))</f>
        <v>Avena</v>
      </c>
      <c r="E34" s="3" t="str">
        <f>IF(A34="","",IFERROR(INDEX(Movimientos!$L$2:$L$1993,MATCH(A34&amp;"ENTRADA",Movimientos!$S$2:$S$1993,0)),"-"))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245</v>
      </c>
      <c r="B35" s="3" t="str">
        <f>IF(A35="","",IFERROR(INDEX(Movimientos!$D$2:$D$1993,MATCH(A35&amp;"ENTRADA",Movimientos!$S$2:$S$1993,0)),"-"))</f>
        <v>Imazapir sal isopropilamina 24,2%</v>
      </c>
      <c r="C35" s="3" t="str">
        <f>IF(A35="","",IFERROR(INDEX(Movimientos!$E$2:$E$1993,MATCH(A35&amp;"ENTRADA",Movimientos!$S$2:$S$1993,0)),"-"))</f>
        <v>Herbicida</v>
      </c>
      <c r="D35" s="3" t="str">
        <f>IF(A35="","",IFERROR(INDEX(Movimientos!$F$2:$F$1993,MATCH(A35&amp;"ENTRADA",Movimientos!$S$2:$S$1993,0)),"-"))</f>
        <v>Postemergente</v>
      </c>
      <c r="E35" s="3" t="str">
        <f>IF(A35="","",IFERROR(INDEX(Movimientos!$L$2:$L$1993,MATCH(A35&amp;"ENTRADA",Movimientos!$S$2:$S$1993,0)),"-"))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249</v>
      </c>
      <c r="B36" s="3" t="str">
        <f>IF(A36="","",IFERROR(INDEX(Movimientos!$D$2:$D$1993,MATCH(A36&amp;"ENTRADA",Movimientos!$S$2:$S$1993,0)),"-"))</f>
        <v>Esteres metílicos de aceite vegetal 42,5%</v>
      </c>
      <c r="C36" s="3" t="str">
        <f>IF(A36="","",IFERROR(INDEX(Movimientos!$E$2:$E$1993,MATCH(A36&amp;"ENTRADA",Movimientos!$S$2:$S$1993,0)),"-"))</f>
        <v>Coadyuvante</v>
      </c>
      <c r="D36" s="3">
        <f>IF(A36="","",IFERROR(INDEX(Movimientos!$F$2:$F$1993,MATCH(A36&amp;"ENTRADA",Movimientos!$S$2:$S$1993,0)),"-"))</f>
        <v>0</v>
      </c>
      <c r="E36" s="3" t="str">
        <f>IF(A36="","",IFERROR(INDEX(Movimientos!$L$2:$L$1993,MATCH(A36&amp;"ENTRADA",Movimientos!$S$2:$S$1993,0)),"-"))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264</v>
      </c>
      <c r="B37" s="3" t="str">
        <f>IF(A37="","",IFERROR(INDEX(Movimientos!$D$2:$D$1993,MATCH(A37&amp;"ENTRADA",Movimientos!$S$2:$S$1993,0)),"-"))</f>
        <v>Alfalfa latte 920 gen protect plus</v>
      </c>
      <c r="C37" s="3" t="str">
        <f>IF(A37="","",IFERROR(INDEX(Movimientos!$E$2:$E$1993,MATCH(A37&amp;"ENTRADA",Movimientos!$S$2:$S$1993,0)),"-"))</f>
        <v>Semilla</v>
      </c>
      <c r="D37" s="3" t="str">
        <f>IF(A37="","",IFERROR(INDEX(Movimientos!$F$2:$F$1993,MATCH(A37&amp;"ENTRADA",Movimientos!$S$2:$S$1993,0)),"-"))</f>
        <v>Alfalfa</v>
      </c>
      <c r="E37" s="3" t="str">
        <f>IF(A37="","",IFERROR(INDEX(Movimientos!$L$2:$L$1993,MATCH(A37&amp;"ENTRADA",Movimientos!$S$2:$S$1993,0)),"-"))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527</v>
      </c>
      <c r="B38" s="3" t="str">
        <f>IF(A38="","",IFERROR(INDEX(Movimientos!$D$2:$D$1993,MATCH(A38&amp;"ENTRADA",Movimientos!$S$2:$S$1993,0)),"-"))</f>
        <v xml:space="preserve">fertilizante foliar </v>
      </c>
      <c r="C38" s="3" t="str">
        <f>IF(A38="","",IFERROR(INDEX(Movimientos!$E$2:$E$1993,MATCH(A38&amp;"ENTRADA",Movimientos!$S$2:$S$1993,0)),"-"))</f>
        <v>Fertilizante</v>
      </c>
      <c r="D38" s="3">
        <f>IF(A38="","",IFERROR(INDEX(Movimientos!$F$2:$F$1993,MATCH(A38&amp;"ENTRADA",Movimientos!$S$2:$S$1993,0)),"-"))</f>
        <v>0</v>
      </c>
      <c r="E38" s="3" t="str">
        <f>IF(A38="","",IFERROR(INDEX(Movimientos!$L$2:$L$1993,MATCH(A38&amp;"ENTRADA",Movimientos!$S$2:$S$1993,0)),"-"))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267</v>
      </c>
      <c r="B39" s="3" t="str">
        <f>IF(A39="","",IFERROR(INDEX(Movimientos!$D$2:$D$1993,MATCH(A39&amp;"ENTRADA",Movimientos!$S$2:$S$1993,0)),"-"))</f>
        <v>Colza 45y95cl</v>
      </c>
      <c r="C39" s="3" t="str">
        <f>IF(A39="","",IFERROR(INDEX(Movimientos!$E$2:$E$1993,MATCH(A39&amp;"ENTRADA",Movimientos!$S$2:$S$1993,0)),"-"))</f>
        <v>Semilla</v>
      </c>
      <c r="D39" s="3" t="str">
        <f>IF(A39="","",IFERROR(INDEX(Movimientos!$F$2:$F$1993,MATCH(A39&amp;"ENTRADA",Movimientos!$S$2:$S$1993,0)),"-"))</f>
        <v>Colza</v>
      </c>
      <c r="E39" s="3" t="str">
        <f>IF(A39="","",IFERROR(INDEX(Movimientos!$L$2:$L$1993,MATCH(A39&amp;"ENTRADA",Movimientos!$S$2:$S$1993,0)),"-"))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283</v>
      </c>
      <c r="B40" s="3" t="str">
        <f>IF(A40="","",IFERROR(INDEX(Movimientos!$D$2:$D$1993,MATCH(A40&amp;"ENTRADA",Movimientos!$S$2:$S$1993,0)),"-"))</f>
        <v xml:space="preserve">Hydra hume </v>
      </c>
      <c r="C40" s="3" t="str">
        <f>IF(A40="","",IFERROR(INDEX(Movimientos!$E$2:$E$1993,MATCH(A40&amp;"ENTRADA",Movimientos!$S$2:$S$1993,0)),"-"))</f>
        <v>Biológico</v>
      </c>
      <c r="D40" s="3" t="str">
        <f>IF(A40="","",IFERROR(INDEX(Movimientos!$F$2:$F$1993,MATCH(A40&amp;"ENTRADA",Movimientos!$S$2:$S$1993,0)),"-"))</f>
        <v>Acidos Humicos</v>
      </c>
      <c r="E40" s="3" t="str">
        <f>IF(A40="","",IFERROR(INDEX(Movimientos!$L$2:$L$1993,MATCH(A40&amp;"ENTRADA",Movimientos!$S$2:$S$1993,0)),"-"))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21480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70</v>
      </c>
      <c r="B41" s="3" t="str">
        <f>IF(A41="","",IFERROR(INDEX(Movimientos!$D$2:$D$1993,MATCH(A41&amp;"ENTRADA",Movimientos!$S$2:$S$1993,0)),"-"))</f>
        <v>Silobolsa 9 pies</v>
      </c>
      <c r="C41" s="3" t="str">
        <f>IF(A41="","",IFERROR(INDEX(Movimientos!$E$2:$E$1993,MATCH(A41&amp;"ENTRADA",Movimientos!$S$2:$S$1993,0)),"-"))</f>
        <v>Silobolsa</v>
      </c>
      <c r="D41" s="3">
        <f>IF(A41="","",IFERROR(INDEX(Movimientos!$F$2:$F$1993,MATCH(A41&amp;"ENTRADA",Movimientos!$S$2:$S$1993,0)),"-"))</f>
        <v>0</v>
      </c>
      <c r="E41" s="3" t="str">
        <f>IF(A41="","",IFERROR(INDEX(Movimientos!$L$2:$L$1993,MATCH(A41&amp;"ENTRADA",Movimientos!$S$2:$S$1993,0)),"-"))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299</v>
      </c>
      <c r="B42" s="3" t="str">
        <f>IF(A42="","",IFERROR(INDEX(Movimientos!$D$2:$D$1993,MATCH(A42&amp;"ENTRADA",Movimientos!$S$2:$S$1993,0)),"-"))</f>
        <v xml:space="preserve">festuca elodie </v>
      </c>
      <c r="C42" s="3" t="str">
        <f>IF(A42="","",IFERROR(INDEX(Movimientos!$E$2:$E$1993,MATCH(A42&amp;"ENTRADA",Movimientos!$S$2:$S$1993,0)),"-"))</f>
        <v>Semilla</v>
      </c>
      <c r="D42" s="3" t="str">
        <f>IF(A42="","",IFERROR(INDEX(Movimientos!$F$2:$F$1993,MATCH(A42&amp;"ENTRADA",Movimientos!$S$2:$S$1993,0)),"-"))</f>
        <v>Festuca</v>
      </c>
      <c r="E42" s="3" t="str">
        <f>IF(A42="","",IFERROR(INDEX(Movimientos!$L$2:$L$1993,MATCH(A42&amp;"ENTRADA",Movimientos!$S$2:$S$1993,0)),"-"))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304</v>
      </c>
      <c r="B43" s="3" t="str">
        <f>IF(A43="","",IFERROR(INDEX(Movimientos!$D$2:$D$1993,MATCH(A43&amp;"ENTRADA",Movimientos!$S$2:$S$1993,0)),"-"))</f>
        <v xml:space="preserve">trebol blanco zapican </v>
      </c>
      <c r="C43" s="3" t="str">
        <f>IF(A43="","",IFERROR(INDEX(Movimientos!$E$2:$E$1993,MATCH(A43&amp;"ENTRADA",Movimientos!$S$2:$S$1993,0)),"-"))</f>
        <v>Semilla</v>
      </c>
      <c r="D43" s="3" t="str">
        <f>IF(A43="","",IFERROR(INDEX(Movimientos!$F$2:$F$1993,MATCH(A43&amp;"ENTRADA",Movimientos!$S$2:$S$1993,0)),"-"))</f>
        <v>Trebol Blanco</v>
      </c>
      <c r="E43" s="3" t="str">
        <f>IF(A43="","",IFERROR(INDEX(Movimientos!$L$2:$L$1993,MATCH(A43&amp;"ENTRADA",Movimientos!$S$2:$S$1993,0)),"-"))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90</v>
      </c>
      <c r="B44" s="3" t="str">
        <f>IF(A44="","",IFERROR(INDEX(Movimientos!$D$2:$D$1993,MATCH(A44&amp;"ENTRADA",Movimientos!$S$2:$S$1993,0)),"-"))</f>
        <v>Fluroxypyr meptyl 34,91% + Halauxyfen methyl 1.64% + Cloquintocet mexyl 1.57%</v>
      </c>
      <c r="C44" s="3" t="str">
        <f>IF(A44="","",IFERROR(INDEX(Movimientos!$E$2:$E$1993,MATCH(A44&amp;"ENTRADA",Movimientos!$S$2:$S$1993,0)),"-"))</f>
        <v>Herbicida</v>
      </c>
      <c r="D44" s="3" t="str">
        <f>IF(A44="","",IFERROR(INDEX(Movimientos!$F$2:$F$1993,MATCH(A44&amp;"ENTRADA",Movimientos!$S$2:$S$1993,0)),"-"))</f>
        <v>Postemergente</v>
      </c>
      <c r="E44" s="3" t="str">
        <f>IF(A44="","",IFERROR(INDEX(Movimientos!$L$2:$L$1993,MATCH(A44&amp;"ENTRADA",Movimientos!$S$2:$S$1993,0)),"-"))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5460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425</v>
      </c>
      <c r="B45" s="3" t="str">
        <f>IF(A45="","",IFERROR(INDEX(Movimientos!$D$2:$D$1993,MATCH(A45&amp;"ENTRADA",Movimientos!$S$2:$S$1993,0)),"-"))</f>
        <v>semilla trigo tipa</v>
      </c>
      <c r="C45" s="3" t="str">
        <f>IF(A45="","",IFERROR(INDEX(Movimientos!$E$2:$E$1993,MATCH(A45&amp;"ENTRADA",Movimientos!$S$2:$S$1993,0)),"-"))</f>
        <v>Semilla</v>
      </c>
      <c r="D45" s="3" t="str">
        <f>IF(A45="","",IFERROR(INDEX(Movimientos!$F$2:$F$1993,MATCH(A45&amp;"ENTRADA",Movimientos!$S$2:$S$1993,0)),"-"))</f>
        <v>Trigo</v>
      </c>
      <c r="E45" s="3" t="str">
        <f>IF(A45="","",IFERROR(INDEX(Movimientos!$L$2:$L$1993,MATCH(A45&amp;"ENTRADA",Movimientos!$S$2:$S$1993,0)),"-"))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429</v>
      </c>
      <c r="B46" s="3" t="str">
        <f>IF(A46="","",IFERROR(INDEX(Movimientos!$D$2:$D$1993,MATCH(A46&amp;"ENTRADA",Movimientos!$S$2:$S$1993,0)),"-"))</f>
        <v>semillatrigo aromo</v>
      </c>
      <c r="C46" s="3" t="str">
        <f>IF(A46="","",IFERROR(INDEX(Movimientos!$E$2:$E$1993,MATCH(A46&amp;"ENTRADA",Movimientos!$S$2:$S$1993,0)),"-"))</f>
        <v>Semilla</v>
      </c>
      <c r="D46" s="3" t="str">
        <f>IF(A46="","",IFERROR(INDEX(Movimientos!$F$2:$F$1993,MATCH(A46&amp;"ENTRADA",Movimientos!$S$2:$S$1993,0)),"-"))</f>
        <v>Trigo</v>
      </c>
      <c r="E46" s="3" t="str">
        <f>IF(A46="","",IFERROR(INDEX(Movimientos!$L$2:$L$1993,MATCH(A46&amp;"ENTRADA",Movimientos!$S$2:$S$1993,0)),"-"))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156</v>
      </c>
      <c r="B47" s="3" t="str">
        <f>IF(A47="","",IFERROR(INDEX(Movimientos!$D$2:$D$1993,MATCH(A47&amp;"ENTRADA",Movimientos!$S$2:$S$1993,0)),"-"))</f>
        <v>Nuola 300</v>
      </c>
      <c r="C47" s="3" t="str">
        <f>IF(A47="","",IFERROR(INDEX(Movimientos!$E$2:$E$1993,MATCH(A47&amp;"ENTRADA",Movimientos!$S$2:$S$1993,0)),"-"))</f>
        <v>Semilla</v>
      </c>
      <c r="D47" s="3" t="str">
        <f>IF(A47="","",IFERROR(INDEX(Movimientos!$F$2:$F$1993,MATCH(A47&amp;"ENTRADA",Movimientos!$S$2:$S$1993,0)),"-"))</f>
        <v>Colza</v>
      </c>
      <c r="E47" s="3" t="str">
        <f>IF(A47="","",IFERROR(INDEX(Movimientos!$L$2:$L$1993,MATCH(A47&amp;"ENTRADA",Movimientos!$S$2:$S$1993,0)),"-"))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491</v>
      </c>
      <c r="B48" s="3" t="str">
        <f>IF(A48="","",IFERROR(INDEX(Movimientos!$D$2:$D$1993,MATCH(A48&amp;"ENTRADA",Movimientos!$S$2:$S$1993,0)),"-"))</f>
        <v xml:space="preserve">Keylate Zinc Plus </v>
      </c>
      <c r="C48" s="3" t="str">
        <f>IF(A48="","",IFERROR(INDEX(Movimientos!$E$2:$E$1993,MATCH(A48&amp;"ENTRADA",Movimientos!$S$2:$S$1993,0)),"-"))</f>
        <v>Fertilizante</v>
      </c>
      <c r="D48" s="3">
        <f>IF(A48="","",IFERROR(INDEX(Movimientos!$F$2:$F$1993,MATCH(A48&amp;"ENTRADA",Movimientos!$S$2:$S$1993,0)),"-"))</f>
        <v>0</v>
      </c>
      <c r="E48" s="3" t="str">
        <f>IF(A48="","",IFERROR(INDEX(Movimientos!$L$2:$L$1993,MATCH(A48&amp;"ENTRADA",Movimientos!$S$2:$S$1993,0)),"-"))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12320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491</v>
      </c>
      <c r="B49" s="3" t="str">
        <f>IF(A49="","",IFERROR(INDEX(Movimientos!$D$2:$D$1993,MATCH(A49&amp;"ENTRADA",Movimientos!$S$2:$S$1993,0)),"-"))</f>
        <v xml:space="preserve">Keylate Zinc Plus </v>
      </c>
      <c r="C49" s="3" t="str">
        <f>IF(A49="","",IFERROR(INDEX(Movimientos!$E$2:$E$1993,MATCH(A49&amp;"ENTRADA",Movimientos!$S$2:$S$1993,0)),"-"))</f>
        <v>Fertilizante</v>
      </c>
      <c r="D49" s="3">
        <f>IF(A49="","",IFERROR(INDEX(Movimientos!$F$2:$F$1993,MATCH(A49&amp;"ENTRADA",Movimientos!$S$2:$S$1993,0)),"-"))</f>
        <v>0</v>
      </c>
      <c r="E49" s="3" t="str">
        <f>IF(A49="","",IFERROR(INDEX(Movimientos!$L$2:$L$1993,MATCH(A49&amp;"ENTRADA",Movimientos!$S$2:$S$1993,0)),"-"))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12320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514</v>
      </c>
      <c r="B50" s="3" t="str">
        <f>IF(A50="","",IFERROR(INDEX(Movimientos!$D$2:$D$1993,MATCH(A50&amp;"ENTRADA",Movimientos!$S$2:$S$1993,0)),"-"))</f>
        <v>(Protioconazol 175 g/L + Piraclostrobin 142 g/L + Bixafen 125 g/L – SC)</v>
      </c>
      <c r="C50" s="3" t="str">
        <f>IF(A50="","",IFERROR(INDEX(Movimientos!$E$2:$E$1993,MATCH(A50&amp;"ENTRADA",Movimientos!$S$2:$S$1993,0)),"-"))</f>
        <v>Fungicida</v>
      </c>
      <c r="D50" s="3">
        <f>IF(A50="","",IFERROR(INDEX(Movimientos!$F$2:$F$1993,MATCH(A50&amp;"ENTRADA",Movimientos!$S$2:$S$1993,0)),"-"))</f>
        <v>0</v>
      </c>
      <c r="E50" s="3" t="str">
        <f>IF(A50="","",IFERROR(INDEX(Movimientos!$L$2:$L$1993,MATCH(A50&amp;"ENTRADA",Movimientos!$S$2:$S$1993,0)),"-"))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575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524</v>
      </c>
      <c r="B51" s="3" t="str">
        <f>IF(A51="","",IFERROR(INDEX(Movimientos!$D$2:$D$1993,MATCH(A51&amp;"ENTRADA",Movimientos!$S$2:$S$1993,0)),"-"))</f>
        <v>Protioconazol 175g/l trifloxistrobin 150g/l bixafen 125g/l</v>
      </c>
      <c r="C51" s="3" t="str">
        <f>IF(A51="","",IFERROR(INDEX(Movimientos!$E$2:$E$1993,MATCH(A51&amp;"ENTRADA",Movimientos!$S$2:$S$1993,0)),"-"))</f>
        <v>Fungicida</v>
      </c>
      <c r="D51" s="3">
        <f>IF(A51="","",IFERROR(INDEX(Movimientos!$F$2:$F$1993,MATCH(A51&amp;"ENTRADA",Movimientos!$S$2:$S$1993,0)),"-"))</f>
        <v>0</v>
      </c>
      <c r="E51" s="3" t="str">
        <f>IF(A51="","",IFERROR(INDEX(Movimientos!$L$2:$L$1993,MATCH(A51&amp;"ENTRADA",Movimientos!$S$2:$S$1993,0)),"-"))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534</v>
      </c>
      <c r="B52" s="3" t="str">
        <f>IF(A52="","",IFERROR(INDEX(Movimientos!$D$2:$D$1993,MATCH(A52&amp;"ENTRADA",Movimientos!$S$2:$S$1993,0)),"-"))</f>
        <v>Florasulam 20,0% Halauxyfen metil 20,85% Equivalente ácido Halauxyfen metil 20,0%</v>
      </c>
      <c r="C52" s="3" t="str">
        <f>IF(A52="","",IFERROR(INDEX(Movimientos!$E$2:$E$1993,MATCH(A52&amp;"ENTRADA",Movimientos!$S$2:$S$1993,0)),"-"))</f>
        <v>Herbicida</v>
      </c>
      <c r="D52" s="3" t="str">
        <f>IF(A52="","",IFERROR(INDEX(Movimientos!$F$2:$F$1993,MATCH(A52&amp;"ENTRADA",Movimientos!$S$2:$S$1993,0)),"-"))</f>
        <v>Postemergente</v>
      </c>
      <c r="E52" s="3" t="str">
        <f>IF(A52="","",IFERROR(INDEX(Movimientos!$L$2:$L$1993,MATCH(A52&amp;"ENTRADA",Movimientos!$S$2:$S$1993,0)),"-"))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556</v>
      </c>
      <c r="B53" s="3" t="str">
        <f>IF(A53="","",IFERROR(INDEX(Movimientos!$D$2:$D$1993,MATCH(A53&amp;"ENTRADA",Movimientos!$S$2:$S$1993,0)),"-"))</f>
        <v>cebada osiris</v>
      </c>
      <c r="C53" s="3" t="str">
        <f>IF(A53="","",IFERROR(INDEX(Movimientos!$E$2:$E$1993,MATCH(A53&amp;"ENTRADA",Movimientos!$S$2:$S$1993,0)),"-"))</f>
        <v>Semilla</v>
      </c>
      <c r="D53" s="3" t="str">
        <f>IF(A53="","",IFERROR(INDEX(Movimientos!$F$2:$F$1993,MATCH(A53&amp;"ENTRADA",Movimientos!$S$2:$S$1993,0)),"-"))</f>
        <v>Cebada</v>
      </c>
      <c r="E53" s="3" t="str">
        <f>IF(A53="","",IFERROR(INDEX(Movimientos!$L$2:$L$1993,MATCH(A53&amp;"ENTRADA",Movimientos!$S$2:$S$1993,0)),"-"))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576</v>
      </c>
      <c r="B54" s="3" t="str">
        <f>IF(A54="","",IFERROR(INDEX(Movimientos!$D$2:$D$1993,MATCH(A54&amp;"ENTRADA",Movimientos!$S$2:$S$1993,0)),"-"))</f>
        <v>Ácidos Húmicos / L-Triptofano puro / L- Metionina pura / Acreciactiv</v>
      </c>
      <c r="C54" s="3" t="str">
        <f>IF(A54="","",IFERROR(INDEX(Movimientos!$E$2:$E$1993,MATCH(A54&amp;"ENTRADA",Movimientos!$S$2:$S$1993,0)),"-"))</f>
        <v xml:space="preserve">Bioestimulante </v>
      </c>
      <c r="D54" s="3">
        <f>IF(A54="","",IFERROR(INDEX(Movimientos!$F$2:$F$1993,MATCH(A54&amp;"ENTRADA",Movimientos!$S$2:$S$1993,0)),"-"))</f>
        <v>0</v>
      </c>
      <c r="E54" s="3" t="str">
        <f>IF(A54="","",IFERROR(INDEX(Movimientos!$L$2:$L$1993,MATCH(A54&amp;"ENTRADA",Movimientos!$S$2:$S$1993,0)),"-"))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580</v>
      </c>
      <c r="B55" s="3">
        <f>IF(A55="","",IFERROR(INDEX(Movimientos!$D$2:$D$1993,MATCH(A55&amp;"ENTRADA",Movimientos!$S$2:$S$1993,0)),"-"))</f>
        <v>0</v>
      </c>
      <c r="C55" s="3">
        <f>IF(A55="","",IFERROR(INDEX(Movimientos!$E$2:$E$1993,MATCH(A55&amp;"ENTRADA",Movimientos!$S$2:$S$1993,0)),"-"))</f>
        <v>0</v>
      </c>
      <c r="D55" s="3">
        <f>IF(A55="","",IFERROR(INDEX(Movimientos!$F$2:$F$1993,MATCH(A55&amp;"ENTRADA",Movimientos!$S$2:$S$1993,0)),"-"))</f>
        <v>0</v>
      </c>
      <c r="E55" s="3" t="str">
        <f>IF(A55="","",IFERROR(INDEX(Movimientos!$L$2:$L$1993,MATCH(A55&amp;"ENTRADA",Movimientos!$S$2:$S$1993,0)),"-"))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527</v>
      </c>
      <c r="B56" s="3" t="str">
        <f>IF(A56="","",IFERROR(INDEX(Movimientos!$D$2:$D$1993,MATCH(A56&amp;"ENTRADA",Movimientos!$S$2:$S$1993,0)),"-"))</f>
        <v xml:space="preserve">fertilizante foliar </v>
      </c>
      <c r="C56" s="3" t="str">
        <f>IF(A56="","",IFERROR(INDEX(Movimientos!$E$2:$E$1993,MATCH(A56&amp;"ENTRADA",Movimientos!$S$2:$S$1993,0)),"-"))</f>
        <v>Fertilizante</v>
      </c>
      <c r="D56" s="3">
        <f>IF(A56="","",IFERROR(INDEX(Movimientos!$F$2:$F$1993,MATCH(A56&amp;"ENTRADA",Movimientos!$S$2:$S$1993,0)),"-"))</f>
        <v>0</v>
      </c>
      <c r="E56" s="3" t="str">
        <f>IF(A56="","",IFERROR(INDEX(Movimientos!$L$2:$L$1993,MATCH(A56&amp;"ENTRADA",Movimientos!$S$2:$S$1993,0)),"-"))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A57" t="s">
        <v>775</v>
      </c>
      <c r="B57" s="3" t="str">
        <f>IF(A57="","",IFERROR(INDEX(Movimientos!$D$2:$D$1993,MATCH(A57&amp;"ENTRADA",Movimientos!$S$2:$S$1993,0)),"-"))</f>
        <v>Biciclopirona</v>
      </c>
      <c r="C57" s="3" t="str">
        <f>IF(A57="","",IFERROR(INDEX(Movimientos!$E$2:$E$1993,MATCH(A57&amp;"ENTRADA",Movimientos!$S$2:$S$1993,0)),"-"))</f>
        <v>Herbicida</v>
      </c>
      <c r="D57" s="3" t="str">
        <f>IF(A57="","",IFERROR(INDEX(Movimientos!$F$2:$F$1993,MATCH(A57&amp;"ENTRADA",Movimientos!$S$2:$S$1993,0)),"-"))</f>
        <v>Preemergente</v>
      </c>
      <c r="E57" s="3" t="str">
        <f>IF(A57="","",IFERROR(INDEX(Movimientos!$L$2:$L$1993,MATCH(A57&amp;"ENTRADA",Movimientos!$S$2:$S$1993,0)),"-"))</f>
        <v>L</v>
      </c>
      <c r="F57" s="8">
        <f>IF(A57="","",COUNTIFS(Stock_por_Lote!$B:$B,A57,Stock_por_Lote!$J:$J,"&gt;0"))</f>
        <v>1</v>
      </c>
      <c r="G57" s="9">
        <f>IF(A57="","",SUMIFS(Movimientos!$K:$K,Movimientos!$C:$C,A57))</f>
        <v>1500</v>
      </c>
      <c r="H57" s="14">
        <f>IF(A57="","",IFERROR(IF(_xlfn.MINIFS(Stock_por_Lote!$H:$H,Stock_por_Lote!$B:$B,A57,Stock_por_Lote!$J:$J,"&gt;0")=0,"S/D",_xlfn.MINIFS(Stock_por_Lote!$H:$H,Stock_por_Lote!$B:$B,A57,Stock_por_Lote!$J:$J,"&gt;0")),"S/D"))</f>
        <v>46865</v>
      </c>
    </row>
    <row r="58" spans="1:8" ht="14.25">
      <c r="A58" t="s">
        <v>2364</v>
      </c>
      <c r="B58" s="3" t="str">
        <f>IF(A58="","",IFERROR(INDEX(Movimientos!$D$2:$D$1993,MATCH(A58&amp;"ENTRADA",Movimientos!$S$2:$S$1993,0)),"-"))</f>
        <v>-</v>
      </c>
      <c r="C58" s="3" t="str">
        <f>IF(A58="","",IFERROR(INDEX(Movimientos!$E$2:$E$1993,MATCH(A58&amp;"ENTRADA",Movimientos!$S$2:$S$1993,0)),"-"))</f>
        <v>-</v>
      </c>
      <c r="D58" s="3" t="str">
        <f>IF(A58="","",IFERROR(INDEX(Movimientos!$F$2:$F$1993,MATCH(A58&amp;"ENTRADA",Movimientos!$S$2:$S$1993,0)),"-"))</f>
        <v>-</v>
      </c>
      <c r="E58" s="3" t="str">
        <f>IF(A58="","",IFERROR(INDEX(Movimientos!$L$2:$L$1993,MATCH(A58&amp;"ENTRADA",Movimientos!$S$2:$S$1993,0)),"-"))</f>
        <v>-</v>
      </c>
      <c r="F58" s="8">
        <f>IF(A58="","",COUNTIFS(Stock_por_Lote!$B:$B,A58,Stock_por_Lote!$J:$J,"&gt;0"))</f>
        <v>0</v>
      </c>
      <c r="G58" s="9">
        <f>IF(A58="","",SUMIFS(Movimientos!$K:$K,Movimientos!$C:$C,A58))</f>
        <v>0</v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>S/D</v>
      </c>
    </row>
    <row r="59" spans="1:8" ht="14.25">
      <c r="A59" t="s">
        <v>261</v>
      </c>
      <c r="B59" s="3" t="str">
        <f>IF(A59="","",IFERROR(INDEX(Movimientos!$D$2:$D$1993,MATCH(A59&amp;"ENTRADA",Movimientos!$S$2:$S$1993,0)),"-"))</f>
        <v>Dactylis inia perseo cert +ins</v>
      </c>
      <c r="C59" s="3" t="str">
        <f>IF(A59="","",IFERROR(INDEX(Movimientos!$E$2:$E$1993,MATCH(A59&amp;"ENTRADA",Movimientos!$S$2:$S$1993,0)),"-"))</f>
        <v>Semilla</v>
      </c>
      <c r="D59" s="3" t="str">
        <f>IF(A59="","",IFERROR(INDEX(Movimientos!$F$2:$F$1993,MATCH(A59&amp;"ENTRADA",Movimientos!$S$2:$S$1993,0)),"-"))</f>
        <v>Dactylis</v>
      </c>
      <c r="E59" s="3" t="str">
        <f>IF(A59="","",IFERROR(INDEX(Movimientos!$L$2:$L$1993,MATCH(A59&amp;"ENTRADA",Movimientos!$S$2:$S$1993,0)),"-"))</f>
        <v>kg</v>
      </c>
      <c r="F59" s="8">
        <f>IF(A59="","",COUNTIFS(Stock_por_Lote!$B:$B,A59,Stock_por_Lote!$J:$J,"&gt;0"))</f>
        <v>0</v>
      </c>
      <c r="G59" s="9">
        <f>IF(A59="","",SUMIFS(Movimientos!$K:$K,Movimientos!$C:$C,A59))</f>
        <v>0</v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>S/D</v>
      </c>
    </row>
    <row r="60" spans="1:8" ht="14.25">
      <c r="A60" t="s">
        <v>750</v>
      </c>
      <c r="B60" s="3" t="str">
        <f>IF(A60="","",IFERROR(INDEX(Movimientos!$D$2:$D$1993,MATCH(A60&amp;"ENTRADA",Movimientos!$S$2:$S$1993,0)),"-"))</f>
        <v>Fluroxipir-Meptil 480g/l</v>
      </c>
      <c r="C60" s="3" t="str">
        <f>IF(A60="","",IFERROR(INDEX(Movimientos!$E$2:$E$1993,MATCH(A60&amp;"ENTRADA",Movimientos!$S$2:$S$1993,0)),"-"))</f>
        <v>Herbicida</v>
      </c>
      <c r="D60" s="3">
        <f>IF(A60="","",IFERROR(INDEX(Movimientos!$F$2:$F$1993,MATCH(A60&amp;"ENTRADA",Movimientos!$S$2:$S$1993,0)),"-"))</f>
        <v>0</v>
      </c>
      <c r="E60" s="3" t="str">
        <f>IF(A60="","",IFERROR(INDEX(Movimientos!$L$2:$L$1993,MATCH(A60&amp;"ENTRADA",Movimientos!$S$2:$S$1993,0)),"-"))</f>
        <v>L</v>
      </c>
      <c r="F60" s="8">
        <f>IF(A60="","",COUNTIFS(Stock_por_Lote!$B:$B,A60,Stock_por_Lote!$J:$J,"&gt;0"))</f>
        <v>0</v>
      </c>
      <c r="G60" s="9">
        <f>IF(A60="","",SUMIFS(Movimientos!$K:$K,Movimientos!$C:$C,A60))</f>
        <v>130</v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>S/D</v>
      </c>
    </row>
    <row r="61" spans="1:8" ht="14.25">
      <c r="A61" s="62" t="s">
        <v>656</v>
      </c>
      <c r="B61" s="3" t="str">
        <f>IF(A61="","",IFERROR(INDEX(Movimientos!$D$2:$D$1993,MATCH(A61&amp;"ENTRADA",Movimientos!$S$2:$S$1993,0)),"-"))</f>
        <v>alcohol láurico etixolado 32.7 %</v>
      </c>
      <c r="C61" s="3" t="str">
        <f>IF(A61="","",IFERROR(INDEX(Movimientos!$E$2:$E$1993,MATCH(A61&amp;"ENTRADA",Movimientos!$S$2:$S$1993,0)),"-"))</f>
        <v>Coadyuvante</v>
      </c>
      <c r="D61" s="3">
        <f>IF(A61="","",IFERROR(INDEX(Movimientos!$F$2:$F$1993,MATCH(A61&amp;"ENTRADA",Movimientos!$S$2:$S$1993,0)),"-"))</f>
        <v>0</v>
      </c>
      <c r="E61" s="3" t="str">
        <f>IF(A61="","",IFERROR(INDEX(Movimientos!$L$2:$L$1993,MATCH(A61&amp;"ENTRADA",Movimientos!$S$2:$S$1993,0)),"-"))</f>
        <v>L</v>
      </c>
      <c r="F61" s="8">
        <f>IF(A61="","",COUNTIFS(Stock_por_Lote!$B:$B,A61,Stock_por_Lote!$J:$J,"&gt;0"))</f>
        <v>1</v>
      </c>
      <c r="G61" s="9">
        <f>IF(A61="","",SUMIFS(Movimientos!$K:$K,Movimientos!$C:$C,A61))</f>
        <v>525</v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>S/D</v>
      </c>
    </row>
    <row r="62" spans="1:8" ht="14.25">
      <c r="A62" t="s">
        <v>256</v>
      </c>
      <c r="B62" s="3" t="str">
        <f>IF(A62="","",IFERROR(INDEX(Movimientos!$D$2:$D$1993,MATCH(A62&amp;"ENTRADA",Movimientos!$S$2:$S$1993,0)),"-"))</f>
        <v>Lotus Nilo Ht Gen Protect Plus</v>
      </c>
      <c r="C62" s="3" t="str">
        <f>IF(A62="","",IFERROR(INDEX(Movimientos!$E$2:$E$1993,MATCH(A62&amp;"ENTRADA",Movimientos!$S$2:$S$1993,0)),"-"))</f>
        <v>Semilla</v>
      </c>
      <c r="D62" s="3" t="str">
        <f>IF(A62="","",IFERROR(INDEX(Movimientos!$F$2:$F$1993,MATCH(A62&amp;"ENTRADA",Movimientos!$S$2:$S$1993,0)),"-"))</f>
        <v>Lotus</v>
      </c>
      <c r="E62" s="3" t="str">
        <f>IF(A62="","",IFERROR(INDEX(Movimientos!$L$2:$L$1993,MATCH(A62&amp;"ENTRADA",Movimientos!$S$2:$S$1993,0)),"-"))</f>
        <v>kg</v>
      </c>
      <c r="F62" s="8">
        <f>IF(A62="","",COUNTIFS(Stock_por_Lote!$B:$B,A62,Stock_por_Lote!$J:$J,"&gt;0"))</f>
        <v>0</v>
      </c>
      <c r="G62" s="9">
        <f>IF(A62="","",SUMIFS(Movimientos!$K:$K,Movimientos!$C:$C,A62))</f>
        <v>0</v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>S/D</v>
      </c>
    </row>
    <row r="63" spans="1:8" ht="14.25">
      <c r="A63" t="s">
        <v>2365</v>
      </c>
      <c r="B63" s="3" t="str">
        <f>IF(A63="","",IFERROR(INDEX(Movimientos!$D$2:$D$1993,MATCH(A63&amp;"ENTRADA",Movimientos!$S$2:$S$1993,0)),"-"))</f>
        <v>-</v>
      </c>
      <c r="C63" s="3" t="str">
        <f>IF(A63="","",IFERROR(INDEX(Movimientos!$E$2:$E$1993,MATCH(A63&amp;"ENTRADA",Movimientos!$S$2:$S$1993,0)),"-"))</f>
        <v>-</v>
      </c>
      <c r="D63" s="3" t="str">
        <f>IF(A63="","",IFERROR(INDEX(Movimientos!$F$2:$F$1993,MATCH(A63&amp;"ENTRADA",Movimientos!$S$2:$S$1993,0)),"-"))</f>
        <v>-</v>
      </c>
      <c r="E63" s="3" t="str">
        <f>IF(A63="","",IFERROR(INDEX(Movimientos!$L$2:$L$1993,MATCH(A63&amp;"ENTRADA",Movimientos!$S$2:$S$1993,0)),"-"))</f>
        <v>-</v>
      </c>
      <c r="F63" s="8">
        <f>IF(A63="","",COUNTIFS(Stock_por_Lote!$B:$B,A63,Stock_por_Lote!$J:$J,"&gt;0"))</f>
        <v>0</v>
      </c>
      <c r="G63" s="9">
        <f>IF(A63="","",SUMIFS(Movimientos!$K:$K,Movimientos!$C:$C,A63))</f>
        <v>0</v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>S/D</v>
      </c>
    </row>
    <row r="64" spans="1:8" ht="14.25">
      <c r="A64" t="s">
        <v>943</v>
      </c>
      <c r="B64" s="3" t="str">
        <f>IF(A64="","",IFERROR(INDEX(Movimientos!$D$2:$D$1993,MATCH(A64&amp;"ENTRADA",Movimientos!$S$2:$S$1993,0)),"-"))</f>
        <v>Adepidyn 75 g/l — Solatenol 50 g/l — Propiconazole 250 g/l</v>
      </c>
      <c r="C64" s="3" t="str">
        <f>IF(A64="","",IFERROR(INDEX(Movimientos!$E$2:$E$1993,MATCH(A64&amp;"ENTRADA",Movimientos!$S$2:$S$1993,0)),"-"))</f>
        <v>Fungicida</v>
      </c>
      <c r="D64" s="3">
        <f>IF(A64="","",IFERROR(INDEX(Movimientos!$F$2:$F$1993,MATCH(A64&amp;"ENTRADA",Movimientos!$S$2:$S$1993,0)),"-"))</f>
        <v>0</v>
      </c>
      <c r="E64" s="3" t="str">
        <f>IF(A64="","",IFERROR(INDEX(Movimientos!$L$2:$L$1993,MATCH(A64&amp;"ENTRADA",Movimientos!$S$2:$S$1993,0)),"-"))</f>
        <v>Pack</v>
      </c>
      <c r="F64" s="8">
        <f>IF(A64="","",COUNTIFS(Stock_por_Lote!$B:$B,A64,Stock_por_Lote!$J:$J,"&gt;0"))</f>
        <v>0</v>
      </c>
      <c r="G64" s="9">
        <f>IF(A64="","",SUMIFS(Movimientos!$K:$K,Movimientos!$C:$C,A64))</f>
        <v>154</v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>S/D</v>
      </c>
    </row>
    <row r="65" spans="1:8" ht="14.25">
      <c r="A65" t="s">
        <v>782</v>
      </c>
      <c r="B65" s="3" t="str">
        <f>IF(A65="","",IFERROR(INDEX(Movimientos!$D$2:$D$1993,MATCH(A65&amp;"ENTRADA",Movimientos!$S$2:$S$1993,0)),"-"))</f>
        <v>pyroxasulfone 85%</v>
      </c>
      <c r="C65" s="3" t="str">
        <f>IF(A65="","",IFERROR(INDEX(Movimientos!$E$2:$E$1993,MATCH(A65&amp;"ENTRADA",Movimientos!$S$2:$S$1993,0)),"-"))</f>
        <v>Herbicida</v>
      </c>
      <c r="D65" s="3" t="str">
        <f>IF(A65="","",IFERROR(INDEX(Movimientos!$F$2:$F$1993,MATCH(A65&amp;"ENTRADA",Movimientos!$S$2:$S$1993,0)),"-"))</f>
        <v>Preemergente</v>
      </c>
      <c r="E65" s="3" t="str">
        <f>IF(A65="","",IFERROR(INDEX(Movimientos!$L$2:$L$1993,MATCH(A65&amp;"ENTRADA",Movimientos!$S$2:$S$1993,0)),"-"))</f>
        <v>kg</v>
      </c>
      <c r="F65" s="8">
        <f>IF(A65="","",COUNTIFS(Stock_por_Lote!$B:$B,A65,Stock_por_Lote!$J:$J,"&gt;0"))</f>
        <v>0</v>
      </c>
      <c r="G65" s="9">
        <f>IF(A65="","",SUMIFS(Movimientos!$K:$K,Movimientos!$C:$C,A65))</f>
        <v>2496</v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>S/D</v>
      </c>
    </row>
    <row r="66" spans="1:8" ht="14.25">
      <c r="A66" t="s">
        <v>2366</v>
      </c>
      <c r="B66" s="3" t="str">
        <f>IF(A66="","",IFERROR(INDEX(Movimientos!$D$2:$D$1993,MATCH(A66&amp;"ENTRADA",Movimientos!$S$2:$S$1993,0)),"-"))</f>
        <v>-</v>
      </c>
      <c r="C66" s="3" t="str">
        <f>IF(A66="","",IFERROR(INDEX(Movimientos!$E$2:$E$1993,MATCH(A66&amp;"ENTRADA",Movimientos!$S$2:$S$1993,0)),"-"))</f>
        <v>-</v>
      </c>
      <c r="D66" s="3" t="str">
        <f>IF(A66="","",IFERROR(INDEX(Movimientos!$F$2:$F$1993,MATCH(A66&amp;"ENTRADA",Movimientos!$S$2:$S$1993,0)),"-"))</f>
        <v>-</v>
      </c>
      <c r="E66" s="3" t="str">
        <f>IF(A66="","",IFERROR(INDEX(Movimientos!$L$2:$L$1993,MATCH(A66&amp;"ENTRADA",Movimientos!$S$2:$S$1993,0)),"-"))</f>
        <v>-</v>
      </c>
      <c r="F66" s="8">
        <f>IF(A66="","",COUNTIFS(Stock_por_Lote!$B:$B,A66,Stock_por_Lote!$J:$J,"&gt;0"))</f>
        <v>0</v>
      </c>
      <c r="G66" s="9">
        <f>IF(A66="","",SUMIFS(Movimientos!$K:$K,Movimientos!$C:$C,A66))</f>
        <v>0</v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>S/D</v>
      </c>
    </row>
    <row r="67" spans="1:8" ht="14.25">
      <c r="A67" t="s">
        <v>785</v>
      </c>
      <c r="B67" s="3" t="str">
        <f>IF(A67="","",IFERROR(INDEX(Movimientos!$D$2:$D$1993,MATCH(A67&amp;"ENTRADA",Movimientos!$S$2:$S$1993,0)),"-"))</f>
        <v>urea 11.33 % acido fosforico 27.13%</v>
      </c>
      <c r="C67" s="3" t="str">
        <f>IF(A67="","",IFERROR(INDEX(Movimientos!$E$2:$E$1993,MATCH(A67&amp;"ENTRADA",Movimientos!$S$2:$S$1993,0)),"-"))</f>
        <v>Coadyuvante</v>
      </c>
      <c r="D67" s="3">
        <f>IF(A67="","",IFERROR(INDEX(Movimientos!$F$2:$F$1993,MATCH(A67&amp;"ENTRADA",Movimientos!$S$2:$S$1993,0)),"-"))</f>
        <v>0</v>
      </c>
      <c r="E67" s="3" t="str">
        <f>IF(A67="","",IFERROR(INDEX(Movimientos!$L$2:$L$1993,MATCH(A67&amp;"ENTRADA",Movimientos!$S$2:$S$1993,0)),"-"))</f>
        <v>L</v>
      </c>
      <c r="F67" s="8">
        <f>IF(A67="","",COUNTIFS(Stock_por_Lote!$B:$B,A67,Stock_por_Lote!$J:$J,"&gt;0"))</f>
        <v>0</v>
      </c>
      <c r="G67" s="9">
        <f>IF(A67="","",SUMIFS(Movimientos!$K:$K,Movimientos!$C:$C,A67))</f>
        <v>1000</v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>S/D</v>
      </c>
    </row>
    <row r="68" spans="1:8" ht="14.25">
      <c r="A68" t="s">
        <v>779</v>
      </c>
      <c r="B68" s="3" t="str">
        <f>IF(A68="","",IFERROR(INDEX(Movimientos!$D$2:$D$1993,MATCH(A68&amp;"ENTRADA",Movimientos!$S$2:$S$1993,0)),"-"))</f>
        <v xml:space="preserve">safuflenacil + trifludimoxazin </v>
      </c>
      <c r="C68" s="3" t="str">
        <f>IF(A68="","",IFERROR(INDEX(Movimientos!$E$2:$E$1993,MATCH(A68&amp;"ENTRADA",Movimientos!$S$2:$S$1993,0)),"-"))</f>
        <v>Herbicida</v>
      </c>
      <c r="D68" s="3">
        <f>IF(A68="","",IFERROR(INDEX(Movimientos!$F$2:$F$1993,MATCH(A68&amp;"ENTRADA",Movimientos!$S$2:$S$1993,0)),"-"))</f>
        <v>0</v>
      </c>
      <c r="E68" s="3" t="str">
        <f>IF(A68="","",IFERROR(INDEX(Movimientos!$L$2:$L$1993,MATCH(A68&amp;"ENTRADA",Movimientos!$S$2:$S$1993,0)),"-"))</f>
        <v>L</v>
      </c>
      <c r="F68" s="8">
        <f>IF(A68="","",COUNTIFS(Stock_por_Lote!$B:$B,A68,Stock_por_Lote!$J:$J,"&gt;0"))</f>
        <v>0</v>
      </c>
      <c r="G68" s="9">
        <f>IF(A68="","",SUMIFS(Movimientos!$K:$K,Movimientos!$C:$C,A68))</f>
        <v>900</v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>S/D</v>
      </c>
    </row>
    <row r="69" spans="1:8" ht="14.25">
      <c r="A69" t="s">
        <v>2367</v>
      </c>
      <c r="B69" s="3" t="str">
        <f>IF(A69="","",IFERROR(INDEX(Movimientos!$D$2:$D$1993,MATCH(A69&amp;"ENTRADA",Movimientos!$S$2:$S$1993,0)),"-"))</f>
        <v>-</v>
      </c>
      <c r="C69" s="3" t="str">
        <f>IF(A69="","",IFERROR(INDEX(Movimientos!$E$2:$E$1993,MATCH(A69&amp;"ENTRADA",Movimientos!$S$2:$S$1993,0)),"-"))</f>
        <v>-</v>
      </c>
      <c r="D69" s="3" t="str">
        <f>IF(A69="","",IFERROR(INDEX(Movimientos!$F$2:$F$1993,MATCH(A69&amp;"ENTRADA",Movimientos!$S$2:$S$1993,0)),"-"))</f>
        <v>-</v>
      </c>
      <c r="E69" s="3" t="str">
        <f>IF(A69="","",IFERROR(INDEX(Movimientos!$L$2:$L$1993,MATCH(A69&amp;"ENTRADA",Movimientos!$S$2:$S$1993,0)),"-"))</f>
        <v>-</v>
      </c>
      <c r="F69" s="8">
        <f>IF(A69="","",COUNTIFS(Stock_por_Lote!$B:$B,A69,Stock_por_Lote!$J:$J,"&gt;0"))</f>
        <v>0</v>
      </c>
      <c r="G69" s="9">
        <f>IF(A69="","",SUMIFS(Movimientos!$K:$K,Movimientos!$C:$C,A69))</f>
        <v>0</v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>S/D</v>
      </c>
    </row>
    <row r="70" spans="1:8" ht="14.25">
      <c r="A70" t="s">
        <v>910</v>
      </c>
      <c r="B70" s="3" t="str">
        <f>IF(A70="","",IFERROR(INDEX(Movimientos!$D$2:$D$1993,MATCH(A70&amp;"ENTRADA",Movimientos!$S$2:$S$1993,0)),"-"))</f>
        <v xml:space="preserve">semilla comprada maíz </v>
      </c>
      <c r="C70" s="3" t="str">
        <f>IF(A70="","",IFERROR(INDEX(Movimientos!$E$2:$E$1993,MATCH(A70&amp;"ENTRADA",Movimientos!$S$2:$S$1993,0)),"-"))</f>
        <v>Semilla</v>
      </c>
      <c r="D70" s="3" t="str">
        <f>IF(A70="","",IFERROR(INDEX(Movimientos!$F$2:$F$1993,MATCH(A70&amp;"ENTRADA",Movimientos!$S$2:$S$1993,0)),"-"))</f>
        <v>Maíz</v>
      </c>
      <c r="E70" s="3" t="str">
        <f>IF(A70="","",IFERROR(INDEX(Movimientos!$L$2:$L$1993,MATCH(A70&amp;"ENTRADA",Movimientos!$S$2:$S$1993,0)),"-"))</f>
        <v>bolsa</v>
      </c>
      <c r="F70" s="8">
        <f>IF(A70="","",COUNTIFS(Stock_por_Lote!$B:$B,A70,Stock_por_Lote!$J:$J,"&gt;0"))</f>
        <v>0</v>
      </c>
      <c r="G70" s="9">
        <f>IF(A70="","",SUMIFS(Movimientos!$K:$K,Movimientos!$C:$C,A70))</f>
        <v>26</v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>S/D</v>
      </c>
    </row>
    <row r="71" spans="1:8" ht="14.25">
      <c r="A71" t="s">
        <v>950</v>
      </c>
      <c r="B71" s="3" t="str">
        <f>IF(A71="","",IFERROR(INDEX(Movimientos!$D$2:$D$1993,MATCH(A71&amp;"ENTRADA",Movimientos!$S$2:$S$1993,0)),"-"))</f>
        <v>refugio Dk 72-72 RR2</v>
      </c>
      <c r="C71" s="3" t="str">
        <f>IF(A71="","",IFERROR(INDEX(Movimientos!$E$2:$E$1993,MATCH(A71&amp;"ENTRADA",Movimientos!$S$2:$S$1993,0)),"-"))</f>
        <v>Semilla</v>
      </c>
      <c r="D71" s="3" t="str">
        <f>IF(A71="","",IFERROR(INDEX(Movimientos!$F$2:$F$1993,MATCH(A71&amp;"ENTRADA",Movimientos!$S$2:$S$1993,0)),"-"))</f>
        <v>Maíz</v>
      </c>
      <c r="E71" s="3" t="str">
        <f>IF(A71="","",IFERROR(INDEX(Movimientos!$L$2:$L$1993,MATCH(A71&amp;"ENTRADA",Movimientos!$S$2:$S$1993,0)),"-"))</f>
        <v>bolsa</v>
      </c>
      <c r="F71" s="8">
        <f>IF(A71="","",COUNTIFS(Stock_por_Lote!$B:$B,A71,Stock_por_Lote!$J:$J,"&gt;0"))</f>
        <v>0</v>
      </c>
      <c r="G71" s="9">
        <f>IF(A71="","",SUMIFS(Movimientos!$K:$K,Movimientos!$C:$C,A71))</f>
        <v>11</v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>S/D</v>
      </c>
    </row>
    <row r="72" spans="1:8" ht="14.25">
      <c r="A72" t="s">
        <v>2368</v>
      </c>
      <c r="B72" s="3" t="str">
        <f>IF(A72="","",IFERROR(INDEX(Movimientos!$D$2:$D$1993,MATCH(A72&amp;"ENTRADA",Movimientos!$S$2:$S$1993,0)),"-"))</f>
        <v>-</v>
      </c>
      <c r="C72" s="3" t="str">
        <f>IF(A72="","",IFERROR(INDEX(Movimientos!$E$2:$E$1993,MATCH(A72&amp;"ENTRADA",Movimientos!$S$2:$S$1993,0)),"-"))</f>
        <v>-</v>
      </c>
      <c r="D72" s="3" t="str">
        <f>IF(A72="","",IFERROR(INDEX(Movimientos!$F$2:$F$1993,MATCH(A72&amp;"ENTRADA",Movimientos!$S$2:$S$1993,0)),"-"))</f>
        <v>-</v>
      </c>
      <c r="E72" s="3" t="str">
        <f>IF(A72="","",IFERROR(INDEX(Movimientos!$L$2:$L$1993,MATCH(A72&amp;"ENTRADA",Movimientos!$S$2:$S$1993,0)),"-"))</f>
        <v>-</v>
      </c>
      <c r="F72" s="8">
        <f>IF(A72="","",COUNTIFS(Stock_por_Lote!$B:$B,A72,Stock_por_Lote!$J:$J,"&gt;0"))</f>
        <v>0</v>
      </c>
      <c r="G72" s="9">
        <f>IF(A72="","",SUMIFS(Movimientos!$K:$K,Movimientos!$C:$C,A72))</f>
        <v>0</v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>S/D</v>
      </c>
    </row>
    <row r="73" spans="1:8" ht="14.25">
      <c r="A73" t="s">
        <v>990</v>
      </c>
      <c r="B73" s="3" t="str">
        <f>IF(A73="","",IFERROR(INDEX(Movimientos!$D$2:$D$1993,MATCH(A73&amp;"ENTRADA",Movimientos!$S$2:$S$1993,0)),"-"))</f>
        <v>maiz p2123 paioner</v>
      </c>
      <c r="C73" s="3" t="str">
        <f>IF(A73="","",IFERROR(INDEX(Movimientos!$E$2:$E$1993,MATCH(A73&amp;"ENTRADA",Movimientos!$S$2:$S$1993,0)),"-"))</f>
        <v>Semilla</v>
      </c>
      <c r="D73" s="3" t="str">
        <f>IF(A73="","",IFERROR(INDEX(Movimientos!$F$2:$F$1993,MATCH(A73&amp;"ENTRADA",Movimientos!$S$2:$S$1993,0)),"-"))</f>
        <v>Maíz</v>
      </c>
      <c r="E73" s="3" t="str">
        <f>IF(A73="","",IFERROR(INDEX(Movimientos!$L$2:$L$1993,MATCH(A73&amp;"ENTRADA",Movimientos!$S$2:$S$1993,0)),"-"))</f>
        <v>bolsa</v>
      </c>
      <c r="F73" s="8">
        <f>IF(A73="","",COUNTIFS(Stock_por_Lote!$B:$B,A73,Stock_por_Lote!$J:$J,"&gt;0"))</f>
        <v>0</v>
      </c>
      <c r="G73" s="9">
        <f>IF(A73="","",SUMIFS(Movimientos!$K:$K,Movimientos!$C:$C,A73))</f>
        <v>12</v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>S/D</v>
      </c>
    </row>
    <row r="74" spans="1:8" ht="14.25">
      <c r="A74" t="s">
        <v>757</v>
      </c>
      <c r="B74" s="3" t="str">
        <f>IF(A74="","",IFERROR(INDEX(Movimientos!$D$2:$D$1993,MATCH(A74&amp;"ENTRADA",Movimientos!$S$2:$S$1993,0)),"-"))</f>
        <v xml:space="preserve">sem maiz illinois 2773 trecepta Maiz 1era </v>
      </c>
      <c r="C74" s="3" t="str">
        <f>IF(A74="","",IFERROR(INDEX(Movimientos!$E$2:$E$1993,MATCH(A74&amp;"ENTRADA",Movimientos!$S$2:$S$1993,0)),"-"))</f>
        <v>Semilla</v>
      </c>
      <c r="D74" s="3" t="str">
        <f>IF(A74="","",IFERROR(INDEX(Movimientos!$F$2:$F$1993,MATCH(A74&amp;"ENTRADA",Movimientos!$S$2:$S$1993,0)),"-"))</f>
        <v>Maíz</v>
      </c>
      <c r="E74" s="3" t="str">
        <f>IF(A74="","",IFERROR(INDEX(Movimientos!$L$2:$L$1993,MATCH(A74&amp;"ENTRADA",Movimientos!$S$2:$S$1993,0)),"-"))</f>
        <v>bolsa</v>
      </c>
      <c r="F74" s="8">
        <f>IF(A74="","",COUNTIFS(Stock_por_Lote!$B:$B,A74,Stock_por_Lote!$J:$J,"&gt;0"))</f>
        <v>0</v>
      </c>
      <c r="G74" s="9">
        <f>IF(A74="","",SUMIFS(Movimientos!$K:$K,Movimientos!$C:$C,A74))</f>
        <v>0</v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>S/D</v>
      </c>
    </row>
    <row r="75" spans="1:8" ht="14.25">
      <c r="A75" t="s">
        <v>2369</v>
      </c>
      <c r="B75" s="3" t="str">
        <f>IF(A75="","",IFERROR(INDEX(Movimientos!$D$2:$D$1993,MATCH(A75&amp;"ENTRADA",Movimientos!$S$2:$S$1993,0)),"-"))</f>
        <v>-</v>
      </c>
      <c r="C75" s="3" t="str">
        <f>IF(A75="","",IFERROR(INDEX(Movimientos!$E$2:$E$1993,MATCH(A75&amp;"ENTRADA",Movimientos!$S$2:$S$1993,0)),"-"))</f>
        <v>-</v>
      </c>
      <c r="D75" s="3" t="str">
        <f>IF(A75="","",IFERROR(INDEX(Movimientos!$F$2:$F$1993,MATCH(A75&amp;"ENTRADA",Movimientos!$S$2:$S$1993,0)),"-"))</f>
        <v>-</v>
      </c>
      <c r="E75" s="3" t="str">
        <f>IF(A75="","",IFERROR(INDEX(Movimientos!$L$2:$L$1993,MATCH(A75&amp;"ENTRADA",Movimientos!$S$2:$S$1993,0)),"-"))</f>
        <v>-</v>
      </c>
      <c r="F75" s="8">
        <f>IF(A75="","",COUNTIFS(Stock_por_Lote!$B:$B,A75,Stock_por_Lote!$J:$J,"&gt;0"))</f>
        <v>0</v>
      </c>
      <c r="G75" s="9">
        <f>IF(A75="","",SUMIFS(Movimientos!$K:$K,Movimientos!$C:$C,A75))</f>
        <v>0</v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>S/D</v>
      </c>
    </row>
    <row r="76" spans="1:8" ht="14.25">
      <c r="A76" t="s">
        <v>634</v>
      </c>
      <c r="B76" s="3" t="str">
        <f>IF(A76="","",IFERROR(INDEX(Movimientos!$D$2:$D$1993,MATCH(A76&amp;"ENTRADA",Movimientos!$S$2:$S$1993,0)),"-"))</f>
        <v xml:space="preserve">semilla comprada maíz </v>
      </c>
      <c r="C76" s="3" t="str">
        <f>IF(A76="","",IFERROR(INDEX(Movimientos!$E$2:$E$1993,MATCH(A76&amp;"ENTRADA",Movimientos!$S$2:$S$1993,0)),"-"))</f>
        <v>Semilla</v>
      </c>
      <c r="D76" s="3" t="str">
        <f>IF(A76="","",IFERROR(INDEX(Movimientos!$F$2:$F$1993,MATCH(A76&amp;"ENTRADA",Movimientos!$S$2:$S$1993,0)),"-"))</f>
        <v>Maíz</v>
      </c>
      <c r="E76" s="3" t="str">
        <f>IF(A76="","",IFERROR(INDEX(Movimientos!$L$2:$L$1993,MATCH(A76&amp;"ENTRADA",Movimientos!$S$2:$S$1993,0)),"-"))</f>
        <v>bolsa</v>
      </c>
      <c r="F76" s="8">
        <f>IF(A76="","",COUNTIFS(Stock_por_Lote!$B:$B,A76,Stock_por_Lote!$J:$J,"&gt;0"))</f>
        <v>1</v>
      </c>
      <c r="G76" s="9">
        <f>IF(A76="","",SUMIFS(Movimientos!$K:$K,Movimientos!$C:$C,A76))</f>
        <v>5</v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>S/D</v>
      </c>
    </row>
    <row r="77" spans="1:8" ht="14.25">
      <c r="A77" t="s">
        <v>636</v>
      </c>
      <c r="B77" s="3" t="str">
        <f>IF(A77="","",IFERROR(INDEX(Movimientos!$D$2:$D$1993,MATCH(A77&amp;"ENTRADA",Movimientos!$S$2:$S$1993,0)),"-"))</f>
        <v xml:space="preserve">semilla comprada maíz </v>
      </c>
      <c r="C77" s="3" t="str">
        <f>IF(A77="","",IFERROR(INDEX(Movimientos!$E$2:$E$1993,MATCH(A77&amp;"ENTRADA",Movimientos!$S$2:$S$1993,0)),"-"))</f>
        <v>Semilla</v>
      </c>
      <c r="D77" s="3" t="str">
        <f>IF(A77="","",IFERROR(INDEX(Movimientos!$F$2:$F$1993,MATCH(A77&amp;"ENTRADA",Movimientos!$S$2:$S$1993,0)),"-"))</f>
        <v>Maíz</v>
      </c>
      <c r="E77" s="3" t="str">
        <f>IF(A77="","",IFERROR(INDEX(Movimientos!$L$2:$L$1993,MATCH(A77&amp;"ENTRADA",Movimientos!$S$2:$S$1993,0)),"-"))</f>
        <v>bolsa</v>
      </c>
      <c r="F77" s="8">
        <f>IF(A77="","",COUNTIFS(Stock_por_Lote!$B:$B,A77,Stock_por_Lote!$J:$J,"&gt;0"))</f>
        <v>1</v>
      </c>
      <c r="G77" s="9">
        <f>IF(A77="","",SUMIFS(Movimientos!$K:$K,Movimientos!$C:$C,A77))</f>
        <v>380</v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>S/D</v>
      </c>
    </row>
    <row r="78" spans="1:8" ht="14.25">
      <c r="A78" t="s">
        <v>766</v>
      </c>
      <c r="B78" s="3" t="str">
        <f>IF(A78="","",IFERROR(INDEX(Movimientos!$D$2:$D$1993,MATCH(A78&amp;"ENTRADA",Movimientos!$S$2:$S$1993,0)),"-"))</f>
        <v xml:space="preserve">semilla maiz nk 842 viptera Maiz 1era </v>
      </c>
      <c r="C78" s="3" t="str">
        <f>IF(A78="","",IFERROR(INDEX(Movimientos!$E$2:$E$1993,MATCH(A78&amp;"ENTRADA",Movimientos!$S$2:$S$1993,0)),"-"))</f>
        <v>Semilla</v>
      </c>
      <c r="D78" s="3" t="str">
        <f>IF(A78="","",IFERROR(INDEX(Movimientos!$F$2:$F$1993,MATCH(A78&amp;"ENTRADA",Movimientos!$S$2:$S$1993,0)),"-"))</f>
        <v>Maíz</v>
      </c>
      <c r="E78" s="3" t="str">
        <f>IF(A78="","",IFERROR(INDEX(Movimientos!$L$2:$L$1993,MATCH(A78&amp;"ENTRADA",Movimientos!$S$2:$S$1993,0)),"-"))</f>
        <v>bolsa</v>
      </c>
      <c r="F78" s="8">
        <f>IF(A78="","",COUNTIFS(Stock_por_Lote!$B:$B,A78,Stock_por_Lote!$J:$J,"&gt;0"))</f>
        <v>1</v>
      </c>
      <c r="G78" s="9">
        <f>IF(A78="","",SUMIFS(Movimientos!$K:$K,Movimientos!$C:$C,A78))</f>
        <v>446</v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>S/D</v>
      </c>
    </row>
    <row r="79" spans="1:8" ht="14.25">
      <c r="A79" t="s">
        <v>629</v>
      </c>
      <c r="B79" s="3" t="str">
        <f>IF(A79="","",IFERROR(INDEX(Movimientos!$D$2:$D$1993,MATCH(A79&amp;"ENTRADA",Movimientos!$S$2:$S$1993,0)),"-"))</f>
        <v xml:space="preserve">semilla comprada maíz </v>
      </c>
      <c r="C79" s="3" t="str">
        <f>IF(A79="","",IFERROR(INDEX(Movimientos!$E$2:$E$1993,MATCH(A79&amp;"ENTRADA",Movimientos!$S$2:$S$1993,0)),"-"))</f>
        <v>Semilla</v>
      </c>
      <c r="D79" s="3" t="str">
        <f>IF(A79="","",IFERROR(INDEX(Movimientos!$F$2:$F$1993,MATCH(A79&amp;"ENTRADA",Movimientos!$S$2:$S$1993,0)),"-"))</f>
        <v>Maíz</v>
      </c>
      <c r="E79" s="3" t="str">
        <f>IF(A79="","",IFERROR(INDEX(Movimientos!$L$2:$L$1993,MATCH(A79&amp;"ENTRADA",Movimientos!$S$2:$S$1993,0)),"-"))</f>
        <v>bolsa</v>
      </c>
      <c r="F79" s="8">
        <f>IF(A79="","",COUNTIFS(Stock_por_Lote!$B:$B,A79,Stock_por_Lote!$J:$J,"&gt;0"))</f>
        <v>0</v>
      </c>
      <c r="G79" s="9">
        <f>IF(A79="","",SUMIFS(Movimientos!$K:$K,Movimientos!$C:$C,A79))</f>
        <v>632</v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>S/D</v>
      </c>
    </row>
    <row r="80" spans="1:8" ht="14.25">
      <c r="A80" t="s">
        <v>933</v>
      </c>
      <c r="B80" s="3" t="str">
        <f>IF(A80="","",IFERROR(INDEX(Movimientos!$D$2:$D$1993,MATCH(A80&amp;"ENTRADA",Movimientos!$S$2:$S$1993,0)),"-"))</f>
        <v>epoxiconazol 37.5g/l metconazol 27.5g/l</v>
      </c>
      <c r="C80" s="3" t="str">
        <f>IF(A80="","",IFERROR(INDEX(Movimientos!$E$2:$E$1993,MATCH(A80&amp;"ENTRADA",Movimientos!$S$2:$S$1993,0)),"-"))</f>
        <v>Fungicida</v>
      </c>
      <c r="D80" s="3">
        <f>IF(A80="","",IFERROR(INDEX(Movimientos!$F$2:$F$1993,MATCH(A80&amp;"ENTRADA",Movimientos!$S$2:$S$1993,0)),"-"))</f>
        <v>0</v>
      </c>
      <c r="E80" s="3" t="str">
        <f>IF(A80="","",IFERROR(INDEX(Movimientos!$L$2:$L$1993,MATCH(A80&amp;"ENTRADA",Movimientos!$S$2:$S$1993,0)),"-"))</f>
        <v>L</v>
      </c>
      <c r="F80" s="8">
        <f>IF(A80="","",COUNTIFS(Stock_por_Lote!$B:$B,A80,Stock_por_Lote!$J:$J,"&gt;0"))</f>
        <v>0</v>
      </c>
      <c r="G80" s="9">
        <f>IF(A80="","",SUMIFS(Movimientos!$K:$K,Movimientos!$C:$C,A80))</f>
        <v>0</v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>S/D</v>
      </c>
    </row>
    <row r="81" spans="1:8" ht="14.25">
      <c r="A81" t="s">
        <v>940</v>
      </c>
      <c r="B81" s="3" t="str">
        <f>IF(A81="","",IFERROR(INDEX(Movimientos!$D$2:$D$1993,MATCH(A81&amp;"ENTRADA",Movimientos!$S$2:$S$1993,0)),"-"))</f>
        <v>Dibromuro de diquat</v>
      </c>
      <c r="C81" s="3" t="str">
        <f>IF(A81="","",IFERROR(INDEX(Movimientos!$E$2:$E$1993,MATCH(A81&amp;"ENTRADA",Movimientos!$S$2:$S$1993,0)),"-"))</f>
        <v>Herbicida</v>
      </c>
      <c r="D81" s="3" t="str">
        <f>IF(A81="","",IFERROR(INDEX(Movimientos!$F$2:$F$1993,MATCH(A81&amp;"ENTRADA",Movimientos!$S$2:$S$1993,0)),"-"))</f>
        <v>Postemergente</v>
      </c>
      <c r="E81" s="3" t="str">
        <f>IF(A81="","",IFERROR(INDEX(Movimientos!$L$2:$L$1993,MATCH(A81&amp;"ENTRADA",Movimientos!$S$2:$S$1993,0)),"-"))</f>
        <v>L</v>
      </c>
      <c r="F81" s="8">
        <f>IF(A81="","",COUNTIFS(Stock_por_Lote!$B:$B,A81,Stock_por_Lote!$J:$J,"&gt;0"))</f>
        <v>0</v>
      </c>
      <c r="G81" s="9">
        <f>IF(A81="","",SUMIFS(Movimientos!$K:$K,Movimientos!$C:$C,A81))</f>
        <v>0</v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>S/D</v>
      </c>
    </row>
    <row r="82" spans="1:8" ht="14.25">
      <c r="A82" t="s">
        <v>788</v>
      </c>
      <c r="B82" s="3" t="str">
        <f>IF(A82="","",IFERROR(INDEX(Movimientos!$D$2:$D$1993,MATCH(A82&amp;"ENTRADA",Movimientos!$S$2:$S$1993,0)),"-"))</f>
        <v>flumioxazim 480g/l</v>
      </c>
      <c r="C82" s="3" t="str">
        <f>IF(A82="","",IFERROR(INDEX(Movimientos!$E$2:$E$1993,MATCH(A82&amp;"ENTRADA",Movimientos!$S$2:$S$1993,0)),"-"))</f>
        <v>Herbicida</v>
      </c>
      <c r="D82" s="3" t="str">
        <f>IF(A82="","",IFERROR(INDEX(Movimientos!$F$2:$F$1993,MATCH(A82&amp;"ENTRADA",Movimientos!$S$2:$S$1993,0)),"-"))</f>
        <v>Preemergente</v>
      </c>
      <c r="E82" s="3" t="str">
        <f>IF(A82="","",IFERROR(INDEX(Movimientos!$L$2:$L$1993,MATCH(A82&amp;"ENTRADA",Movimientos!$S$2:$S$1993,0)),"-"))</f>
        <v>L</v>
      </c>
      <c r="F82" s="8">
        <f>IF(A82="","",COUNTIFS(Stock_por_Lote!$B:$B,A82,Stock_por_Lote!$J:$J,"&gt;0"))</f>
        <v>0</v>
      </c>
      <c r="G82" s="9">
        <f>IF(A82="","",SUMIFS(Movimientos!$K:$K,Movimientos!$C:$C,A82))</f>
        <v>1100</v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>S/D</v>
      </c>
    </row>
    <row r="83" spans="1:8" ht="14.25">
      <c r="A83" s="63"/>
      <c r="B83" s="3" t="str">
        <f>IF(A83="","",IFERROR(INDEX(Movimientos!$D$2:$D$1993,MATCH(A83&amp;"ENTRADA",Movimientos!$S$2:$S$1993,0)),"-"))</f>
        <v/>
      </c>
      <c r="C83" s="3" t="str">
        <f>IF(A83="","",IFERROR(INDEX(Movimientos!$E$2:$E$1993,MATCH(A83&amp;"ENTRADA",Movimientos!$S$2:$S$1993,0)),"-"))</f>
        <v/>
      </c>
      <c r="D83" s="3" t="str">
        <f>IF(A83="","",IFERROR(INDEX(Movimientos!$F$2:$F$1993,MATCH(A83&amp;"ENTRADA",Movimientos!$S$2:$S$1993,0)),"-"))</f>
        <v/>
      </c>
      <c r="E83" s="3" t="str">
        <f>IF(A83="","",IFERROR(INDEX(Movimientos!$L$2:$L$1993,MATCH(A83&amp;"ENTRADA",Movimientos!$S$2:$S$1993,0)),"-"))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1:8" ht="14.25">
      <c r="B84" s="3" t="str">
        <f>IF(A84="","",IFERROR(INDEX(Movimientos!$D$2:$D$1993,MATCH(A84&amp;"ENTRADA",Movimientos!$S$2:$S$1993,0)),"-"))</f>
        <v/>
      </c>
      <c r="C84" s="3" t="str">
        <f>IF(A84="","",IFERROR(INDEX(Movimientos!$E$2:$E$1993,MATCH(A84&amp;"ENTRADA",Movimientos!$S$2:$S$1993,0)),"-"))</f>
        <v/>
      </c>
      <c r="D84" s="3" t="str">
        <f>IF(A84="","",IFERROR(INDEX(Movimientos!$F$2:$F$1993,MATCH(A84&amp;"ENTRADA",Movimientos!$S$2:$S$1993,0)),"-"))</f>
        <v/>
      </c>
      <c r="E84" s="3" t="str">
        <f>IF(A84="","",IFERROR(INDEX(Movimientos!$L$2:$L$1993,MATCH(A84&amp;"ENTRADA",Movimientos!$S$2:$S$1993,0)),"-"))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1:8" ht="14.25">
      <c r="B85" s="3" t="str">
        <f>IF(A85="","",IFERROR(INDEX(Movimientos!$D$2:$D$1993,MATCH(A85&amp;"ENTRADA",Movimientos!$S$2:$S$1993,0)),"-"))</f>
        <v/>
      </c>
      <c r="C85" s="3" t="str">
        <f>IF(A85="","",IFERROR(INDEX(Movimientos!$E$2:$E$1993,MATCH(A85&amp;"ENTRADA",Movimientos!$S$2:$S$1993,0)),"-"))</f>
        <v/>
      </c>
      <c r="D85" s="3" t="str">
        <f>IF(A85="","",IFERROR(INDEX(Movimientos!$F$2:$F$1993,MATCH(A85&amp;"ENTRADA",Movimientos!$S$2:$S$1993,0)),"-"))</f>
        <v/>
      </c>
      <c r="E85" s="3" t="str">
        <f>IF(A85="","",IFERROR(INDEX(Movimientos!$L$2:$L$1993,MATCH(A85&amp;"ENTRADA",Movimientos!$S$2:$S$1993,0)),"-"))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1:8" ht="14.25">
      <c r="B86" s="3" t="str">
        <f>IF(A86="","",IFERROR(INDEX(Movimientos!$D$2:$D$1993,MATCH(A86&amp;"ENTRADA",Movimientos!$S$2:$S$1993,0)),"-"))</f>
        <v/>
      </c>
      <c r="C86" s="3" t="str">
        <f>IF(A86="","",IFERROR(INDEX(Movimientos!$E$2:$E$1993,MATCH(A86&amp;"ENTRADA",Movimientos!$S$2:$S$1993,0)),"-"))</f>
        <v/>
      </c>
      <c r="D86" s="3" t="str">
        <f>IF(A86="","",IFERROR(INDEX(Movimientos!$F$2:$F$1993,MATCH(A86&amp;"ENTRADA",Movimientos!$S$2:$S$1993,0)),"-"))</f>
        <v/>
      </c>
      <c r="E86" s="3" t="str">
        <f>IF(A86="","",IFERROR(INDEX(Movimientos!$L$2:$L$1993,MATCH(A86&amp;"ENTRADA",Movimientos!$S$2:$S$1993,0)),"-"))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1:8" ht="14.25">
      <c r="B87" s="3" t="str">
        <f>IF(A87="","",IFERROR(INDEX(Movimientos!$D$2:$D$1993,MATCH(A87&amp;"ENTRADA",Movimientos!$S$2:$S$1993,0)),"-"))</f>
        <v/>
      </c>
      <c r="C87" s="3" t="str">
        <f>IF(A87="","",IFERROR(INDEX(Movimientos!$E$2:$E$1993,MATCH(A87&amp;"ENTRADA",Movimientos!$S$2:$S$1993,0)),"-"))</f>
        <v/>
      </c>
      <c r="D87" s="3" t="str">
        <f>IF(A87="","",IFERROR(INDEX(Movimientos!$F$2:$F$1993,MATCH(A87&amp;"ENTRADA",Movimientos!$S$2:$S$1993,0)),"-"))</f>
        <v/>
      </c>
      <c r="E87" s="3" t="str">
        <f>IF(A87="","",IFERROR(INDEX(Movimientos!$L$2:$L$1993,MATCH(A87&amp;"ENTRADA",Movimientos!$S$2:$S$1993,0)),"-"))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1:8" ht="14.25">
      <c r="B88" s="3" t="str">
        <f>IF(A88="","",IFERROR(INDEX(Movimientos!$D$2:$D$1993,MATCH(A88&amp;"ENTRADA",Movimientos!$S$2:$S$1993,0)),"-"))</f>
        <v/>
      </c>
      <c r="C88" s="3" t="str">
        <f>IF(A88="","",IFERROR(INDEX(Movimientos!$E$2:$E$1993,MATCH(A88&amp;"ENTRADA",Movimientos!$S$2:$S$1993,0)),"-"))</f>
        <v/>
      </c>
      <c r="D88" s="3" t="str">
        <f>IF(A88="","",IFERROR(INDEX(Movimientos!$F$2:$F$1993,MATCH(A88&amp;"ENTRADA",Movimientos!$S$2:$S$1993,0)),"-"))</f>
        <v/>
      </c>
      <c r="E88" s="3" t="str">
        <f>IF(A88="","",IFERROR(INDEX(Movimientos!$L$2:$L$1993,MATCH(A88&amp;"ENTRADA",Movimientos!$S$2:$S$1993,0)),"-"))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1:8" ht="14.25">
      <c r="B89" s="3" t="str">
        <f>IF(A89="","",IFERROR(INDEX(Movimientos!$D$2:$D$1993,MATCH(A89&amp;"ENTRADA",Movimientos!$S$2:$S$1993,0)),"-"))</f>
        <v/>
      </c>
      <c r="C89" s="3" t="str">
        <f>IF(A89="","",IFERROR(INDEX(Movimientos!$E$2:$E$1993,MATCH(A89&amp;"ENTRADA",Movimientos!$S$2:$S$1993,0)),"-"))</f>
        <v/>
      </c>
      <c r="D89" s="3" t="str">
        <f>IF(A89="","",IFERROR(INDEX(Movimientos!$F$2:$F$1993,MATCH(A89&amp;"ENTRADA",Movimientos!$S$2:$S$1993,0)),"-"))</f>
        <v/>
      </c>
      <c r="E89" s="3" t="str">
        <f>IF(A89="","",IFERROR(INDEX(Movimientos!$L$2:$L$1993,MATCH(A89&amp;"ENTRADA",Movimientos!$S$2:$S$1993,0)),"-"))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1:8" ht="14.25">
      <c r="B90" s="3" t="str">
        <f>IF(A90="","",IFERROR(INDEX(Movimientos!$D$2:$D$1993,MATCH(A90&amp;"ENTRADA",Movimientos!$S$2:$S$1993,0)),"-"))</f>
        <v/>
      </c>
      <c r="C90" s="3" t="str">
        <f>IF(A90="","",IFERROR(INDEX(Movimientos!$E$2:$E$1993,MATCH(A90&amp;"ENTRADA",Movimientos!$S$2:$S$1993,0)),"-"))</f>
        <v/>
      </c>
      <c r="D90" s="3" t="str">
        <f>IF(A90="","",IFERROR(INDEX(Movimientos!$F$2:$F$1993,MATCH(A90&amp;"ENTRADA",Movimientos!$S$2:$S$1993,0)),"-"))</f>
        <v/>
      </c>
      <c r="E90" s="3" t="str">
        <f>IF(A90="","",IFERROR(INDEX(Movimientos!$L$2:$L$1993,MATCH(A90&amp;"ENTRADA",Movimientos!$S$2:$S$1993,0)),"-"))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1:8" ht="14.25">
      <c r="B91" s="3" t="str">
        <f>IF(A91="","",IFERROR(INDEX(Movimientos!$D$2:$D$1993,MATCH(A91&amp;"ENTRADA",Movimientos!$S$2:$S$1993,0)),"-"))</f>
        <v/>
      </c>
      <c r="C91" s="3" t="str">
        <f>IF(A91="","",IFERROR(INDEX(Movimientos!$E$2:$E$1993,MATCH(A91&amp;"ENTRADA",Movimientos!$S$2:$S$1993,0)),"-"))</f>
        <v/>
      </c>
      <c r="D91" s="3" t="str">
        <f>IF(A91="","",IFERROR(INDEX(Movimientos!$F$2:$F$1993,MATCH(A91&amp;"ENTRADA",Movimientos!$S$2:$S$1993,0)),"-"))</f>
        <v/>
      </c>
      <c r="E91" s="3" t="str">
        <f>IF(A91="","",IFERROR(INDEX(Movimientos!$L$2:$L$1993,MATCH(A91&amp;"ENTRADA",Movimientos!$S$2:$S$1993,0)),"-"))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1:8" ht="14.25">
      <c r="B92" s="3" t="str">
        <f>IF(A92="","",IFERROR(INDEX(Movimientos!$D$2:$D$1993,MATCH(A92&amp;"ENTRADA",Movimientos!$S$2:$S$1993,0)),"-"))</f>
        <v/>
      </c>
      <c r="C92" s="3" t="str">
        <f>IF(A92="","",IFERROR(INDEX(Movimientos!$E$2:$E$1993,MATCH(A92&amp;"ENTRADA",Movimientos!$S$2:$S$1993,0)),"-"))</f>
        <v/>
      </c>
      <c r="D92" s="3" t="str">
        <f>IF(A92="","",IFERROR(INDEX(Movimientos!$F$2:$F$1993,MATCH(A92&amp;"ENTRADA",Movimientos!$S$2:$S$1993,0)),"-"))</f>
        <v/>
      </c>
      <c r="E92" s="3" t="str">
        <f>IF(A92="","",IFERROR(INDEX(Movimientos!$L$2:$L$1993,MATCH(A92&amp;"ENTRADA",Movimientos!$S$2:$S$1993,0)),"-"))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1:8" ht="14.25">
      <c r="B93" s="3" t="str">
        <f>IF(A93="","",IFERROR(INDEX(Movimientos!$D$2:$D$1993,MATCH(A93&amp;"ENTRADA",Movimientos!$S$2:$S$1993,0)),"-"))</f>
        <v/>
      </c>
      <c r="C93" s="3" t="str">
        <f>IF(A93="","",IFERROR(INDEX(Movimientos!$E$2:$E$1993,MATCH(A93&amp;"ENTRADA",Movimientos!$S$2:$S$1993,0)),"-"))</f>
        <v/>
      </c>
      <c r="D93" s="3" t="str">
        <f>IF(A93="","",IFERROR(INDEX(Movimientos!$F$2:$F$1993,MATCH(A93&amp;"ENTRADA",Movimientos!$S$2:$S$1993,0)),"-"))</f>
        <v/>
      </c>
      <c r="E93" s="3" t="str">
        <f>IF(A93="","",IFERROR(INDEX(Movimientos!$L$2:$L$1993,MATCH(A93&amp;"ENTRADA",Movimientos!$S$2:$S$1993,0)),"-"))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1:8" ht="14.25">
      <c r="B94" s="3" t="str">
        <f>IF(A94="","",IFERROR(INDEX(Movimientos!$D$2:$D$1993,MATCH(A94&amp;"ENTRADA",Movimientos!$S$2:$S$1993,0)),"-"))</f>
        <v/>
      </c>
      <c r="C94" s="3" t="str">
        <f>IF(A94="","",IFERROR(INDEX(Movimientos!$E$2:$E$1993,MATCH(A94&amp;"ENTRADA",Movimientos!$S$2:$S$1993,0)),"-"))</f>
        <v/>
      </c>
      <c r="D94" s="3" t="str">
        <f>IF(A94="","",IFERROR(INDEX(Movimientos!$F$2:$F$1993,MATCH(A94&amp;"ENTRADA",Movimientos!$S$2:$S$1993,0)),"-"))</f>
        <v/>
      </c>
      <c r="E94" s="3" t="str">
        <f>IF(A94="","",IFERROR(INDEX(Movimientos!$L$2:$L$1993,MATCH(A94&amp;"ENTRADA",Movimientos!$S$2:$S$1993,0)),"-"))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1:8" ht="14.25">
      <c r="B95" s="3" t="str">
        <f>IF(A95="","",IFERROR(INDEX(Movimientos!$D$2:$D$1993,MATCH(A95&amp;"ENTRADA",Movimientos!$S$2:$S$1993,0)),"-"))</f>
        <v/>
      </c>
      <c r="C95" s="3" t="str">
        <f>IF(A95="","",IFERROR(INDEX(Movimientos!$E$2:$E$1993,MATCH(A95&amp;"ENTRADA",Movimientos!$S$2:$S$1993,0)),"-"))</f>
        <v/>
      </c>
      <c r="D95" s="3" t="str">
        <f>IF(A95="","",IFERROR(INDEX(Movimientos!$F$2:$F$1993,MATCH(A95&amp;"ENTRADA",Movimientos!$S$2:$S$1993,0)),"-"))</f>
        <v/>
      </c>
      <c r="E95" s="3" t="str">
        <f>IF(A95="","",IFERROR(INDEX(Movimientos!$L$2:$L$1993,MATCH(A95&amp;"ENTRADA",Movimientos!$S$2:$S$1993,0)),"-"))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1:8" ht="14.25">
      <c r="B96" s="3" t="str">
        <f>IF(A96="","",IFERROR(INDEX(Movimientos!$D$2:$D$1993,MATCH(A96&amp;"ENTRADA",Movimientos!$S$2:$S$1993,0)),"-"))</f>
        <v/>
      </c>
      <c r="C96" s="3" t="str">
        <f>IF(A96="","",IFERROR(INDEX(Movimientos!$E$2:$E$1993,MATCH(A96&amp;"ENTRADA",Movimientos!$S$2:$S$1993,0)),"-"))</f>
        <v/>
      </c>
      <c r="D96" s="3" t="str">
        <f>IF(A96="","",IFERROR(INDEX(Movimientos!$F$2:$F$1993,MATCH(A96&amp;"ENTRADA",Movimientos!$S$2:$S$1993,0)),"-"))</f>
        <v/>
      </c>
      <c r="E96" s="3" t="str">
        <f>IF(A96="","",IFERROR(INDEX(Movimientos!$L$2:$L$1993,MATCH(A96&amp;"ENTRADA",Movimientos!$S$2:$S$1993,0)),"-"))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IF(A97="","",IFERROR(INDEX(Movimientos!$D$2:$D$1993,MATCH(A97&amp;"ENTRADA",Movimientos!$S$2:$S$1993,0)),"-"))</f>
        <v/>
      </c>
      <c r="C97" s="3" t="str">
        <f>IF(A97="","",IFERROR(INDEX(Movimientos!$E$2:$E$1993,MATCH(A97&amp;"ENTRADA",Movimientos!$S$2:$S$1993,0)),"-"))</f>
        <v/>
      </c>
      <c r="D97" s="3" t="str">
        <f>IF(A97="","",IFERROR(INDEX(Movimientos!$F$2:$F$1993,MATCH(A97&amp;"ENTRADA",Movimientos!$S$2:$S$1993,0)),"-"))</f>
        <v/>
      </c>
      <c r="E97" s="3" t="str">
        <f>IF(A97="","",IFERROR(INDEX(Movimientos!$L$2:$L$1993,MATCH(A97&amp;"ENTRADA",Movimientos!$S$2:$S$1993,0)),"-"))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IF(A98="","",IFERROR(INDEX(Movimientos!$D$2:$D$1993,MATCH(A98&amp;"ENTRADA",Movimientos!$S$2:$S$1993,0)),"-"))</f>
        <v/>
      </c>
      <c r="C98" s="3" t="str">
        <f>IF(A98="","",IFERROR(INDEX(Movimientos!$E$2:$E$1993,MATCH(A98&amp;"ENTRADA",Movimientos!$S$2:$S$1993,0)),"-"))</f>
        <v/>
      </c>
      <c r="D98" s="3" t="str">
        <f>IF(A98="","",IFERROR(INDEX(Movimientos!$F$2:$F$1993,MATCH(A98&amp;"ENTRADA",Movimientos!$S$2:$S$1993,0)),"-"))</f>
        <v/>
      </c>
      <c r="E98" s="3" t="str">
        <f>IF(A98="","",IFERROR(INDEX(Movimientos!$L$2:$L$1993,MATCH(A98&amp;"ENTRADA",Movimientos!$S$2:$S$1993,0)),"-"))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IF(A99="","",IFERROR(INDEX(Movimientos!$D$2:$D$1993,MATCH(A99&amp;"ENTRADA",Movimientos!$S$2:$S$1993,0)),"-"))</f>
        <v/>
      </c>
      <c r="C99" s="3" t="str">
        <f>IF(A99="","",IFERROR(INDEX(Movimientos!$E$2:$E$1993,MATCH(A99&amp;"ENTRADA",Movimientos!$S$2:$S$1993,0)),"-"))</f>
        <v/>
      </c>
      <c r="D99" s="3" t="str">
        <f>IF(A99="","",IFERROR(INDEX(Movimientos!$F$2:$F$1993,MATCH(A99&amp;"ENTRADA",Movimientos!$S$2:$S$1993,0)),"-"))</f>
        <v/>
      </c>
      <c r="E99" s="3" t="str">
        <f>IF(A99="","",IFERROR(INDEX(Movimientos!$L$2:$L$1993,MATCH(A99&amp;"ENTRADA",Movimientos!$S$2:$S$1993,0)),"-"))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IF(A100="","",IFERROR(INDEX(Movimientos!$D$2:$D$1993,MATCH(A100&amp;"ENTRADA",Movimientos!$S$2:$S$1993,0)),"-"))</f>
        <v/>
      </c>
      <c r="C100" s="3" t="str">
        <f>IF(A100="","",IFERROR(INDEX(Movimientos!$E$2:$E$1993,MATCH(A100&amp;"ENTRADA",Movimientos!$S$2:$S$1993,0)),"-"))</f>
        <v/>
      </c>
      <c r="D100" s="3" t="str">
        <f>IF(A100="","",IFERROR(INDEX(Movimientos!$F$2:$F$1993,MATCH(A100&amp;"ENTRADA",Movimientos!$S$2:$S$1993,0)),"-"))</f>
        <v/>
      </c>
      <c r="E100" s="3" t="str">
        <f>IF(A100="","",IFERROR(INDEX(Movimientos!$L$2:$L$1993,MATCH(A100&amp;"ENTRADA",Movimientos!$S$2:$S$1993,0)),"-"))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IF(A101="","",IFERROR(INDEX(Movimientos!$D$2:$D$1993,MATCH(A101&amp;"ENTRADA",Movimientos!$S$2:$S$1993,0)),"-"))</f>
        <v/>
      </c>
      <c r="C101" s="3" t="str">
        <f>IF(A101="","",IFERROR(INDEX(Movimientos!$E$2:$E$1993,MATCH(A101&amp;"ENTRADA",Movimientos!$S$2:$S$1993,0)),"-"))</f>
        <v/>
      </c>
      <c r="D101" s="3" t="str">
        <f>IF(A101="","",IFERROR(INDEX(Movimientos!$F$2:$F$1993,MATCH(A101&amp;"ENTRADA",Movimientos!$S$2:$S$1993,0)),"-"))</f>
        <v/>
      </c>
      <c r="E101" s="3" t="str">
        <f>IF(A101="","",IFERROR(INDEX(Movimientos!$L$2:$L$1993,MATCH(A101&amp;"ENTRADA",Movimientos!$S$2:$S$1993,0)),"-"))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IF(A102="","",IFERROR(INDEX(Movimientos!$D$2:$D$1993,MATCH(A102&amp;"ENTRADA",Movimientos!$S$2:$S$1993,0)),"-"))</f>
        <v/>
      </c>
      <c r="C102" s="3" t="str">
        <f>IF(A102="","",IFERROR(INDEX(Movimientos!$E$2:$E$1993,MATCH(A102&amp;"ENTRADA",Movimientos!$S$2:$S$1993,0)),"-"))</f>
        <v/>
      </c>
      <c r="D102" s="3" t="str">
        <f>IF(A102="","",IFERROR(INDEX(Movimientos!$F$2:$F$1993,MATCH(A102&amp;"ENTRADA",Movimientos!$S$2:$S$1993,0)),"-"))</f>
        <v/>
      </c>
      <c r="E102" s="3" t="str">
        <f>IF(A102="","",IFERROR(INDEX(Movimientos!$L$2:$L$1993,MATCH(A102&amp;"ENTRADA",Movimientos!$S$2:$S$1993,0)),"-"))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IF(A103="","",IFERROR(INDEX(Movimientos!$D$2:$D$1993,MATCH(A103&amp;"ENTRADA",Movimientos!$S$2:$S$1993,0)),"-"))</f>
        <v/>
      </c>
      <c r="C103" s="3" t="str">
        <f>IF(A103="","",IFERROR(INDEX(Movimientos!$E$2:$E$1993,MATCH(A103&amp;"ENTRADA",Movimientos!$S$2:$S$1993,0)),"-"))</f>
        <v/>
      </c>
      <c r="D103" s="3" t="str">
        <f>IF(A103="","",IFERROR(INDEX(Movimientos!$F$2:$F$1993,MATCH(A103&amp;"ENTRADA",Movimientos!$S$2:$S$1993,0)),"-"))</f>
        <v/>
      </c>
      <c r="E103" s="3" t="str">
        <f>IF(A103="","",IFERROR(INDEX(Movimientos!$L$2:$L$1993,MATCH(A103&amp;"ENTRADA",Movimientos!$S$2:$S$1993,0)),"-"))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IF(A104="","",IFERROR(INDEX(Movimientos!$D$2:$D$1993,MATCH(A104&amp;"ENTRADA",Movimientos!$S$2:$S$1993,0)),"-"))</f>
        <v/>
      </c>
      <c r="C104" s="3" t="str">
        <f>IF(A104="","",IFERROR(INDEX(Movimientos!$E$2:$E$1993,MATCH(A104&amp;"ENTRADA",Movimientos!$S$2:$S$1993,0)),"-"))</f>
        <v/>
      </c>
      <c r="D104" s="3" t="str">
        <f>IF(A104="","",IFERROR(INDEX(Movimientos!$F$2:$F$1993,MATCH(A104&amp;"ENTRADA",Movimientos!$S$2:$S$1993,0)),"-"))</f>
        <v/>
      </c>
      <c r="E104" s="3" t="str">
        <f>IF(A104="","",IFERROR(INDEX(Movimientos!$L$2:$L$1993,MATCH(A104&amp;"ENTRADA",Movimientos!$S$2:$S$1993,0)),"-"))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IF(A105="","",IFERROR(INDEX(Movimientos!$D$2:$D$1993,MATCH(A105&amp;"ENTRADA",Movimientos!$S$2:$S$1993,0)),"-"))</f>
        <v/>
      </c>
      <c r="C105" s="3" t="str">
        <f>IF(A105="","",IFERROR(INDEX(Movimientos!$E$2:$E$1993,MATCH(A105&amp;"ENTRADA",Movimientos!$S$2:$S$1993,0)),"-"))</f>
        <v/>
      </c>
      <c r="D105" s="3" t="str">
        <f>IF(A105="","",IFERROR(INDEX(Movimientos!$F$2:$F$1993,MATCH(A105&amp;"ENTRADA",Movimientos!$S$2:$S$1993,0)),"-"))</f>
        <v/>
      </c>
      <c r="E105" s="3" t="str">
        <f>IF(A105="","",IFERROR(INDEX(Movimientos!$L$2:$L$1993,MATCH(A105&amp;"ENTRADA",Movimientos!$S$2:$S$1993,0)),"-"))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IF(A106="","",IFERROR(INDEX(Movimientos!$D$2:$D$1993,MATCH(A106&amp;"ENTRADA",Movimientos!$S$2:$S$1993,0)),"-"))</f>
        <v/>
      </c>
      <c r="C106" s="3" t="str">
        <f>IF(A106="","",IFERROR(INDEX(Movimientos!$E$2:$E$1993,MATCH(A106&amp;"ENTRADA",Movimientos!$S$2:$S$1993,0)),"-"))</f>
        <v/>
      </c>
      <c r="D106" s="3" t="str">
        <f>IF(A106="","",IFERROR(INDEX(Movimientos!$F$2:$F$1993,MATCH(A106&amp;"ENTRADA",Movimientos!$S$2:$S$1993,0)),"-"))</f>
        <v/>
      </c>
      <c r="E106" s="3" t="str">
        <f>IF(A106="","",IFERROR(INDEX(Movimientos!$L$2:$L$1993,MATCH(A106&amp;"ENTRADA",Movimientos!$S$2:$S$1993,0)),"-"))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IF(A107="","",IFERROR(INDEX(Movimientos!$D$2:$D$1993,MATCH(A107&amp;"ENTRADA",Movimientos!$S$2:$S$1993,0)),"-"))</f>
        <v/>
      </c>
      <c r="C107" s="3" t="str">
        <f>IF(A107="","",IFERROR(INDEX(Movimientos!$E$2:$E$1993,MATCH(A107&amp;"ENTRADA",Movimientos!$S$2:$S$1993,0)),"-"))</f>
        <v/>
      </c>
      <c r="D107" s="3" t="str">
        <f>IF(A107="","",IFERROR(INDEX(Movimientos!$F$2:$F$1993,MATCH(A107&amp;"ENTRADA",Movimientos!$S$2:$S$1993,0)),"-"))</f>
        <v/>
      </c>
      <c r="E107" s="3" t="str">
        <f>IF(A107="","",IFERROR(INDEX(Movimientos!$L$2:$L$1993,MATCH(A107&amp;"ENTRADA",Movimientos!$S$2:$S$1993,0)),"-"))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IF(A108="","",IFERROR(INDEX(Movimientos!$D$2:$D$1993,MATCH(A108&amp;"ENTRADA",Movimientos!$S$2:$S$1993,0)),"-"))</f>
        <v/>
      </c>
      <c r="C108" s="3" t="str">
        <f>IF(A108="","",IFERROR(INDEX(Movimientos!$E$2:$E$1993,MATCH(A108&amp;"ENTRADA",Movimientos!$S$2:$S$1993,0)),"-"))</f>
        <v/>
      </c>
      <c r="D108" s="3" t="str">
        <f>IF(A108="","",IFERROR(INDEX(Movimientos!$F$2:$F$1993,MATCH(A108&amp;"ENTRADA",Movimientos!$S$2:$S$1993,0)),"-"))</f>
        <v/>
      </c>
      <c r="E108" s="3" t="str">
        <f>IF(A108="","",IFERROR(INDEX(Movimientos!$L$2:$L$1993,MATCH(A108&amp;"ENTRADA",Movimientos!$S$2:$S$1993,0)),"-"))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IF(A109="","",IFERROR(INDEX(Movimientos!$D$2:$D$1993,MATCH(A109&amp;"ENTRADA",Movimientos!$S$2:$S$1993,0)),"-"))</f>
        <v/>
      </c>
      <c r="C109" s="3" t="str">
        <f>IF(A109="","",IFERROR(INDEX(Movimientos!$E$2:$E$1993,MATCH(A109&amp;"ENTRADA",Movimientos!$S$2:$S$1993,0)),"-"))</f>
        <v/>
      </c>
      <c r="D109" s="3" t="str">
        <f>IF(A109="","",IFERROR(INDEX(Movimientos!$F$2:$F$1993,MATCH(A109&amp;"ENTRADA",Movimientos!$S$2:$S$1993,0)),"-"))</f>
        <v/>
      </c>
      <c r="E109" s="3" t="str">
        <f>IF(A109="","",IFERROR(INDEX(Movimientos!$L$2:$L$1993,MATCH(A109&amp;"ENTRADA",Movimientos!$S$2:$S$1993,0)),"-"))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IF(A110="","",IFERROR(INDEX(Movimientos!$D$2:$D$1993,MATCH(A110&amp;"ENTRADA",Movimientos!$S$2:$S$1993,0)),"-"))</f>
        <v/>
      </c>
      <c r="C110" s="3" t="str">
        <f>IF(A110="","",IFERROR(INDEX(Movimientos!$E$2:$E$1993,MATCH(A110&amp;"ENTRADA",Movimientos!$S$2:$S$1993,0)),"-"))</f>
        <v/>
      </c>
      <c r="D110" s="3" t="str">
        <f>IF(A110="","",IFERROR(INDEX(Movimientos!$F$2:$F$1993,MATCH(A110&amp;"ENTRADA",Movimientos!$S$2:$S$1993,0)),"-"))</f>
        <v/>
      </c>
      <c r="E110" s="3" t="str">
        <f>IF(A110="","",IFERROR(INDEX(Movimientos!$L$2:$L$1993,MATCH(A110&amp;"ENTRADA",Movimientos!$S$2:$S$1993,0)),"-"))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IF(A111="","",IFERROR(INDEX(Movimientos!$D$2:$D$1993,MATCH(A111&amp;"ENTRADA",Movimientos!$S$2:$S$1993,0)),"-"))</f>
        <v/>
      </c>
      <c r="C111" s="3" t="str">
        <f>IF(A111="","",IFERROR(INDEX(Movimientos!$E$2:$E$1993,MATCH(A111&amp;"ENTRADA",Movimientos!$S$2:$S$1993,0)),"-"))</f>
        <v/>
      </c>
      <c r="D111" s="3" t="str">
        <f>IF(A111="","",IFERROR(INDEX(Movimientos!$F$2:$F$1993,MATCH(A111&amp;"ENTRADA",Movimientos!$S$2:$S$1993,0)),"-"))</f>
        <v/>
      </c>
      <c r="E111" s="3" t="str">
        <f>IF(A111="","",IFERROR(INDEX(Movimientos!$L$2:$L$1993,MATCH(A111&amp;"ENTRADA",Movimientos!$S$2:$S$1993,0)),"-"))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IF(A112="","",IFERROR(INDEX(Movimientos!$D$2:$D$1993,MATCH(A112&amp;"ENTRADA",Movimientos!$S$2:$S$1993,0)),"-"))</f>
        <v/>
      </c>
      <c r="C112" s="3" t="str">
        <f>IF(A112="","",IFERROR(INDEX(Movimientos!$E$2:$E$1993,MATCH(A112&amp;"ENTRADA",Movimientos!$S$2:$S$1993,0)),"-"))</f>
        <v/>
      </c>
      <c r="D112" s="3" t="str">
        <f>IF(A112="","",IFERROR(INDEX(Movimientos!$F$2:$F$1993,MATCH(A112&amp;"ENTRADA",Movimientos!$S$2:$S$1993,0)),"-"))</f>
        <v/>
      </c>
      <c r="E112" s="3" t="str">
        <f>IF(A112="","",IFERROR(INDEX(Movimientos!$L$2:$L$1993,MATCH(A112&amp;"ENTRADA",Movimientos!$S$2:$S$1993,0)),"-"))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13" priority="7">
      <formula>$I9="ENTRADA"</formula>
    </cfRule>
    <cfRule type="expression" dxfId="12" priority="8">
      <formula>$I9="SALIDA"</formula>
    </cfRule>
  </conditionalFormatting>
  <conditionalFormatting sqref="A61">
    <cfRule type="expression" dxfId="11" priority="3">
      <formula>$I61="ENTRADA"</formula>
    </cfRule>
    <cfRule type="expression" dxfId="10" priority="4">
      <formula>$I61="SALIDA"</formula>
    </cfRule>
  </conditionalFormatting>
  <conditionalFormatting sqref="A83">
    <cfRule type="expression" dxfId="9" priority="1">
      <formula>$I83="ENTRADA"</formula>
    </cfRule>
    <cfRule type="expression" dxfId="8" priority="2">
      <formula>$I83="SALIDA"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 A61 A83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17" activePane="bottomLeft" state="frozen"/>
      <selection pane="bottomLeft" activeCell="A66" sqref="A66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2370</v>
      </c>
      <c r="B1" s="23" t="s">
        <v>2359</v>
      </c>
      <c r="C1" s="23" t="s">
        <v>2371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2372</v>
      </c>
      <c r="I1" s="18" t="s">
        <v>2373</v>
      </c>
      <c r="J1" s="18" t="s">
        <v>2374</v>
      </c>
      <c r="K1" s="18" t="s">
        <v>2375</v>
      </c>
    </row>
    <row r="2" spans="1:11">
      <c r="A2" s="16" t="s">
        <v>198</v>
      </c>
      <c r="B2" s="2" t="str">
        <f>IFERROR(INDEX(Movimientos!$C$2:$C$1993,MATCH(A2&amp;"ENTRADA",Movimientos!$R$2:$R$1993,0)),"-")</f>
        <v>Colza Curry CL</v>
      </c>
      <c r="C2" s="2" t="str">
        <f>IFERROR(INDEX(Movimientos!$D$2:$D$1993,MATCH(A2&amp;"ENTRADA",Movimientos!$R$2:$R$1993,0)),"-")</f>
        <v>CURRY CL</v>
      </c>
      <c r="D2" s="2" t="str">
        <f>IFERROR(INDEX(Movimientos!$E$2:$E$1993,MATCH(A2&amp;"ENTRADA",Movimientos!$R$2:$R$1993,0)),"-")</f>
        <v>Semilla</v>
      </c>
      <c r="E2" s="2" t="str">
        <f>IFERROR(INDEX(Movimientos!$F$2:$F$1993,MATCH(A2&amp;"ENTRADA",Movimientos!$R$2:$R$1993,0)),"-")</f>
        <v>Colza</v>
      </c>
      <c r="F2" s="2" t="str">
        <f>IFERROR(INDEX(Movimientos!$G$2:$G$1993,MATCH(A2&amp;"ENTRADA",Movimientos!$R$2:$R$1993,0)),"-")</f>
        <v>ERRO</v>
      </c>
      <c r="G2" s="2" t="str">
        <f>IFERROR(INDEX(Movimientos!$L$2:$L$1993,MATCH(A2&amp;"ENTRADA",Movimientos!$R$2:$R$1993,0)),"-")</f>
        <v>kg</v>
      </c>
      <c r="H2" s="17" t="str">
        <f>IFERROR(IF(INDEX(Movimientos!$M$2:$M$1993,MATCH(A2&amp;"ENTRADA",Movimientos!$R$2:$R$1993,0))=0,"S/D",INDEX(Movimientos!$M$2:$M$1993,MATCH(A2&amp;"ENTRADA",Movimientos!$R$2:$R$1993,0))),"S/D")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106</v>
      </c>
      <c r="B3" s="2" t="str">
        <f>IFERROR(INDEX(Movimientos!$C$2:$C$1993,MATCH(A3&amp;"ENTRADA",Movimientos!$R$2:$R$1993,0)),"-")</f>
        <v>Korvetto</v>
      </c>
      <c r="C3" s="2" t="str">
        <f>IFERROR(INDEX(Movimientos!$D$2:$D$1993,MATCH(A3&amp;"ENTRADA",Movimientos!$R$2:$R$1993,0)),"-")</f>
        <v xml:space="preserve">Clopyralid 12% + Halauxyfen methyl 0,51% </v>
      </c>
      <c r="D3" s="2" t="str">
        <f>IFERROR(INDEX(Movimientos!$E$2:$E$1993,MATCH(A3&amp;"ENTRADA",Movimientos!$R$2:$R$1993,0)),"-")</f>
        <v>Herbicida</v>
      </c>
      <c r="E3" s="2" t="str">
        <f>IFERROR(INDEX(Movimientos!$F$2:$F$1993,MATCH(A3&amp;"ENTRADA",Movimientos!$R$2:$R$1993,0)),"-")</f>
        <v>Postemergente</v>
      </c>
      <c r="F3" s="2" t="str">
        <f>IFERROR(INDEX(Movimientos!$G$2:$G$1993,MATCH(A3&amp;"ENTRADA",Movimientos!$R$2:$R$1993,0)),"-")</f>
        <v>GS Agro</v>
      </c>
      <c r="G3" s="2" t="str">
        <f>IFERROR(INDEX(Movimientos!$L$2:$L$1993,MATCH(A3&amp;"ENTRADA",Movimientos!$R$2:$R$1993,0)),"-")</f>
        <v>L</v>
      </c>
      <c r="H3" s="17">
        <f>IFERROR(IF(INDEX(Movimientos!$M$2:$M$1993,MATCH(A3&amp;"ENTRADA",Movimientos!$R$2:$R$1993,0))=0,"S/D",INDEX(Movimientos!$M$2:$M$1993,MATCH(A3&amp;"ENTRADA",Movimientos!$R$2:$R$1993,0))),"S/D")</f>
        <v>46710</v>
      </c>
      <c r="I3" s="15">
        <f t="shared" ca="1" si="0"/>
        <v>401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471</v>
      </c>
      <c r="B4" s="2" t="str">
        <f>IFERROR(INDEX(Movimientos!$C$2:$C$1993,MATCH(A4&amp;"ENTRADA",Movimientos!$R$2:$R$1993,0)),"-")</f>
        <v>Lontrel</v>
      </c>
      <c r="C4" s="2" t="str">
        <f>IFERROR(INDEX(Movimientos!$D$2:$D$1993,MATCH(A4&amp;"ENTRADA",Movimientos!$R$2:$R$1993,0)),"-")</f>
        <v>Clopyralid sal monoetanolamina 40.9%</v>
      </c>
      <c r="D4" s="2" t="str">
        <f>IFERROR(INDEX(Movimientos!$E$2:$E$1993,MATCH(A4&amp;"ENTRADA",Movimientos!$R$2:$R$1993,0)),"-")</f>
        <v>Herbicida</v>
      </c>
      <c r="E4" s="2" t="str">
        <f>IFERROR(INDEX(Movimientos!$F$2:$F$1993,MATCH(A4&amp;"ENTRADA",Movimientos!$R$2:$R$1993,0)),"-")</f>
        <v>Postemergente</v>
      </c>
      <c r="F4" s="2" t="str">
        <f>IFERROR(INDEX(Movimientos!$G$2:$G$1993,MATCH(A4&amp;"ENTRADA",Movimientos!$R$2:$R$1993,0)),"-")</f>
        <v>GS Agro</v>
      </c>
      <c r="G4" s="2" t="str">
        <f>IFERROR(INDEX(Movimientos!$L$2:$L$1993,MATCH(A4&amp;"ENTRADA",Movimientos!$R$2:$R$1993,0)),"-")</f>
        <v>L</v>
      </c>
      <c r="H4" s="17">
        <f>IFERROR(IF(INDEX(Movimientos!$M$2:$M$1993,MATCH(A4&amp;"ENTRADA",Movimientos!$R$2:$R$1993,0))=0,"S/D",INDEX(Movimientos!$M$2:$M$1993,MATCH(A4&amp;"ENTRADA",Movimientos!$R$2:$R$1993,0))),"S/D")</f>
        <v>46500</v>
      </c>
      <c r="I4" s="15">
        <f t="shared" ca="1" si="0"/>
        <v>191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64</v>
      </c>
      <c r="B5" s="2" t="str">
        <f>IFERROR(INDEX(Movimientos!$C$2:$C$1993,MATCH(A5&amp;"ENTRADA",Movimientos!$R$2:$R$1993,0)),"-")</f>
        <v>Preside</v>
      </c>
      <c r="C5" s="2" t="str">
        <f>IFERROR(INDEX(Movimientos!$D$2:$D$1993,MATCH(A5&amp;"ENTRADA",Movimientos!$R$2:$R$1993,0)),"-")</f>
        <v>Flumetsulam 11,35%</v>
      </c>
      <c r="D5" s="2" t="str">
        <f>IFERROR(INDEX(Movimientos!$E$2:$E$1993,MATCH(A5&amp;"ENTRADA",Movimientos!$R$2:$R$1993,0)),"-")</f>
        <v>Herbicida</v>
      </c>
      <c r="E5" s="2" t="str">
        <f>IFERROR(INDEX(Movimientos!$F$2:$F$1993,MATCH(A5&amp;"ENTRADA",Movimientos!$R$2:$R$1993,0)),"-")</f>
        <v>Preemergente</v>
      </c>
      <c r="F5" s="2" t="str">
        <f>IFERROR(INDEX(Movimientos!$G$2:$G$1993,MATCH(A5&amp;"ENTRADA",Movimientos!$R$2:$R$1993,0)),"-")</f>
        <v>GS Agro</v>
      </c>
      <c r="G5" s="2" t="str">
        <f>IFERROR(INDEX(Movimientos!$L$2:$L$1993,MATCH(A5&amp;"ENTRADA",Movimientos!$R$2:$R$1993,0)),"-")</f>
        <v>L</v>
      </c>
      <c r="H5" s="17">
        <f>IFERROR(IF(INDEX(Movimientos!$M$2:$M$1993,MATCH(A5&amp;"ENTRADA",Movimientos!$R$2:$R$1993,0))=0,"S/D",INDEX(Movimientos!$M$2:$M$1993,MATCH(A5&amp;"ENTRADA",Movimientos!$R$2:$R$1993,0))),"S/D")</f>
        <v>46528</v>
      </c>
      <c r="I5" s="15">
        <f t="shared" ca="1" si="0"/>
        <v>219</v>
      </c>
      <c r="J5" s="5">
        <f>IF(A5="","",SUMIFS(Movimientos!$K:$K,Movimientos!$H:$H,A5))</f>
        <v>1820</v>
      </c>
      <c r="K5" s="13" t="str">
        <f t="shared" ca="1" si="1"/>
        <v>OK</v>
      </c>
    </row>
    <row r="6" spans="1:11">
      <c r="A6" s="16" t="s">
        <v>2376</v>
      </c>
      <c r="B6" s="2" t="str">
        <f>IFERROR(INDEX(Movimientos!$C$2:$C$1993,MATCH(A6&amp;"ENTRADA",Movimientos!$R$2:$R$1993,0)),"-")</f>
        <v>Preside</v>
      </c>
      <c r="C6" s="2" t="str">
        <f>IFERROR(INDEX(Movimientos!$D$2:$D$1993,MATCH(A6&amp;"ENTRADA",Movimientos!$R$2:$R$1993,0)),"-")</f>
        <v>Flumetsulam 11,35%</v>
      </c>
      <c r="D6" s="2" t="str">
        <f>IFERROR(INDEX(Movimientos!$E$2:$E$1993,MATCH(A6&amp;"ENTRADA",Movimientos!$R$2:$R$1993,0)),"-")</f>
        <v>Herbicida</v>
      </c>
      <c r="E6" s="2" t="str">
        <f>IFERROR(INDEX(Movimientos!$F$2:$F$1993,MATCH(A6&amp;"ENTRADA",Movimientos!$R$2:$R$1993,0)),"-")</f>
        <v>Preemergente</v>
      </c>
      <c r="F6" s="2" t="str">
        <f>IFERROR(INDEX(Movimientos!$G$2:$G$1993,MATCH(A6&amp;"ENTRADA",Movimientos!$R$2:$R$1993,0)),"-")</f>
        <v>GS Agro</v>
      </c>
      <c r="G6" s="2" t="str">
        <f>IFERROR(INDEX(Movimientos!$L$2:$L$1993,MATCH(A6&amp;"ENTRADA",Movimientos!$R$2:$R$1993,0)),"-")</f>
        <v>L</v>
      </c>
      <c r="H6" s="17">
        <f>IFERROR(IF(INDEX(Movimientos!$M$2:$M$1993,MATCH(A6&amp;"ENTRADA",Movimientos!$R$2:$R$1993,0))=0,"S/D",INDEX(Movimientos!$M$2:$M$1993,MATCH(A6&amp;"ENTRADA",Movimientos!$R$2:$R$1993,0))),"S/D")</f>
        <v>46761</v>
      </c>
      <c r="I6" s="15">
        <f t="shared" ca="1" si="0"/>
        <v>452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281</v>
      </c>
      <c r="B7" s="2" t="str">
        <f>IFERROR(INDEX(Movimientos!$C$2:$C$1993,MATCH(A7&amp;"ENTRADA",Movimientos!$R$2:$R$1993,0)),"-")</f>
        <v>Tordon 24K</v>
      </c>
      <c r="C7" s="2" t="str">
        <f>IFERROR(INDEX(Movimientos!$D$2:$D$1993,MATCH(A7&amp;"ENTRADA",Movimientos!$R$2:$R$1993,0)),"-")</f>
        <v>Picloram 24,9%</v>
      </c>
      <c r="D7" s="2" t="str">
        <f>IFERROR(INDEX(Movimientos!$E$2:$E$1993,MATCH(A7&amp;"ENTRADA",Movimientos!$R$2:$R$1993,0)),"-")</f>
        <v>Herbicida</v>
      </c>
      <c r="E7" s="2" t="str">
        <f>IFERROR(INDEX(Movimientos!$F$2:$F$1993,MATCH(A7&amp;"ENTRADA",Movimientos!$R$2:$R$1993,0)),"-")</f>
        <v>Postemergente</v>
      </c>
      <c r="F7" s="2" t="str">
        <f>IFERROR(INDEX(Movimientos!$G$2:$G$1993,MATCH(A7&amp;"ENTRADA",Movimientos!$R$2:$R$1993,0)),"-")</f>
        <v>GS Agro</v>
      </c>
      <c r="G7" s="2" t="str">
        <f>IFERROR(INDEX(Movimientos!$L$2:$L$1993,MATCH(A7&amp;"ENTRADA",Movimientos!$R$2:$R$1993,0)),"-")</f>
        <v>L</v>
      </c>
      <c r="H7" s="17">
        <f>IFERROR(IF(INDEX(Movimientos!$M$2:$M$1993,MATCH(A7&amp;"ENTRADA",Movimientos!$R$2:$R$1993,0))=0,"S/D",INDEX(Movimientos!$M$2:$M$1993,MATCH(A7&amp;"ENTRADA",Movimientos!$R$2:$R$1993,0))),"S/D")</f>
        <v>46517</v>
      </c>
      <c r="I7" s="15">
        <f t="shared" ca="1" si="0"/>
        <v>208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97</v>
      </c>
      <c r="B8" s="2" t="str">
        <f>IFERROR(INDEX(Movimientos!$C$2:$C$1993,MATCH(A8&amp;"ENTRADA",Movimientos!$R$2:$R$1993,0)),"-")</f>
        <v>Tronador</v>
      </c>
      <c r="C8" s="2" t="str">
        <f>IFERROR(INDEX(Movimientos!$D$2:$D$1993,MATCH(A8&amp;"ENTRADA",Movimientos!$R$2:$R$1993,0)),"-")</f>
        <v>Halauxifen metil 3.3% + Aminopyralid 2.7% + Metsulfuron metil 20%</v>
      </c>
      <c r="D8" s="2" t="str">
        <f>IFERROR(INDEX(Movimientos!$E$2:$E$1993,MATCH(A8&amp;"ENTRADA",Movimientos!$R$2:$R$1993,0)),"-")</f>
        <v>Herbicida</v>
      </c>
      <c r="E8" s="2" t="str">
        <f>IFERROR(INDEX(Movimientos!$F$2:$F$1993,MATCH(A8&amp;"ENTRADA",Movimientos!$R$2:$R$1993,0)),"-")</f>
        <v>Postemergente</v>
      </c>
      <c r="F8" s="2" t="str">
        <f>IFERROR(INDEX(Movimientos!$G$2:$G$1993,MATCH(A8&amp;"ENTRADA",Movimientos!$R$2:$R$1993,0)),"-")</f>
        <v>GS Agro</v>
      </c>
      <c r="G8" s="2" t="str">
        <f>IFERROR(INDEX(Movimientos!$L$2:$L$1993,MATCH(A8&amp;"ENTRADA",Movimientos!$R$2:$R$1993,0)),"-")</f>
        <v>Pack</v>
      </c>
      <c r="H8" s="17">
        <f>IFERROR(IF(INDEX(Movimientos!$M$2:$M$1993,MATCH(A8&amp;"ENTRADA",Movimientos!$R$2:$R$1993,0))=0,"S/D",INDEX(Movimientos!$M$2:$M$1993,MATCH(A8&amp;"ENTRADA",Movimientos!$R$2:$R$1993,0))),"S/D")</f>
        <v>46443</v>
      </c>
      <c r="I8" s="15">
        <f t="shared" ca="1" si="0"/>
        <v>134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68</v>
      </c>
      <c r="B9" s="2" t="str">
        <f>IFERROR(INDEX(Movimientos!$C$2:$C$1993,MATCH(A9&amp;"ENTRADA",Movimientos!$R$2:$R$1993,0)),"-")</f>
        <v>Venceweed extra</v>
      </c>
      <c r="C9" s="2" t="str">
        <f>IFERROR(INDEX(Movimientos!$D$2:$D$1993,MATCH(A9&amp;"ENTRADA",Movimientos!$R$2:$R$1993,0)),"-")</f>
        <v>2,4-Db-Butilo 93.1%</v>
      </c>
      <c r="D9" s="2" t="str">
        <f>IFERROR(INDEX(Movimientos!$E$2:$E$1993,MATCH(A9&amp;"ENTRADA",Movimientos!$R$2:$R$1993,0)),"-")</f>
        <v>Herbicida</v>
      </c>
      <c r="E9" s="2" t="str">
        <f>IFERROR(INDEX(Movimientos!$F$2:$F$1993,MATCH(A9&amp;"ENTRADA",Movimientos!$R$2:$R$1993,0)),"-")</f>
        <v>Postemergente</v>
      </c>
      <c r="F9" s="2" t="str">
        <f>IFERROR(INDEX(Movimientos!$G$2:$G$1993,MATCH(A9&amp;"ENTRADA",Movimientos!$R$2:$R$1993,0)),"-")</f>
        <v>GS Agro</v>
      </c>
      <c r="G9" s="2" t="str">
        <f>IFERROR(INDEX(Movimientos!$L$2:$L$1993,MATCH(A9&amp;"ENTRADA",Movimientos!$R$2:$R$1993,0)),"-")</f>
        <v>L</v>
      </c>
      <c r="H9" s="17">
        <f>IFERROR(IF(INDEX(Movimientos!$M$2:$M$1993,MATCH(A9&amp;"ENTRADA",Movimientos!$R$2:$R$1993,0))=0,"S/D",INDEX(Movimientos!$M$2:$M$1993,MATCH(A9&amp;"ENTRADA",Movimientos!$R$2:$R$1993,0))),"S/D")</f>
        <v>46737</v>
      </c>
      <c r="I9" s="15">
        <f t="shared" ref="I9:I68" ca="1" si="2">IF(OR(A9="",H9="S/D"),"S/D",H9-TODAY())</f>
        <v>428</v>
      </c>
      <c r="J9" s="5">
        <f>IF(A9="","",SUMIFS(Movimientos!$K:$K,Movimientos!$H:$H,A9))</f>
        <v>1700</v>
      </c>
      <c r="K9" s="13" t="str">
        <f t="shared" ca="1" si="1"/>
        <v>OK</v>
      </c>
    </row>
    <row r="10" spans="1:11">
      <c r="A10" s="16" t="s">
        <v>154</v>
      </c>
      <c r="B10" s="2" t="str">
        <f>IFERROR(INDEX(Movimientos!$C$2:$C$1993,MATCH(A10&amp;"ENTRADA",Movimientos!$R$2:$R$1993,0)),"-")</f>
        <v>Silobolsa</v>
      </c>
      <c r="C10" s="2" t="str">
        <f>IFERROR(INDEX(Movimientos!$D$2:$D$1993,MATCH(A10&amp;"ENTRADA",Movimientos!$R$2:$R$1993,0)),"-")</f>
        <v>Silobolsa 9 pies</v>
      </c>
      <c r="D10" s="2" t="str">
        <f>IFERROR(INDEX(Movimientos!$E$2:$E$1993,MATCH(A10&amp;"ENTRADA",Movimientos!$R$2:$R$1993,0)),"-")</f>
        <v>Silobolsa</v>
      </c>
      <c r="E10" s="2">
        <f>IFERROR(INDEX(Movimientos!$F$2:$F$1993,MATCH(A10&amp;"ENTRADA",Movimientos!$R$2:$R$1993,0)),"-")</f>
        <v>0</v>
      </c>
      <c r="F10" s="2" t="str">
        <f>IFERROR(INDEX(Movimientos!$G$2:$G$1993,MATCH(A10&amp;"ENTRADA",Movimientos!$R$2:$R$1993,0)),"-")</f>
        <v>AYP Agrogestiones</v>
      </c>
      <c r="G10" s="2" t="str">
        <f>IFERROR(INDEX(Movimientos!$L$2:$L$1993,MATCH(A10&amp;"ENTRADA",Movimientos!$R$2:$R$1993,0)),"-")</f>
        <v>unidad</v>
      </c>
      <c r="H10" s="17" t="str">
        <f>IFERROR(IF(INDEX(Movimientos!$M$2:$M$1993,MATCH(A10&amp;"ENTRADA",Movimientos!$R$2:$R$1993,0))=0,"S/D",INDEX(Movimientos!$M$2:$M$1993,MATCH(A10&amp;"ENTRADA",Movimientos!$R$2:$R$1993,0))),"S/D")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94</v>
      </c>
      <c r="B11" s="2" t="str">
        <f>IFERROR(INDEX(Movimientos!$C$2:$C$1993,MATCH(A11&amp;"ENTRADA",Movimientos!$R$2:$R$1993,0)),"-")</f>
        <v>Dedalo elite</v>
      </c>
      <c r="C11" s="2" t="str">
        <f>IFERROR(INDEX(Movimientos!$D$2:$D$1993,MATCH(A11&amp;"ENTRADA",Movimientos!$R$2:$R$1993,0)),"-")</f>
        <v>2,4 D Acido 27.2%</v>
      </c>
      <c r="D11" s="2" t="str">
        <f>IFERROR(INDEX(Movimientos!$E$2:$E$1993,MATCH(A11&amp;"ENTRADA",Movimientos!$R$2:$R$1993,0)),"-")</f>
        <v>Herbicida</v>
      </c>
      <c r="E11" s="2" t="str">
        <f>IFERROR(INDEX(Movimientos!$F$2:$F$1993,MATCH(A11&amp;"ENTRADA",Movimientos!$R$2:$R$1993,0)),"-")</f>
        <v>Postemergente</v>
      </c>
      <c r="F11" s="2" t="str">
        <f>IFERROR(INDEX(Movimientos!$G$2:$G$1993,MATCH(A11&amp;"ENTRADA",Movimientos!$R$2:$R$1993,0)),"-")</f>
        <v>Agromil</v>
      </c>
      <c r="G11" s="2" t="str">
        <f>IFERROR(INDEX(Movimientos!$L$2:$L$1993,MATCH(A11&amp;"ENTRADA",Movimientos!$R$2:$R$1993,0)),"-")</f>
        <v>L</v>
      </c>
      <c r="H11" s="17">
        <f>IFERROR(IF(INDEX(Movimientos!$M$2:$M$1993,MATCH(A11&amp;"ENTRADA",Movimientos!$R$2:$R$1993,0))=0,"S/D",INDEX(Movimientos!$M$2:$M$1993,MATCH(A11&amp;"ENTRADA",Movimientos!$R$2:$R$1993,0))),"S/D")</f>
        <v>46725</v>
      </c>
      <c r="I11" s="15">
        <f t="shared" ca="1" si="2"/>
        <v>416</v>
      </c>
      <c r="J11" s="5">
        <f>IF(A11="","",SUMIFS(Movimientos!$K:$K,Movimientos!$H:$H,A11))</f>
        <v>5960</v>
      </c>
      <c r="K11" s="13" t="str">
        <f t="shared" ca="1" si="1"/>
        <v>OK</v>
      </c>
    </row>
    <row r="12" spans="1:11">
      <c r="A12" s="16" t="s">
        <v>151</v>
      </c>
      <c r="B12" s="2" t="str">
        <f>IFERROR(INDEX(Movimientos!$C$2:$C$1993,MATCH(A12&amp;"ENTRADA",Movimientos!$R$2:$R$1993,0)),"-")</f>
        <v>Raigrás E284</v>
      </c>
      <c r="C12" s="2" t="str">
        <f>IFERROR(INDEX(Movimientos!$D$2:$D$1993,MATCH(A12&amp;"ENTRADA",Movimientos!$R$2:$R$1993,0)),"-")</f>
        <v>Estanzuela 284</v>
      </c>
      <c r="D12" s="2" t="str">
        <f>IFERROR(INDEX(Movimientos!$E$2:$E$1993,MATCH(A12&amp;"ENTRADA",Movimientos!$R$2:$R$1993,0)),"-")</f>
        <v>Semilla</v>
      </c>
      <c r="E12" s="2" t="str">
        <f>IFERROR(INDEX(Movimientos!$F$2:$F$1993,MATCH(A12&amp;"ENTRADA",Movimientos!$R$2:$R$1993,0)),"-")</f>
        <v>Raigrás</v>
      </c>
      <c r="F12" s="2" t="str">
        <f>IFERROR(INDEX(Movimientos!$G$2:$G$1993,MATCH(A12&amp;"ENTRADA",Movimientos!$R$2:$R$1993,0)),"-")</f>
        <v>Granicor</v>
      </c>
      <c r="G12" s="2" t="str">
        <f>IFERROR(INDEX(Movimientos!$L$2:$L$1993,MATCH(A12&amp;"ENTRADA",Movimientos!$R$2:$R$1993,0)),"-")</f>
        <v>kg</v>
      </c>
      <c r="H12" s="17" t="str">
        <f>IFERROR(IF(INDEX(Movimientos!$M$2:$M$1993,MATCH(A12&amp;"ENTRADA",Movimientos!$R$2:$R$1993,0))=0,"S/D",INDEX(Movimientos!$M$2:$M$1993,MATCH(A12&amp;"ENTRADA",Movimientos!$R$2:$R$1993,0))),"S/D")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100</v>
      </c>
      <c r="B13" s="2" t="str">
        <f>IFERROR(INDEX(Movimientos!$C$2:$C$1993,MATCH(A13&amp;"ENTRADA",Movimientos!$R$2:$R$1993,0)),"-")</f>
        <v>Starane Xtra</v>
      </c>
      <c r="C13" s="2" t="str">
        <f>IFERROR(INDEX(Movimientos!$D$2:$D$1993,MATCH(A13&amp;"ENTRADA",Movimientos!$R$2:$R$1993,0)),"-")</f>
        <v>Fluroxypyr Meptil 45,52%</v>
      </c>
      <c r="D13" s="2" t="str">
        <f>IFERROR(INDEX(Movimientos!$E$2:$E$1993,MATCH(A13&amp;"ENTRADA",Movimientos!$R$2:$R$1993,0)),"-")</f>
        <v>Herbicida</v>
      </c>
      <c r="E13" s="2" t="str">
        <f>IFERROR(INDEX(Movimientos!$F$2:$F$1993,MATCH(A13&amp;"ENTRADA",Movimientos!$R$2:$R$1993,0)),"-")</f>
        <v>Postemergente</v>
      </c>
      <c r="F13" s="2" t="str">
        <f>IFERROR(INDEX(Movimientos!$G$2:$G$1993,MATCH(A13&amp;"ENTRADA",Movimientos!$R$2:$R$1993,0)),"-")</f>
        <v>GS Agro</v>
      </c>
      <c r="G13" s="2" t="str">
        <f>IFERROR(INDEX(Movimientos!$L$2:$L$1993,MATCH(A13&amp;"ENTRADA",Movimientos!$R$2:$R$1993,0)),"-")</f>
        <v>L</v>
      </c>
      <c r="H13" s="17">
        <f>IFERROR(IF(INDEX(Movimientos!$M$2:$M$1993,MATCH(A13&amp;"ENTRADA",Movimientos!$R$2:$R$1993,0))=0,"S/D",INDEX(Movimientos!$M$2:$M$1993,MATCH(A13&amp;"ENTRADA",Movimientos!$R$2:$R$1993,0))),"S/D")</f>
        <v>46509</v>
      </c>
      <c r="I13" s="15">
        <f t="shared" ca="1" si="2"/>
        <v>200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103</v>
      </c>
      <c r="B14" s="2" t="str">
        <f>IFERROR(INDEX(Movimientos!$C$2:$C$1993,MATCH(A14&amp;"ENTRADA",Movimientos!$R$2:$R$1993,0)),"-")</f>
        <v>Pixxaro</v>
      </c>
      <c r="C14" s="2" t="str">
        <f>IFERROR(INDEX(Movimientos!$D$2:$D$1993,MATCH(A14&amp;"ENTRADA",Movimientos!$R$2:$R$1993,0)),"-")</f>
        <v>Fluroxypyr meptyl 34,91% + Halauxyfen methyl 1.64% + Cloquintocet mexyl 1.57%</v>
      </c>
      <c r="D14" s="2" t="str">
        <f>IFERROR(INDEX(Movimientos!$E$2:$E$1993,MATCH(A14&amp;"ENTRADA",Movimientos!$R$2:$R$1993,0)),"-")</f>
        <v>Herbicida</v>
      </c>
      <c r="E14" s="2" t="str">
        <f>IFERROR(INDEX(Movimientos!$F$2:$F$1993,MATCH(A14&amp;"ENTRADA",Movimientos!$R$2:$R$1993,0)),"-")</f>
        <v>Postemergente</v>
      </c>
      <c r="F14" s="2" t="str">
        <f>IFERROR(INDEX(Movimientos!$G$2:$G$1993,MATCH(A14&amp;"ENTRADA",Movimientos!$R$2:$R$1993,0)),"-")</f>
        <v>GS Agro</v>
      </c>
      <c r="G14" s="2" t="str">
        <f>IFERROR(INDEX(Movimientos!$L$2:$L$1993,MATCH(A14&amp;"ENTRADA",Movimientos!$R$2:$R$1993,0)),"-")</f>
        <v>L</v>
      </c>
      <c r="H14" s="17">
        <f>IFERROR(IF(INDEX(Movimientos!$M$2:$M$1993,MATCH(A14&amp;"ENTRADA",Movimientos!$R$2:$R$1993,0))=0,"S/D",INDEX(Movimientos!$M$2:$M$1993,MATCH(A14&amp;"ENTRADA",Movimientos!$R$2:$R$1993,0))),"S/D")</f>
        <v>46397</v>
      </c>
      <c r="I14" s="15">
        <f t="shared" ca="1" si="2"/>
        <v>88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278</v>
      </c>
      <c r="B15" s="2" t="str">
        <f>IFERROR(INDEX(Movimientos!$C$2:$C$1993,MATCH(A15&amp;"ENTRADA",Movimientos!$R$2:$R$1993,0)),"-")</f>
        <v>Colza Hyola 575 CL</v>
      </c>
      <c r="C15" s="2" t="str">
        <f>IFERROR(INDEX(Movimientos!$D$2:$D$1993,MATCH(A15&amp;"ENTRADA",Movimientos!$R$2:$R$1993,0)),"-")</f>
        <v>HYOLA 575 CL</v>
      </c>
      <c r="D15" s="2" t="str">
        <f>IFERROR(INDEX(Movimientos!$E$2:$E$1993,MATCH(A15&amp;"ENTRADA",Movimientos!$R$2:$R$1993,0)),"-")</f>
        <v>Semilla</v>
      </c>
      <c r="E15" s="2" t="str">
        <f>IFERROR(INDEX(Movimientos!$F$2:$F$1993,MATCH(A15&amp;"ENTRADA",Movimientos!$R$2:$R$1993,0)),"-")</f>
        <v>Colza</v>
      </c>
      <c r="F15" s="2" t="str">
        <f>IFERROR(INDEX(Movimientos!$G$2:$G$1993,MATCH(A15&amp;"ENTRADA",Movimientos!$R$2:$R$1993,0)),"-")</f>
        <v>ERRO</v>
      </c>
      <c r="G15" s="2" t="str">
        <f>IFERROR(INDEX(Movimientos!$L$2:$L$1993,MATCH(A15&amp;"ENTRADA",Movimientos!$R$2:$R$1993,0)),"-")</f>
        <v>kg</v>
      </c>
      <c r="H15" s="17" t="str">
        <f>IFERROR(IF(INDEX(Movimientos!$M$2:$M$1993,MATCH(A15&amp;"ENTRADA",Movimientos!$R$2:$R$1993,0))=0,"S/D",INDEX(Movimientos!$M$2:$M$1993,MATCH(A15&amp;"ENTRADA",Movimientos!$R$2:$R$1993,0))),"S/D")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215</v>
      </c>
      <c r="B16" s="2" t="str">
        <f>IFERROR(INDEX(Movimientos!$C$2:$C$1993,MATCH(A16&amp;"ENTRADA",Movimientos!$R$2:$R$1993,0)),"-")</f>
        <v>Colza Apolo CL</v>
      </c>
      <c r="C16" s="2" t="str">
        <f>IFERROR(INDEX(Movimientos!$D$2:$D$1993,MATCH(A16&amp;"ENTRADA",Movimientos!$R$2:$R$1993,0)),"-")</f>
        <v>APOLO CL</v>
      </c>
      <c r="D16" s="2" t="str">
        <f>IFERROR(INDEX(Movimientos!$E$2:$E$1993,MATCH(A16&amp;"ENTRADA",Movimientos!$R$2:$R$1993,0)),"-")</f>
        <v>Semilla</v>
      </c>
      <c r="E16" s="2" t="str">
        <f>IFERROR(INDEX(Movimientos!$F$2:$F$1993,MATCH(A16&amp;"ENTRADA",Movimientos!$R$2:$R$1993,0)),"-")</f>
        <v>Colza</v>
      </c>
      <c r="F16" s="2" t="str">
        <f>IFERROR(INDEX(Movimientos!$G$2:$G$1993,MATCH(A16&amp;"ENTRADA",Movimientos!$R$2:$R$1993,0)),"-")</f>
        <v>ERRO</v>
      </c>
      <c r="G16" s="2" t="str">
        <f>IFERROR(INDEX(Movimientos!$L$2:$L$1993,MATCH(A16&amp;"ENTRADA",Movimientos!$R$2:$R$1993,0)),"-")</f>
        <v>kg</v>
      </c>
      <c r="H16" s="17" t="str">
        <f>IFERROR(IF(INDEX(Movimientos!$M$2:$M$1993,MATCH(A16&amp;"ENTRADA",Movimientos!$R$2:$R$1993,0))=0,"S/D",INDEX(Movimientos!$M$2:$M$1993,MATCH(A16&amp;"ENTRADA",Movimientos!$R$2:$R$1993,0))),"S/D")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120</v>
      </c>
      <c r="B17" s="2" t="str">
        <f>IFERROR(INDEX(Movimientos!$C$2:$C$1993,MATCH(A17&amp;"ENTRADA",Movimientos!$R$2:$R$1993,0)),"-")</f>
        <v>Azuka</v>
      </c>
      <c r="C17" s="2" t="str">
        <f>IFERROR(INDEX(Movimientos!$D$2:$D$1993,MATCH(A17&amp;"ENTRADA",Movimientos!$R$2:$R$1993,0)),"-")</f>
        <v>Glifosato Sal DMA 608 g/L. Equivalente en glifosato 480 g/L</v>
      </c>
      <c r="D17" s="2" t="str">
        <f>IFERROR(INDEX(Movimientos!$E$2:$E$1993,MATCH(A17&amp;"ENTRADA",Movimientos!$R$2:$R$1993,0)),"-")</f>
        <v>Herbicida</v>
      </c>
      <c r="E17" s="2" t="str">
        <f>IFERROR(INDEX(Movimientos!$F$2:$F$1993,MATCH(A17&amp;"ENTRADA",Movimientos!$R$2:$R$1993,0)),"-")</f>
        <v>Postemergente</v>
      </c>
      <c r="F17" s="2" t="str">
        <f>IFERROR(INDEX(Movimientos!$G$2:$G$1993,MATCH(A17&amp;"ENTRADA",Movimientos!$R$2:$R$1993,0)),"-")</f>
        <v>Proquimur</v>
      </c>
      <c r="G17" s="2" t="str">
        <f>IFERROR(INDEX(Movimientos!$L$2:$L$1993,MATCH(A17&amp;"ENTRADA",Movimientos!$R$2:$R$1993,0)),"-")</f>
        <v>L</v>
      </c>
      <c r="H17" s="17">
        <f>IFERROR(IF(INDEX(Movimientos!$M$2:$M$1993,MATCH(A17&amp;"ENTRADA",Movimientos!$R$2:$R$1993,0))=0,"S/D",INDEX(Movimientos!$M$2:$M$1993,MATCH(A17&amp;"ENTRADA",Movimientos!$R$2:$R$1993,0))),"S/D")</f>
        <v>46692</v>
      </c>
      <c r="I17" s="15">
        <f t="shared" ca="1" si="2"/>
        <v>383</v>
      </c>
      <c r="J17" s="5">
        <f>IF(A17="","",SUMIFS(Movimientos!$K:$K,Movimientos!$H:$H,A17))</f>
        <v>27740</v>
      </c>
      <c r="K17" s="13" t="str">
        <f t="shared" ca="1" si="1"/>
        <v>OK</v>
      </c>
    </row>
    <row r="18" spans="1:11">
      <c r="A18" s="16" t="s">
        <v>203</v>
      </c>
      <c r="B18" s="2" t="str">
        <f>IFERROR(INDEX(Movimientos!$C$2:$C$1993,MATCH(A18&amp;"ENTRADA",Movimientos!$R$2:$R$1993,0)),"-")</f>
        <v>Pardo</v>
      </c>
      <c r="C18" s="2" t="str">
        <f>IFERROR(INDEX(Movimientos!$D$2:$D$1993,MATCH(A18&amp;"ENTRADA",Movimientos!$R$2:$R$1993,0)),"-")</f>
        <v>Clethodim 240 g/L</v>
      </c>
      <c r="D18" s="2" t="str">
        <f>IFERROR(INDEX(Movimientos!$E$2:$E$1993,MATCH(A18&amp;"ENTRADA",Movimientos!$R$2:$R$1993,0)),"-")</f>
        <v>Herbicida</v>
      </c>
      <c r="E18" s="2" t="str">
        <f>IFERROR(INDEX(Movimientos!$F$2:$F$1993,MATCH(A18&amp;"ENTRADA",Movimientos!$R$2:$R$1993,0)),"-")</f>
        <v>Postemergente</v>
      </c>
      <c r="F18" s="2" t="str">
        <f>IFERROR(INDEX(Movimientos!$G$2:$G$1993,MATCH(A18&amp;"ENTRADA",Movimientos!$R$2:$R$1993,0)),"-")</f>
        <v>Proquimur</v>
      </c>
      <c r="G18" s="2" t="str">
        <f>IFERROR(INDEX(Movimientos!$L$2:$L$1993,MATCH(A18&amp;"ENTRADA",Movimientos!$R$2:$R$1993,0)),"-")</f>
        <v>L</v>
      </c>
      <c r="H18" s="17">
        <f>IFERROR(IF(INDEX(Movimientos!$M$2:$M$1993,MATCH(A18&amp;"ENTRADA",Movimientos!$R$2:$R$1993,0))=0,"S/D",INDEX(Movimientos!$M$2:$M$1993,MATCH(A18&amp;"ENTRADA",Movimientos!$R$2:$R$1993,0))),"S/D")</f>
        <v>46753</v>
      </c>
      <c r="I18" s="15">
        <f t="shared" ca="1" si="2"/>
        <v>444</v>
      </c>
      <c r="J18" s="5">
        <f>IF(A18="","",SUMIFS(Movimientos!$K:$K,Movimientos!$H:$H,A18))</f>
        <v>2850</v>
      </c>
      <c r="K18" s="13" t="str">
        <f t="shared" ca="1" si="1"/>
        <v>OK</v>
      </c>
    </row>
    <row r="19" spans="1:11">
      <c r="A19" s="16" t="s">
        <v>209</v>
      </c>
      <c r="B19" s="2" t="str">
        <f>IFERROR(INDEX(Movimientos!$C$2:$C$1993,MATCH(A19&amp;"ENTRADA",Movimientos!$R$2:$R$1993,0)),"-")</f>
        <v>Harrier</v>
      </c>
      <c r="C19" s="2" t="str">
        <f>IFERROR(INDEX(Movimientos!$D$2:$D$1993,MATCH(A19&amp;"ENTRADA",Movimientos!$R$2:$R$1993,0)),"-")</f>
        <v>ALCOHOL LINEAL ETOXILADO 32.7%</v>
      </c>
      <c r="D19" s="2" t="str">
        <f>IFERROR(INDEX(Movimientos!$E$2:$E$1993,MATCH(A19&amp;"ENTRADA",Movimientos!$R$2:$R$1993,0)),"-")</f>
        <v>Coadyuvante</v>
      </c>
      <c r="E19" s="2">
        <f>IFERROR(INDEX(Movimientos!$F$2:$F$1993,MATCH(A19&amp;"ENTRADA",Movimientos!$R$2:$R$1993,0)),"-")</f>
        <v>0</v>
      </c>
      <c r="F19" s="2" t="str">
        <f>IFERROR(INDEX(Movimientos!$G$2:$G$1993,MATCH(A19&amp;"ENTRADA",Movimientos!$R$2:$R$1993,0)),"-")</f>
        <v>Don asdrual</v>
      </c>
      <c r="G19" s="2" t="str">
        <f>IFERROR(INDEX(Movimientos!$L$2:$L$1993,MATCH(A19&amp;"ENTRADA",Movimientos!$R$2:$R$1993,0)),"-")</f>
        <v>L</v>
      </c>
      <c r="H19" s="17">
        <f>IFERROR(IF(INDEX(Movimientos!$M$2:$M$1993,MATCH(A19&amp;"ENTRADA",Movimientos!$R$2:$R$1993,0))=0,"S/D",INDEX(Movimientos!$M$2:$M$1993,MATCH(A19&amp;"ENTRADA",Movimientos!$R$2:$R$1993,0))),"S/D")</f>
        <v>46661</v>
      </c>
      <c r="I19" s="15">
        <f t="shared" ca="1" si="2"/>
        <v>352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221</v>
      </c>
      <c r="B20" s="2" t="str">
        <f>IFERROR(INDEX(Movimientos!$C$2:$C$1993,MATCH(A20&amp;"ENTRADA",Movimientos!$R$2:$R$1993,0)),"-")</f>
        <v>Harrier</v>
      </c>
      <c r="C20" s="2" t="str">
        <f>IFERROR(INDEX(Movimientos!$D$2:$D$1993,MATCH(A20&amp;"ENTRADA",Movimientos!$R$2:$R$1993,0)),"-")</f>
        <v>ALCOHOL LINEAL ETOXILADO 32.7%</v>
      </c>
      <c r="D20" s="2" t="str">
        <f>IFERROR(INDEX(Movimientos!$E$2:$E$1993,MATCH(A20&amp;"ENTRADA",Movimientos!$R$2:$R$1993,0)),"-")</f>
        <v>Coadyuvante</v>
      </c>
      <c r="E20" s="2">
        <f>IFERROR(INDEX(Movimientos!$F$2:$F$1993,MATCH(A20&amp;"ENTRADA",Movimientos!$R$2:$R$1993,0)),"-")</f>
        <v>0</v>
      </c>
      <c r="F20" s="2" t="str">
        <f>IFERROR(INDEX(Movimientos!$G$2:$G$1993,MATCH(A20&amp;"ENTRADA",Movimientos!$R$2:$R$1993,0)),"-")</f>
        <v>Don asdrual</v>
      </c>
      <c r="G20" s="2" t="str">
        <f>IFERROR(INDEX(Movimientos!$L$2:$L$1993,MATCH(A20&amp;"ENTRADA",Movimientos!$R$2:$R$1993,0)),"-")</f>
        <v>L</v>
      </c>
      <c r="H20" s="17">
        <f>IFERROR(IF(INDEX(Movimientos!$M$2:$M$1993,MATCH(A20&amp;"ENTRADA",Movimientos!$R$2:$R$1993,0))=0,"S/D",INDEX(Movimientos!$M$2:$M$1993,MATCH(A20&amp;"ENTRADA",Movimientos!$R$2:$R$1993,0))),"S/D")</f>
        <v>46813</v>
      </c>
      <c r="I20" s="15">
        <f t="shared" ca="1" si="2"/>
        <v>504</v>
      </c>
      <c r="J20" s="5">
        <f>IF(A20="","",SUMIFS(Movimientos!$K:$K,Movimientos!$H:$H,A20))</f>
        <v>8020</v>
      </c>
      <c r="K20" s="13" t="str">
        <f t="shared" ca="1" si="1"/>
        <v>OK</v>
      </c>
    </row>
    <row r="21" spans="1:11">
      <c r="A21" s="16" t="s">
        <v>211</v>
      </c>
      <c r="B21" s="2" t="str">
        <f>IFERROR(INDEX(Movimientos!$C$2:$C$1993,MATCH(A21&amp;"ENTRADA",Movimientos!$R$2:$R$1993,0)),"-")</f>
        <v>Full control</v>
      </c>
      <c r="C21" s="2" t="str">
        <f>IFERROR(INDEX(Movimientos!$D$2:$D$1993,MATCH(A21&amp;"ENTRADA",Movimientos!$R$2:$R$1993,0)),"-")</f>
        <v>ACIDO FOSFORICO 23 g</v>
      </c>
      <c r="D21" s="2" t="str">
        <f>IFERROR(INDEX(Movimientos!$E$2:$E$1993,MATCH(A21&amp;"ENTRADA",Movimientos!$R$2:$R$1993,0)),"-")</f>
        <v>Coadyuvante</v>
      </c>
      <c r="E21" s="2">
        <f>IFERROR(INDEX(Movimientos!$F$2:$F$1993,MATCH(A21&amp;"ENTRADA",Movimientos!$R$2:$R$1993,0)),"-")</f>
        <v>0</v>
      </c>
      <c r="F21" s="2" t="str">
        <f>IFERROR(INDEX(Movimientos!$G$2:$G$1993,MATCH(A21&amp;"ENTRADA",Movimientos!$R$2:$R$1993,0)),"-")</f>
        <v>Don asdrual</v>
      </c>
      <c r="G21" s="2" t="str">
        <f>IFERROR(INDEX(Movimientos!$L$2:$L$1993,MATCH(A21&amp;"ENTRADA",Movimientos!$R$2:$R$1993,0)),"-")</f>
        <v>L</v>
      </c>
      <c r="H21" s="17">
        <f>IFERROR(IF(INDEX(Movimientos!$M$2:$M$1993,MATCH(A21&amp;"ENTRADA",Movimientos!$R$2:$R$1993,0))=0,"S/D",INDEX(Movimientos!$M$2:$M$1993,MATCH(A21&amp;"ENTRADA",Movimientos!$R$2:$R$1993,0))),"S/D")</f>
        <v>46661</v>
      </c>
      <c r="I21" s="15">
        <f t="shared" ca="1" si="2"/>
        <v>352</v>
      </c>
      <c r="J21" s="5">
        <f>IF(A21="","",SUMIFS(Movimientos!$K:$K,Movimientos!$H:$H,A21))</f>
        <v>101</v>
      </c>
      <c r="K21" s="13" t="str">
        <f t="shared" ca="1" si="1"/>
        <v>OK</v>
      </c>
    </row>
    <row r="22" spans="1:11">
      <c r="A22" s="16" t="s">
        <v>469</v>
      </c>
      <c r="B22" s="2" t="str">
        <f>IFERROR(INDEX(Movimientos!$C$2:$C$1993,MATCH(A22&amp;"ENTRADA",Movimientos!$R$2:$R$1993,0)),"-")</f>
        <v>Maxi Drop</v>
      </c>
      <c r="C22" s="2" t="str">
        <f>IFERROR(INDEX(Movimientos!$D$2:$D$1993,MATCH(A22&amp;"ENTRADA",Movimientos!$R$2:$R$1993,0)),"-")</f>
        <v>ACEITE DE SOJA 48 g</v>
      </c>
      <c r="D22" s="2" t="str">
        <f>IFERROR(INDEX(Movimientos!$E$2:$E$1993,MATCH(A22&amp;"ENTRADA",Movimientos!$R$2:$R$1993,0)),"-")</f>
        <v>Coadyuvante</v>
      </c>
      <c r="E22" s="2">
        <f>IFERROR(INDEX(Movimientos!$F$2:$F$1993,MATCH(A22&amp;"ENTRADA",Movimientos!$R$2:$R$1993,0)),"-")</f>
        <v>0</v>
      </c>
      <c r="F22" s="2" t="str">
        <f>IFERROR(INDEX(Movimientos!$G$2:$G$1993,MATCH(A22&amp;"ENTRADA",Movimientos!$R$2:$R$1993,0)),"-")</f>
        <v>Don asdrual</v>
      </c>
      <c r="G22" s="2" t="str">
        <f>IFERROR(INDEX(Movimientos!$L$2:$L$1993,MATCH(A22&amp;"ENTRADA",Movimientos!$R$2:$R$1993,0)),"-")</f>
        <v>L</v>
      </c>
      <c r="H22" s="17">
        <f>IFERROR(IF(INDEX(Movimientos!$M$2:$M$1993,MATCH(A22&amp;"ENTRADA",Movimientos!$R$2:$R$1993,0))=0,"S/D",INDEX(Movimientos!$M$2:$M$1993,MATCH(A22&amp;"ENTRADA",Movimientos!$R$2:$R$1993,0))),"S/D")</f>
        <v>46388</v>
      </c>
      <c r="I22" s="15">
        <f t="shared" ca="1" si="2"/>
        <v>79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563</v>
      </c>
      <c r="B23" s="2" t="str">
        <f>IFERROR(INDEX(Movimientos!$C$2:$C$1993,MATCH(A23&amp;"ENTRADA",Movimientos!$R$2:$R$1993,0)),"-")</f>
        <v>Axial</v>
      </c>
      <c r="C23" s="2" t="str">
        <f>IFERROR(INDEX(Movimientos!$D$2:$D$1993,MATCH(A23&amp;"ENTRADA",Movimientos!$R$2:$R$1993,0)),"-")</f>
        <v>PINOXADEN 5 GR + CLOQUINTOCET-MEXIL 1.25 GR</v>
      </c>
      <c r="D23" s="2" t="str">
        <f>IFERROR(INDEX(Movimientos!$E$2:$E$1993,MATCH(A23&amp;"ENTRADA",Movimientos!$R$2:$R$1993,0)),"-")</f>
        <v>Herbicida</v>
      </c>
      <c r="E23" s="2" t="str">
        <f>IFERROR(INDEX(Movimientos!$F$2:$F$1993,MATCH(A23&amp;"ENTRADA",Movimientos!$R$2:$R$1993,0)),"-")</f>
        <v>Postemergente</v>
      </c>
      <c r="F23" s="2" t="str">
        <f>IFERROR(INDEX(Movimientos!$G$2:$G$1993,MATCH(A23&amp;"ENTRADA",Movimientos!$R$2:$R$1993,0)),"-")</f>
        <v>GS Agro</v>
      </c>
      <c r="G23" s="2" t="str">
        <f>IFERROR(INDEX(Movimientos!$L$2:$L$1993,MATCH(A23&amp;"ENTRADA",Movimientos!$R$2:$R$1993,0)),"-")</f>
        <v>L</v>
      </c>
      <c r="H23" s="17">
        <f>IFERROR(IF(INDEX(Movimientos!$M$2:$M$1993,MATCH(A23&amp;"ENTRADA",Movimientos!$R$2:$R$1993,0))=0,"S/D",INDEX(Movimientos!$M$2:$M$1993,MATCH(A23&amp;"ENTRADA",Movimientos!$R$2:$R$1993,0))),"S/D")</f>
        <v>46419</v>
      </c>
      <c r="I23" s="15">
        <f t="shared" ca="1" si="2"/>
        <v>110</v>
      </c>
      <c r="J23" s="5">
        <f>IF(A23="","",SUMIFS(Movimientos!$K:$K,Movimientos!$H:$H,A23))</f>
        <v>0</v>
      </c>
      <c r="K23" s="13" t="str">
        <f t="shared" ca="1" si="1"/>
        <v>SIN STOCK</v>
      </c>
    </row>
    <row r="24" spans="1:11">
      <c r="A24" s="16" t="s">
        <v>295</v>
      </c>
      <c r="B24" s="2" t="str">
        <f>IFERROR(INDEX(Movimientos!$C$2:$C$1993,MATCH(A24&amp;"ENTRADA",Movimientos!$R$2:$R$1993,0)),"-")</f>
        <v>Colza Nuola 300</v>
      </c>
      <c r="C24" s="2" t="str">
        <f>IFERROR(INDEX(Movimientos!$D$2:$D$1993,MATCH(A24&amp;"ENTRADA",Movimientos!$R$2:$R$1993,0)),"-")</f>
        <v>Nuola 300</v>
      </c>
      <c r="D24" s="2" t="str">
        <f>IFERROR(INDEX(Movimientos!$E$2:$E$1993,MATCH(A24&amp;"ENTRADA",Movimientos!$R$2:$R$1993,0)),"-")</f>
        <v>Semilla</v>
      </c>
      <c r="E24" s="2" t="str">
        <f>IFERROR(INDEX(Movimientos!$F$2:$F$1993,MATCH(A24&amp;"ENTRADA",Movimientos!$R$2:$R$1993,0)),"-")</f>
        <v>Colza</v>
      </c>
      <c r="F24" s="2" t="str">
        <f>IFERROR(INDEX(Movimientos!$G$2:$G$1993,MATCH(A24&amp;"ENTRADA",Movimientos!$R$2:$R$1993,0)),"-")</f>
        <v>Agroterra</v>
      </c>
      <c r="G24" s="2" t="str">
        <f>IFERROR(INDEX(Movimientos!$L$2:$L$1993,MATCH(A24&amp;"ENTRADA",Movimientos!$R$2:$R$1993,0)),"-")</f>
        <v>kg</v>
      </c>
      <c r="H24" s="17" t="str">
        <f>IFERROR(IF(INDEX(Movimientos!$M$2:$M$1993,MATCH(A24&amp;"ENTRADA",Movimientos!$R$2:$R$1993,0))=0,"S/D",INDEX(Movimientos!$M$2:$M$1993,MATCH(A24&amp;"ENTRADA",Movimientos!$R$2:$R$1993,0))),"S/D")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239</v>
      </c>
      <c r="B25" s="2" t="str">
        <f>IFERROR(INDEX(Movimientos!$C$2:$C$1993,MATCH(A25&amp;"ENTRADA",Movimientos!$R$2:$R$1993,0)),"-")</f>
        <v>Colza Ceres IMI</v>
      </c>
      <c r="C25" s="2" t="str">
        <f>IFERROR(INDEX(Movimientos!$D$2:$D$1993,MATCH(A25&amp;"ENTRADA",Movimientos!$R$2:$R$1993,0)),"-")</f>
        <v>Ceres IMI</v>
      </c>
      <c r="D25" s="2" t="str">
        <f>IFERROR(INDEX(Movimientos!$E$2:$E$1993,MATCH(A25&amp;"ENTRADA",Movimientos!$R$2:$R$1993,0)),"-")</f>
        <v>Semilla</v>
      </c>
      <c r="E25" s="2" t="str">
        <f>IFERROR(INDEX(Movimientos!$F$2:$F$1993,MATCH(A25&amp;"ENTRADA",Movimientos!$R$2:$R$1993,0)),"-")</f>
        <v>Colza</v>
      </c>
      <c r="F25" s="2" t="str">
        <f>IFERROR(INDEX(Movimientos!$G$2:$G$1993,MATCH(A25&amp;"ENTRADA",Movimientos!$R$2:$R$1993,0)),"-")</f>
        <v>Agroterra</v>
      </c>
      <c r="G25" s="2" t="str">
        <f>IFERROR(INDEX(Movimientos!$L$2:$L$1993,MATCH(A25&amp;"ENTRADA",Movimientos!$R$2:$R$1993,0)),"-")</f>
        <v>kg</v>
      </c>
      <c r="H25" s="17" t="str">
        <f>IFERROR(IF(INDEX(Movimientos!$M$2:$M$1993,MATCH(A25&amp;"ENTRADA",Movimientos!$R$2:$R$1993,0))=0,"S/D",INDEX(Movimientos!$M$2:$M$1993,MATCH(A25&amp;"ENTRADA",Movimientos!$R$2:$R$1993,0))),"S/D")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317</v>
      </c>
      <c r="B26" s="2" t="str">
        <f>IFERROR(INDEX(Movimientos!$C$2:$C$1993,MATCH(A26&amp;"ENTRADA",Movimientos!$R$2:$R$1993,0)),"-")</f>
        <v>Festuca Carape</v>
      </c>
      <c r="C26" s="2" t="str">
        <f>IFERROR(INDEX(Movimientos!$D$2:$D$1993,MATCH(A26&amp;"ENTRADA",Movimientos!$R$2:$R$1993,0)),"-")</f>
        <v>Festuca Carape</v>
      </c>
      <c r="D26" s="2" t="str">
        <f>IFERROR(INDEX(Movimientos!$E$2:$E$1993,MATCH(A26&amp;"ENTRADA",Movimientos!$R$2:$R$1993,0)),"-")</f>
        <v>Semilla</v>
      </c>
      <c r="E26" s="2" t="str">
        <f>IFERROR(INDEX(Movimientos!$F$2:$F$1993,MATCH(A26&amp;"ENTRADA",Movimientos!$R$2:$R$1993,0)),"-")</f>
        <v>Festuca</v>
      </c>
      <c r="F26" s="2" t="str">
        <f>IFERROR(INDEX(Movimientos!$G$2:$G$1993,MATCH(A26&amp;"ENTRADA",Movimientos!$R$2:$R$1993,0)),"-")</f>
        <v>Megaagro</v>
      </c>
      <c r="G26" s="2" t="str">
        <f>IFERROR(INDEX(Movimientos!$L$2:$L$1993,MATCH(A26&amp;"ENTRADA",Movimientos!$R$2:$R$1993,0)),"-")</f>
        <v>kg</v>
      </c>
      <c r="H26" s="17" t="str">
        <f>IFERROR(IF(INDEX(Movimientos!$M$2:$M$1993,MATCH(A26&amp;"ENTRADA",Movimientos!$R$2:$R$1993,0))=0,"S/D",INDEX(Movimientos!$M$2:$M$1993,MATCH(A26&amp;"ENTRADA",Movimientos!$R$2:$R$1993,0))),"S/D")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347</v>
      </c>
      <c r="B27" s="2" t="str">
        <f>IFERROR(INDEX(Movimientos!$C$2:$C$1993,MATCH(A27&amp;"ENTRADA",Movimientos!$R$2:$R$1993,0)),"-")</f>
        <v>Alfalfa Verdor</v>
      </c>
      <c r="C27" s="2" t="str">
        <f>IFERROR(INDEX(Movimientos!$D$2:$D$1993,MATCH(A27&amp;"ENTRADA",Movimientos!$R$2:$R$1993,0)),"-")</f>
        <v>Alfalfa Verdor momla 384-2n-04</v>
      </c>
      <c r="D27" s="2" t="str">
        <f>IFERROR(INDEX(Movimientos!$E$2:$E$1993,MATCH(A27&amp;"ENTRADA",Movimientos!$R$2:$R$1993,0)),"-")</f>
        <v>Semilla</v>
      </c>
      <c r="E27" s="2" t="str">
        <f>IFERROR(INDEX(Movimientos!$F$2:$F$1993,MATCH(A27&amp;"ENTRADA",Movimientos!$R$2:$R$1993,0)),"-")</f>
        <v>Alfalfa</v>
      </c>
      <c r="F27" s="2" t="str">
        <f>IFERROR(INDEX(Movimientos!$G$2:$G$1993,MATCH(A27&amp;"ENTRADA",Movimientos!$R$2:$R$1993,0)),"-")</f>
        <v>Megaagro</v>
      </c>
      <c r="G27" s="2" t="str">
        <f>IFERROR(INDEX(Movimientos!$L$2:$L$1993,MATCH(A27&amp;"ENTRADA",Movimientos!$R$2:$R$1993,0)),"-")</f>
        <v>kg</v>
      </c>
      <c r="H27" s="17" t="str">
        <f>IFERROR(IF(INDEX(Movimientos!$M$2:$M$1993,MATCH(A27&amp;"ENTRADA",Movimientos!$R$2:$R$1993,0))=0,"S/D",INDEX(Movimientos!$M$2:$M$1993,MATCH(A27&amp;"ENTRADA",Movimientos!$R$2:$R$1993,0))),"S/D")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315</v>
      </c>
      <c r="B28" s="2" t="str">
        <f>IFERROR(INDEX(Movimientos!$C$2:$C$1993,MATCH(A28&amp;"ENTRADA",Movimientos!$R$2:$R$1993,0)),"-")</f>
        <v>Achicora Inia Nova</v>
      </c>
      <c r="C28" s="2" t="str">
        <f>IFERROR(INDEX(Movimientos!$D$2:$D$1993,MATCH(A28&amp;"ENTRADA",Movimientos!$R$2:$R$1993,0)),"-")</f>
        <v xml:space="preserve">Achicora inia nova </v>
      </c>
      <c r="D28" s="2" t="str">
        <f>IFERROR(INDEX(Movimientos!$E$2:$E$1993,MATCH(A28&amp;"ENTRADA",Movimientos!$R$2:$R$1993,0)),"-")</f>
        <v>Semilla</v>
      </c>
      <c r="E28" s="2" t="str">
        <f>IFERROR(INDEX(Movimientos!$F$2:$F$1993,MATCH(A28&amp;"ENTRADA",Movimientos!$R$2:$R$1993,0)),"-")</f>
        <v>Achicoria</v>
      </c>
      <c r="F28" s="2" t="str">
        <f>IFERROR(INDEX(Movimientos!$G$2:$G$1993,MATCH(A28&amp;"ENTRADA",Movimientos!$R$2:$R$1993,0)),"-")</f>
        <v>Megaagro</v>
      </c>
      <c r="G28" s="2" t="str">
        <f>IFERROR(INDEX(Movimientos!$L$2:$L$1993,MATCH(A28&amp;"ENTRADA",Movimientos!$R$2:$R$1993,0)),"-")</f>
        <v>kg</v>
      </c>
      <c r="H28" s="17" t="str">
        <f>IFERROR(IF(INDEX(Movimientos!$M$2:$M$1993,MATCH(A28&amp;"ENTRADA",Movimientos!$R$2:$R$1993,0))=0,"S/D",INDEX(Movimientos!$M$2:$M$1993,MATCH(A28&amp;"ENTRADA",Movimientos!$R$2:$R$1993,0))),"S/D")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367</v>
      </c>
      <c r="B29" s="2" t="str">
        <f>IFERROR(INDEX(Movimientos!$C$2:$C$1993,MATCH(A29&amp;"ENTRADA",Movimientos!$R$2:$R$1993,0)),"-")</f>
        <v>Colza Nuola 300</v>
      </c>
      <c r="C29" s="2" t="str">
        <f>IFERROR(INDEX(Movimientos!$D$2:$D$1993,MATCH(A29&amp;"ENTRADA",Movimientos!$R$2:$R$1993,0)),"-")</f>
        <v>Nuola 300</v>
      </c>
      <c r="D29" s="2" t="str">
        <f>IFERROR(INDEX(Movimientos!$E$2:$E$1993,MATCH(A29&amp;"ENTRADA",Movimientos!$R$2:$R$1993,0)),"-")</f>
        <v>Semilla</v>
      </c>
      <c r="E29" s="2" t="str">
        <f>IFERROR(INDEX(Movimientos!$F$2:$F$1993,MATCH(A29&amp;"ENTRADA",Movimientos!$R$2:$R$1993,0)),"-")</f>
        <v>Colza</v>
      </c>
      <c r="F29" s="2" t="str">
        <f>IFERROR(INDEX(Movimientos!$G$2:$G$1993,MATCH(A29&amp;"ENTRADA",Movimientos!$R$2:$R$1993,0)),"-")</f>
        <v>Cargil</v>
      </c>
      <c r="G29" s="2" t="str">
        <f>IFERROR(INDEX(Movimientos!$L$2:$L$1993,MATCH(A29&amp;"ENTRADA",Movimientos!$R$2:$R$1993,0)),"-")</f>
        <v>kg</v>
      </c>
      <c r="H29" s="17" t="str">
        <f>IFERROR(IF(INDEX(Movimientos!$M$2:$M$1993,MATCH(A29&amp;"ENTRADA",Movimientos!$R$2:$R$1993,0))=0,"S/D",INDEX(Movimientos!$M$2:$M$1993,MATCH(A29&amp;"ENTRADA",Movimientos!$R$2:$R$1993,0))),"S/D")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308</v>
      </c>
      <c r="B30" s="2" t="str">
        <f>IFERROR(INDEX(Movimientos!$C$2:$C$1993,MATCH(A30&amp;"ENTRADA",Movimientos!$R$2:$R$1993,0)),"-")</f>
        <v xml:space="preserve">Festuca Sortija C2 </v>
      </c>
      <c r="C30" s="2" t="str">
        <f>IFERROR(INDEX(Movimientos!$D$2:$D$1993,MATCH(A30&amp;"ENTRADA",Movimientos!$R$2:$R$1993,0)),"-")</f>
        <v>Festuca Sortija C2</v>
      </c>
      <c r="D30" s="2" t="str">
        <f>IFERROR(INDEX(Movimientos!$E$2:$E$1993,MATCH(A30&amp;"ENTRADA",Movimientos!$R$2:$R$1993,0)),"-")</f>
        <v>Semilla</v>
      </c>
      <c r="E30" s="2" t="str">
        <f>IFERROR(INDEX(Movimientos!$F$2:$F$1993,MATCH(A30&amp;"ENTRADA",Movimientos!$R$2:$R$1993,0)),"-")</f>
        <v>Festuca</v>
      </c>
      <c r="F30" s="2" t="str">
        <f>IFERROR(INDEX(Movimientos!$G$2:$G$1993,MATCH(A30&amp;"ENTRADA",Movimientos!$R$2:$R$1993,0)),"-")</f>
        <v>Agrofuturo</v>
      </c>
      <c r="G30" s="2" t="str">
        <f>IFERROR(INDEX(Movimientos!$L$2:$L$1993,MATCH(A30&amp;"ENTRADA",Movimientos!$R$2:$R$1993,0)),"-")</f>
        <v>kg</v>
      </c>
      <c r="H30" s="17" t="str">
        <f>IFERROR(IF(INDEX(Movimientos!$M$2:$M$1993,MATCH(A30&amp;"ENTRADA",Movimientos!$R$2:$R$1993,0))=0,"S/D",INDEX(Movimientos!$M$2:$M$1993,MATCH(A30&amp;"ENTRADA",Movimientos!$R$2:$R$1993,0))),"S/D")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351</v>
      </c>
      <c r="B31" s="2" t="str">
        <f>IFERROR(INDEX(Movimientos!$C$2:$C$1993,MATCH(A31&amp;"ENTRADA",Movimientos!$R$2:$R$1993,0)),"-")</f>
        <v>Dactylis Drover</v>
      </c>
      <c r="C31" s="2" t="str">
        <f>IFERROR(INDEX(Movimientos!$D$2:$D$1993,MATCH(A31&amp;"ENTRADA",Movimientos!$R$2:$R$1993,0)),"-")</f>
        <v>Dactylis Drover ecotec af gram c2</v>
      </c>
      <c r="D31" s="2" t="str">
        <f>IFERROR(INDEX(Movimientos!$E$2:$E$1993,MATCH(A31&amp;"ENTRADA",Movimientos!$R$2:$R$1993,0)),"-")</f>
        <v>Semilla</v>
      </c>
      <c r="E31" s="2" t="str">
        <f>IFERROR(INDEX(Movimientos!$F$2:$F$1993,MATCH(A31&amp;"ENTRADA",Movimientos!$R$2:$R$1993,0)),"-")</f>
        <v>Dactylis</v>
      </c>
      <c r="F31" s="2" t="str">
        <f>IFERROR(INDEX(Movimientos!$G$2:$G$1993,MATCH(A31&amp;"ENTRADA",Movimientos!$R$2:$R$1993,0)),"-")</f>
        <v>Agrofuturo</v>
      </c>
      <c r="G31" s="2" t="str">
        <f>IFERROR(INDEX(Movimientos!$L$2:$L$1993,MATCH(A31&amp;"ENTRADA",Movimientos!$R$2:$R$1993,0)),"-")</f>
        <v>kg</v>
      </c>
      <c r="H31" s="17" t="str">
        <f>IFERROR(IF(INDEX(Movimientos!$M$2:$M$1993,MATCH(A31&amp;"ENTRADA",Movimientos!$R$2:$R$1993,0))=0,"S/D",INDEX(Movimientos!$M$2:$M$1993,MATCH(A31&amp;"ENTRADA",Movimientos!$R$2:$R$1993,0))),"S/D")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319</v>
      </c>
      <c r="B32" s="2" t="str">
        <f>IFERROR(INDEX(Movimientos!$C$2:$C$1993,MATCH(A32&amp;"ENTRADA",Movimientos!$R$2:$R$1993,0)),"-")</f>
        <v>Trebol Blanco E Zapican</v>
      </c>
      <c r="C32" s="2" t="str">
        <f>IFERROR(INDEX(Movimientos!$D$2:$D$1993,MATCH(A32&amp;"ENTRADA",Movimientos!$R$2:$R$1993,0)),"-")</f>
        <v>Trebol Blanco E Zapican Ecotec AF</v>
      </c>
      <c r="D32" s="2" t="str">
        <f>IFERROR(INDEX(Movimientos!$E$2:$E$1993,MATCH(A32&amp;"ENTRADA",Movimientos!$R$2:$R$1993,0)),"-")</f>
        <v>Semilla</v>
      </c>
      <c r="E32" s="2" t="str">
        <f>IFERROR(INDEX(Movimientos!$F$2:$F$1993,MATCH(A32&amp;"ENTRADA",Movimientos!$R$2:$R$1993,0)),"-")</f>
        <v>Trebol Blanco</v>
      </c>
      <c r="F32" s="2" t="str">
        <f>IFERROR(INDEX(Movimientos!$G$2:$G$1993,MATCH(A32&amp;"ENTRADA",Movimientos!$R$2:$R$1993,0)),"-")</f>
        <v>Agrofuturo</v>
      </c>
      <c r="G32" s="2" t="str">
        <f>IFERROR(INDEX(Movimientos!$L$2:$L$1993,MATCH(A32&amp;"ENTRADA",Movimientos!$R$2:$R$1993,0)),"-")</f>
        <v>kg</v>
      </c>
      <c r="H32" s="17" t="str">
        <f>IFERROR(IF(INDEX(Movimientos!$M$2:$M$1993,MATCH(A32&amp;"ENTRADA",Movimientos!$R$2:$R$1993,0))=0,"S/D",INDEX(Movimientos!$M$2:$M$1993,MATCH(A32&amp;"ENTRADA",Movimientos!$R$2:$R$1993,0))),"S/D")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321</v>
      </c>
      <c r="B33" s="2" t="str">
        <f>IFERROR(INDEX(Movimientos!$C$2:$C$1993,MATCH(A33&amp;"ENTRADA",Movimientos!$R$2:$R$1993,0)),"-")</f>
        <v>Trebol Rojo E116</v>
      </c>
      <c r="C33" s="2" t="str">
        <f>IFERROR(INDEX(Movimientos!$D$2:$D$1993,MATCH(A33&amp;"ENTRADA",Movimientos!$R$2:$R$1993,0)),"-")</f>
        <v>Trebol Rojo E116 Ecotec AF</v>
      </c>
      <c r="D33" s="2" t="str">
        <f>IFERROR(INDEX(Movimientos!$E$2:$E$1993,MATCH(A33&amp;"ENTRADA",Movimientos!$R$2:$R$1993,0)),"-")</f>
        <v>Semilla</v>
      </c>
      <c r="E33" s="2" t="str">
        <f>IFERROR(INDEX(Movimientos!$F$2:$F$1993,MATCH(A33&amp;"ENTRADA",Movimientos!$R$2:$R$1993,0)),"-")</f>
        <v xml:space="preserve">Trebol Rojo </v>
      </c>
      <c r="F33" s="2" t="str">
        <f>IFERROR(INDEX(Movimientos!$G$2:$G$1993,MATCH(A33&amp;"ENTRADA",Movimientos!$R$2:$R$1993,0)),"-")</f>
        <v>Agrofuturo</v>
      </c>
      <c r="G33" s="2" t="str">
        <f>IFERROR(INDEX(Movimientos!$L$2:$L$1993,MATCH(A33&amp;"ENTRADA",Movimientos!$R$2:$R$1993,0)),"-")</f>
        <v>kg</v>
      </c>
      <c r="H33" s="17" t="str">
        <f>IFERROR(IF(INDEX(Movimientos!$M$2:$M$1993,MATCH(A33&amp;"ENTRADA",Movimientos!$R$2:$R$1993,0))=0,"S/D",INDEX(Movimientos!$M$2:$M$1993,MATCH(A33&amp;"ENTRADA",Movimientos!$R$2:$R$1993,0))),"S/D")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325</v>
      </c>
      <c r="B34" s="2" t="str">
        <f>IFERROR(INDEX(Movimientos!$C$2:$C$1993,MATCH(A34&amp;"ENTRADA",Movimientos!$R$2:$R$1993,0)),"-")</f>
        <v>Phalaris Stockman Comb</v>
      </c>
      <c r="C34" s="2" t="str">
        <f>IFERROR(INDEX(Movimientos!$D$2:$D$1993,MATCH(A34&amp;"ENTRADA",Movimientos!$R$2:$R$1993,0)),"-")</f>
        <v>Phalaris Stockman Comb</v>
      </c>
      <c r="D34" s="2" t="str">
        <f>IFERROR(INDEX(Movimientos!$E$2:$E$1993,MATCH(A34&amp;"ENTRADA",Movimientos!$R$2:$R$1993,0)),"-")</f>
        <v>Semilla</v>
      </c>
      <c r="E34" s="2" t="str">
        <f>IFERROR(INDEX(Movimientos!$F$2:$F$1993,MATCH(A34&amp;"ENTRADA",Movimientos!$R$2:$R$1993,0)),"-")</f>
        <v>Phalaris</v>
      </c>
      <c r="F34" s="2" t="str">
        <f>IFERROR(INDEX(Movimientos!$G$2:$G$1993,MATCH(A34&amp;"ENTRADA",Movimientos!$R$2:$R$1993,0)),"-")</f>
        <v>Agrofuturo</v>
      </c>
      <c r="G34" s="2" t="str">
        <f>IFERROR(INDEX(Movimientos!$L$2:$L$1993,MATCH(A34&amp;"ENTRADA",Movimientos!$R$2:$R$1993,0)),"-")</f>
        <v>kg</v>
      </c>
      <c r="H34" s="17" t="str">
        <f>IFERROR(IF(INDEX(Movimientos!$M$2:$M$1993,MATCH(A34&amp;"ENTRADA",Movimientos!$R$2:$R$1993,0))=0,"S/D",INDEX(Movimientos!$M$2:$M$1993,MATCH(A34&amp;"ENTRADA",Movimientos!$R$2:$R$1993,0))),"S/D")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327</v>
      </c>
      <c r="B35" s="2" t="str">
        <f>IFERROR(INDEX(Movimientos!$C$2:$C$1993,MATCH(A35&amp;"ENTRADA",Movimientos!$R$2:$R$1993,0)),"-")</f>
        <v>Colza continuum Cl</v>
      </c>
      <c r="C35" s="2" t="str">
        <f>IFERROR(INDEX(Movimientos!$D$2:$D$1993,MATCH(A35&amp;"ENTRADA",Movimientos!$R$2:$R$1993,0)),"-")</f>
        <v>Continuum CL</v>
      </c>
      <c r="D35" s="2" t="str">
        <f>IFERROR(INDEX(Movimientos!$E$2:$E$1993,MATCH(A35&amp;"ENTRADA",Movimientos!$R$2:$R$1993,0)),"-")</f>
        <v>Semilla</v>
      </c>
      <c r="E35" s="2" t="str">
        <f>IFERROR(INDEX(Movimientos!$F$2:$F$1993,MATCH(A35&amp;"ENTRADA",Movimientos!$R$2:$R$1993,0)),"-")</f>
        <v>Colza</v>
      </c>
      <c r="F35" s="2" t="str">
        <f>IFERROR(INDEX(Movimientos!$G$2:$G$1993,MATCH(A35&amp;"ENTRADA",Movimientos!$R$2:$R$1993,0)),"-")</f>
        <v>ERRO</v>
      </c>
      <c r="G35" s="2" t="str">
        <f>IFERROR(INDEX(Movimientos!$L$2:$L$1993,MATCH(A35&amp;"ENTRADA",Movimientos!$R$2:$R$1993,0)),"-")</f>
        <v>kg</v>
      </c>
      <c r="H35" s="17" t="str">
        <f>IFERROR(IF(INDEX(Movimientos!$M$2:$M$1993,MATCH(A35&amp;"ENTRADA",Movimientos!$R$2:$R$1993,0))=0,"S/D",INDEX(Movimientos!$M$2:$M$1993,MATCH(A35&amp;"ENTRADA",Movimientos!$R$2:$R$1993,0))),"S/D")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329</v>
      </c>
      <c r="B36" s="2" t="str">
        <f>IFERROR(INDEX(Movimientos!$C$2:$C$1993,MATCH(A36&amp;"ENTRADA",Movimientos!$R$2:$R$1993,0)),"-")</f>
        <v>Colza Hyola Solstice cl</v>
      </c>
      <c r="C36" s="2" t="str">
        <f>IFERROR(INDEX(Movimientos!$D$2:$D$1993,MATCH(A36&amp;"ENTRADA",Movimientos!$R$2:$R$1993,0)),"-")</f>
        <v>Colza Hyola Solstice cl</v>
      </c>
      <c r="D36" s="2" t="str">
        <f>IFERROR(INDEX(Movimientos!$E$2:$E$1993,MATCH(A36&amp;"ENTRADA",Movimientos!$R$2:$R$1993,0)),"-")</f>
        <v>Semilla</v>
      </c>
      <c r="E36" s="2" t="str">
        <f>IFERROR(INDEX(Movimientos!$F$2:$F$1993,MATCH(A36&amp;"ENTRADA",Movimientos!$R$2:$R$1993,0)),"-")</f>
        <v>Colza</v>
      </c>
      <c r="F36" s="2" t="str">
        <f>IFERROR(INDEX(Movimientos!$G$2:$G$1993,MATCH(A36&amp;"ENTRADA",Movimientos!$R$2:$R$1993,0)),"-")</f>
        <v>ERRO</v>
      </c>
      <c r="G36" s="2" t="str">
        <f>IFERROR(INDEX(Movimientos!$L$2:$L$1993,MATCH(A36&amp;"ENTRADA",Movimientos!$R$2:$R$1993,0)),"-")</f>
        <v>kg</v>
      </c>
      <c r="H36" s="17" t="str">
        <f>IFERROR(IF(INDEX(Movimientos!$M$2:$M$1993,MATCH(A36&amp;"ENTRADA",Movimientos!$R$2:$R$1993,0))=0,"S/D",INDEX(Movimientos!$M$2:$M$1993,MATCH(A36&amp;"ENTRADA",Movimientos!$R$2:$R$1993,0))),"S/D")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145</v>
      </c>
      <c r="B37" s="2" t="str">
        <f>IFERROR(INDEX(Movimientos!$C$2:$C$1993,MATCH(A37&amp;"ENTRADA",Movimientos!$R$2:$R$1993,0)),"-")</f>
        <v xml:space="preserve">Avena </v>
      </c>
      <c r="C37" s="2" t="str">
        <f>IFERROR(INDEX(Movimientos!$D$2:$D$1993,MATCH(A37&amp;"ENTRADA",Movimientos!$R$2:$R$1993,0)),"-")</f>
        <v xml:space="preserve">Avena propia </v>
      </c>
      <c r="D37" s="2" t="str">
        <f>IFERROR(INDEX(Movimientos!$E$2:$E$1993,MATCH(A37&amp;"ENTRADA",Movimientos!$R$2:$R$1993,0)),"-")</f>
        <v>Semilla</v>
      </c>
      <c r="E37" s="2" t="str">
        <f>IFERROR(INDEX(Movimientos!$F$2:$F$1993,MATCH(A37&amp;"ENTRADA",Movimientos!$R$2:$R$1993,0)),"-")</f>
        <v>Avena</v>
      </c>
      <c r="F37" s="2">
        <f>IFERROR(INDEX(Movimientos!$G$2:$G$1993,MATCH(A37&amp;"ENTRADA",Movimientos!$R$2:$R$1993,0)),"-")</f>
        <v>0</v>
      </c>
      <c r="G37" s="2" t="str">
        <f>IFERROR(INDEX(Movimientos!$L$2:$L$1993,MATCH(A37&amp;"ENTRADA",Movimientos!$R$2:$R$1993,0)),"-")</f>
        <v>kg</v>
      </c>
      <c r="H37" s="17" t="str">
        <f>IFERROR(IF(INDEX(Movimientos!$M$2:$M$1993,MATCH(A37&amp;"ENTRADA",Movimientos!$R$2:$R$1993,0))=0,"S/D",INDEX(Movimientos!$M$2:$M$1993,MATCH(A37&amp;"ENTRADA",Movimientos!$R$2:$R$1993,0))),"S/D")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463</v>
      </c>
      <c r="B38" s="2" t="str">
        <f>IFERROR(INDEX(Movimientos!$C$2:$C$1993,MATCH(A38&amp;"ENTRADA",Movimientos!$R$2:$R$1993,0)),"-")</f>
        <v>Arsenal</v>
      </c>
      <c r="C38" s="2" t="str">
        <f>IFERROR(INDEX(Movimientos!$D$2:$D$1993,MATCH(A38&amp;"ENTRADA",Movimientos!$R$2:$R$1993,0)),"-")</f>
        <v>Imazapir sal isopropilamina 24,2%</v>
      </c>
      <c r="D38" s="2" t="str">
        <f>IFERROR(INDEX(Movimientos!$E$2:$E$1993,MATCH(A38&amp;"ENTRADA",Movimientos!$R$2:$R$1993,0)),"-")</f>
        <v>Herbicida</v>
      </c>
      <c r="E38" s="2" t="str">
        <f>IFERROR(INDEX(Movimientos!$F$2:$F$1993,MATCH(A38&amp;"ENTRADA",Movimientos!$R$2:$R$1993,0)),"-")</f>
        <v>Postemergente</v>
      </c>
      <c r="F38" s="2" t="str">
        <f>IFERROR(INDEX(Movimientos!$G$2:$G$1993,MATCH(A38&amp;"ENTRADA",Movimientos!$R$2:$R$1993,0)),"-")</f>
        <v>ERRO</v>
      </c>
      <c r="G38" s="2" t="str">
        <f>IFERROR(INDEX(Movimientos!$L$2:$L$1993,MATCH(A38&amp;"ENTRADA",Movimientos!$R$2:$R$1993,0)),"-")</f>
        <v>L</v>
      </c>
      <c r="H38" s="17">
        <f>IFERROR(IF(INDEX(Movimientos!$M$2:$M$1993,MATCH(A38&amp;"ENTRADA",Movimientos!$R$2:$R$1993,0))=0,"S/D",INDEX(Movimientos!$M$2:$M$1993,MATCH(A38&amp;"ENTRADA",Movimientos!$R$2:$R$1993,0))),"S/D")</f>
        <v>46174</v>
      </c>
      <c r="I38" s="15">
        <f t="shared" ca="1" si="2"/>
        <v>-135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2377</v>
      </c>
      <c r="B39" s="2" t="str">
        <f>IFERROR(INDEX(Movimientos!$C$2:$C$1993,MATCH(A39&amp;"ENTRADA",Movimientos!$R$2:$R$1993,0)),"-")</f>
        <v>Dash HC</v>
      </c>
      <c r="C39" s="2" t="str">
        <f>IFERROR(INDEX(Movimientos!$D$2:$D$1993,MATCH(A39&amp;"ENTRADA",Movimientos!$R$2:$R$1993,0)),"-")</f>
        <v>Esteres metílicos de aceite vegetal 42,5%</v>
      </c>
      <c r="D39" s="2" t="str">
        <f>IFERROR(INDEX(Movimientos!$E$2:$E$1993,MATCH(A39&amp;"ENTRADA",Movimientos!$R$2:$R$1993,0)),"-")</f>
        <v>Coadyuvante</v>
      </c>
      <c r="E39" s="2">
        <f>IFERROR(INDEX(Movimientos!$F$2:$F$1993,MATCH(A39&amp;"ENTRADA",Movimientos!$R$2:$R$1993,0)),"-")</f>
        <v>0</v>
      </c>
      <c r="F39" s="2" t="str">
        <f>IFERROR(INDEX(Movimientos!$G$2:$G$1993,MATCH(A39&amp;"ENTRADA",Movimientos!$R$2:$R$1993,0)),"-")</f>
        <v>ERRO</v>
      </c>
      <c r="G39" s="2" t="str">
        <f>IFERROR(INDEX(Movimientos!$L$2:$L$1993,MATCH(A39&amp;"ENTRADA",Movimientos!$R$2:$R$1993,0)),"-")</f>
        <v>L</v>
      </c>
      <c r="H39" s="17">
        <f>IFERROR(IF(INDEX(Movimientos!$M$2:$M$1993,MATCH(A39&amp;"ENTRADA",Movimientos!$R$2:$R$1993,0))=0,"S/D",INDEX(Movimientos!$M$2:$M$1993,MATCH(A39&amp;"ENTRADA",Movimientos!$R$2:$R$1993,0))),"S/D")</f>
        <v>47574</v>
      </c>
      <c r="I39" s="15">
        <f t="shared" ca="1" si="2"/>
        <v>1265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375</v>
      </c>
      <c r="B40" s="2" t="str">
        <f>IFERROR(INDEX(Movimientos!$C$2:$C$1993,MATCH(A40&amp;"ENTRADA",Movimientos!$R$2:$R$1993,0)),"-")</f>
        <v>Pixxaro</v>
      </c>
      <c r="C40" s="2" t="str">
        <f>IFERROR(INDEX(Movimientos!$D$2:$D$1993,MATCH(A40&amp;"ENTRADA",Movimientos!$R$2:$R$1993,0)),"-")</f>
        <v>Fluroxypyr meptyl 34,91% + Halauxyfen methyl 1.64% + Cloquintocet mexyl 1.57%</v>
      </c>
      <c r="D40" s="2" t="str">
        <f>IFERROR(INDEX(Movimientos!$E$2:$E$1993,MATCH(A40&amp;"ENTRADA",Movimientos!$R$2:$R$1993,0)),"-")</f>
        <v>Herbicida</v>
      </c>
      <c r="E40" s="2" t="str">
        <f>IFERROR(INDEX(Movimientos!$F$2:$F$1993,MATCH(A40&amp;"ENTRADA",Movimientos!$R$2:$R$1993,0)),"-")</f>
        <v>Postemergente</v>
      </c>
      <c r="F40" s="2" t="str">
        <f>IFERROR(INDEX(Movimientos!$G$2:$G$1993,MATCH(A40&amp;"ENTRADA",Movimientos!$R$2:$R$1993,0)),"-")</f>
        <v>GS Agro</v>
      </c>
      <c r="G40" s="2" t="str">
        <f>IFERROR(INDEX(Movimientos!$L$2:$L$1993,MATCH(A40&amp;"ENTRADA",Movimientos!$R$2:$R$1993,0)),"-")</f>
        <v>L</v>
      </c>
      <c r="H40" s="17">
        <f>IFERROR(IF(INDEX(Movimientos!$M$2:$M$1993,MATCH(A40&amp;"ENTRADA",Movimientos!$R$2:$R$1993,0))=0,"S/D",INDEX(Movimientos!$M$2:$M$1993,MATCH(A40&amp;"ENTRADA",Movimientos!$R$2:$R$1993,0))),"S/D")</f>
        <v>46801</v>
      </c>
      <c r="I40" s="15">
        <f t="shared" ca="1" si="2"/>
        <v>492</v>
      </c>
      <c r="J40" s="5">
        <f>IF(A40="","",SUMIFS(Movimientos!$K:$K,Movimientos!$H:$H,A40))</f>
        <v>460</v>
      </c>
      <c r="K40" s="13" t="str">
        <f t="shared" ca="1" si="1"/>
        <v>OK</v>
      </c>
    </row>
    <row r="41" spans="1:11">
      <c r="A41" s="16" t="s">
        <v>349</v>
      </c>
      <c r="B41" s="2" t="str">
        <f>IFERROR(INDEX(Movimientos!$C$2:$C$1993,MATCH(A41&amp;"ENTRADA",Movimientos!$R$2:$R$1993,0)),"-")</f>
        <v>Alfalfa Latte 920</v>
      </c>
      <c r="C41" s="2" t="str">
        <f>IFERROR(INDEX(Movimientos!$D$2:$D$1993,MATCH(A41&amp;"ENTRADA",Movimientos!$R$2:$R$1993,0)),"-")</f>
        <v>Alfalfa latte 920 gen protect plus</v>
      </c>
      <c r="D41" s="2" t="str">
        <f>IFERROR(INDEX(Movimientos!$E$2:$E$1993,MATCH(A41&amp;"ENTRADA",Movimientos!$R$2:$R$1993,0)),"-")</f>
        <v>Semilla</v>
      </c>
      <c r="E41" s="2" t="str">
        <f>IFERROR(INDEX(Movimientos!$F$2:$F$1993,MATCH(A41&amp;"ENTRADA",Movimientos!$R$2:$R$1993,0)),"-")</f>
        <v>Alfalfa</v>
      </c>
      <c r="F41" s="2" t="str">
        <f>IFERROR(INDEX(Movimientos!$G$2:$G$1993,MATCH(A41&amp;"ENTRADA",Movimientos!$R$2:$R$1993,0)),"-")</f>
        <v xml:space="preserve">Irmacor </v>
      </c>
      <c r="G41" s="2" t="str">
        <f>IFERROR(INDEX(Movimientos!$L$2:$L$1993,MATCH(A41&amp;"ENTRADA",Movimientos!$R$2:$R$1993,0)),"-")</f>
        <v>kg</v>
      </c>
      <c r="H41" s="17" t="str">
        <f>IFERROR(IF(INDEX(Movimientos!$M$2:$M$1993,MATCH(A41&amp;"ENTRADA",Movimientos!$R$2:$R$1993,0))=0,"S/D",INDEX(Movimientos!$M$2:$M$1993,MATCH(A41&amp;"ENTRADA",Movimientos!$R$2:$R$1993,0))),"S/D")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313</v>
      </c>
      <c r="B42" s="2" t="str">
        <f>IFERROR(INDEX(Movimientos!$C$2:$C$1993,MATCH(A42&amp;"ENTRADA",Movimientos!$R$2:$R$1993,0)),"-")</f>
        <v>Lotus Nilo ht</v>
      </c>
      <c r="C42" s="2" t="str">
        <f>IFERROR(INDEX(Movimientos!$D$2:$D$1993,MATCH(A42&amp;"ENTRADA",Movimientos!$R$2:$R$1993,0)),"-")</f>
        <v>Lotus Nilo Ht Gen Protect Plus</v>
      </c>
      <c r="D42" s="2" t="str">
        <f>IFERROR(INDEX(Movimientos!$E$2:$E$1993,MATCH(A42&amp;"ENTRADA",Movimientos!$R$2:$R$1993,0)),"-")</f>
        <v>Semilla</v>
      </c>
      <c r="E42" s="2" t="str">
        <f>IFERROR(INDEX(Movimientos!$F$2:$F$1993,MATCH(A42&amp;"ENTRADA",Movimientos!$R$2:$R$1993,0)),"-")</f>
        <v>Lotus</v>
      </c>
      <c r="F42" s="2" t="str">
        <f>IFERROR(INDEX(Movimientos!$G$2:$G$1993,MATCH(A42&amp;"ENTRADA",Movimientos!$R$2:$R$1993,0)),"-")</f>
        <v xml:space="preserve">Irmacor </v>
      </c>
      <c r="G42" s="2" t="str">
        <f>IFERROR(INDEX(Movimientos!$L$2:$L$1993,MATCH(A42&amp;"ENTRADA",Movimientos!$R$2:$R$1993,0)),"-")</f>
        <v>kg</v>
      </c>
      <c r="H42" s="17" t="str">
        <f>IFERROR(IF(INDEX(Movimientos!$M$2:$M$1993,MATCH(A42&amp;"ENTRADA",Movimientos!$R$2:$R$1993,0))=0,"S/D",INDEX(Movimientos!$M$2:$M$1993,MATCH(A42&amp;"ENTRADA",Movimientos!$R$2:$R$1993,0))),"S/D")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323</v>
      </c>
      <c r="B43" s="2" t="str">
        <f>IFERROR(INDEX(Movimientos!$C$2:$C$1993,MATCH(A43&amp;"ENTRADA",Movimientos!$R$2:$R$1993,0)),"-")</f>
        <v>Dactylis inia perseo</v>
      </c>
      <c r="C43" s="2" t="str">
        <f>IFERROR(INDEX(Movimientos!$D$2:$D$1993,MATCH(A43&amp;"ENTRADA",Movimientos!$R$2:$R$1993,0)),"-")</f>
        <v>Dactylis inia perseo cert +ins</v>
      </c>
      <c r="D43" s="2" t="str">
        <f>IFERROR(INDEX(Movimientos!$E$2:$E$1993,MATCH(A43&amp;"ENTRADA",Movimientos!$R$2:$R$1993,0)),"-")</f>
        <v>Semilla</v>
      </c>
      <c r="E43" s="2" t="str">
        <f>IFERROR(INDEX(Movimientos!$F$2:$F$1993,MATCH(A43&amp;"ENTRADA",Movimientos!$R$2:$R$1993,0)),"-")</f>
        <v>Dactylis</v>
      </c>
      <c r="F43" s="2" t="str">
        <f>IFERROR(INDEX(Movimientos!$G$2:$G$1993,MATCH(A43&amp;"ENTRADA",Movimientos!$R$2:$R$1993,0)),"-")</f>
        <v xml:space="preserve">Irmacor </v>
      </c>
      <c r="G43" s="2" t="str">
        <f>IFERROR(INDEX(Movimientos!$L$2:$L$1993,MATCH(A43&amp;"ENTRADA",Movimientos!$R$2:$R$1993,0)),"-")</f>
        <v>kg</v>
      </c>
      <c r="H43" s="17" t="str">
        <f>IFERROR(IF(INDEX(Movimientos!$M$2:$M$1993,MATCH(A43&amp;"ENTRADA",Movimientos!$R$2:$R$1993,0))=0,"S/D",INDEX(Movimientos!$M$2:$M$1993,MATCH(A43&amp;"ENTRADA",Movimientos!$R$2:$R$1993,0))),"S/D")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448</v>
      </c>
      <c r="B44" s="2" t="str">
        <f>IFERROR(INDEX(Movimientos!$C$2:$C$1993,MATCH(A44&amp;"ENTRADA",Movimientos!$R$2:$R$1993,0)),"-")</f>
        <v>Colza 45y95cl</v>
      </c>
      <c r="C44" s="2" t="str">
        <f>IFERROR(INDEX(Movimientos!$D$2:$D$1993,MATCH(A44&amp;"ENTRADA",Movimientos!$R$2:$R$1993,0)),"-")</f>
        <v>Colza 45y95cl</v>
      </c>
      <c r="D44" s="2" t="str">
        <f>IFERROR(INDEX(Movimientos!$E$2:$E$1993,MATCH(A44&amp;"ENTRADA",Movimientos!$R$2:$R$1993,0)),"-")</f>
        <v>Semilla</v>
      </c>
      <c r="E44" s="2" t="str">
        <f>IFERROR(INDEX(Movimientos!$F$2:$F$1993,MATCH(A44&amp;"ENTRADA",Movimientos!$R$2:$R$1993,0)),"-")</f>
        <v>Colza</v>
      </c>
      <c r="F44" s="2" t="str">
        <f>IFERROR(INDEX(Movimientos!$G$2:$G$1993,MATCH(A44&amp;"ENTRADA",Movimientos!$R$2:$R$1993,0)),"-")</f>
        <v>GS Agro</v>
      </c>
      <c r="G44" s="2" t="str">
        <f>IFERROR(INDEX(Movimientos!$L$2:$L$1993,MATCH(A44&amp;"ENTRADA",Movimientos!$R$2:$R$1993,0)),"-")</f>
        <v>kg</v>
      </c>
      <c r="H44" s="17" t="str">
        <f>IFERROR(IF(INDEX(Movimientos!$M$2:$M$1993,MATCH(A44&amp;"ENTRADA",Movimientos!$R$2:$R$1993,0))=0,"S/D",INDEX(Movimientos!$M$2:$M$1993,MATCH(A44&amp;"ENTRADA",Movimientos!$R$2:$R$1993,0))),"S/D")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365</v>
      </c>
      <c r="B45" s="2" t="str">
        <f>IFERROR(INDEX(Movimientos!$C$2:$C$1993,MATCH(A45&amp;"ENTRADA",Movimientos!$R$2:$R$1993,0)),"-")</f>
        <v>Festuca elodie curada</v>
      </c>
      <c r="C45" s="2" t="str">
        <f>IFERROR(INDEX(Movimientos!$D$2:$D$1993,MATCH(A45&amp;"ENTRADA",Movimientos!$R$2:$R$1993,0)),"-")</f>
        <v xml:space="preserve">festuca elodie </v>
      </c>
      <c r="D45" s="2" t="str">
        <f>IFERROR(INDEX(Movimientos!$E$2:$E$1993,MATCH(A45&amp;"ENTRADA",Movimientos!$R$2:$R$1993,0)),"-")</f>
        <v>Semilla</v>
      </c>
      <c r="E45" s="2" t="str">
        <f>IFERROR(INDEX(Movimientos!$F$2:$F$1993,MATCH(A45&amp;"ENTRADA",Movimientos!$R$2:$R$1993,0)),"-")</f>
        <v>Festuca</v>
      </c>
      <c r="F45" s="2" t="str">
        <f>IFERROR(INDEX(Movimientos!$G$2:$G$1993,MATCH(A45&amp;"ENTRADA",Movimientos!$R$2:$R$1993,0)),"-")</f>
        <v xml:space="preserve">Biosfer </v>
      </c>
      <c r="G45" s="2" t="str">
        <f>IFERROR(INDEX(Movimientos!$L$2:$L$1993,MATCH(A45&amp;"ENTRADA",Movimientos!$R$2:$R$1993,0)),"-")</f>
        <v>kg</v>
      </c>
      <c r="H45" s="17" t="str">
        <f>IFERROR(IF(INDEX(Movimientos!$M$2:$M$1993,MATCH(A45&amp;"ENTRADA",Movimientos!$R$2:$R$1993,0))=0,"S/D",INDEX(Movimientos!$M$2:$M$1993,MATCH(A45&amp;"ENTRADA",Movimientos!$R$2:$R$1993,0))),"S/D")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409</v>
      </c>
      <c r="B46" s="2" t="str">
        <f>IFERROR(INDEX(Movimientos!$C$2:$C$1993,MATCH(A46&amp;"ENTRADA",Movimientos!$R$2:$R$1993,0)),"-")</f>
        <v xml:space="preserve">Trebol blanco Zapican inoculado </v>
      </c>
      <c r="C46" s="2" t="str">
        <f>IFERROR(INDEX(Movimientos!$D$2:$D$1993,MATCH(A46&amp;"ENTRADA",Movimientos!$R$2:$R$1993,0)),"-")</f>
        <v xml:space="preserve">trebol blanco zapican </v>
      </c>
      <c r="D46" s="2" t="str">
        <f>IFERROR(INDEX(Movimientos!$E$2:$E$1993,MATCH(A46&amp;"ENTRADA",Movimientos!$R$2:$R$1993,0)),"-")</f>
        <v>Semilla</v>
      </c>
      <c r="E46" s="2" t="str">
        <f>IFERROR(INDEX(Movimientos!$F$2:$F$1993,MATCH(A46&amp;"ENTRADA",Movimientos!$R$2:$R$1993,0)),"-")</f>
        <v>Trebol Blanco</v>
      </c>
      <c r="F46" s="2" t="str">
        <f>IFERROR(INDEX(Movimientos!$G$2:$G$1993,MATCH(A46&amp;"ENTRADA",Movimientos!$R$2:$R$1993,0)),"-")</f>
        <v xml:space="preserve">Biosfer </v>
      </c>
      <c r="G46" s="2" t="str">
        <f>IFERROR(INDEX(Movimientos!$L$2:$L$1993,MATCH(A46&amp;"ENTRADA",Movimientos!$R$2:$R$1993,0)),"-")</f>
        <v>kg</v>
      </c>
      <c r="H46" s="17" t="str">
        <f>IFERROR(IF(INDEX(Movimientos!$M$2:$M$1993,MATCH(A46&amp;"ENTRADA",Movimientos!$R$2:$R$1993,0))=0,"S/D",INDEX(Movimientos!$M$2:$M$1993,MATCH(A46&amp;"ENTRADA",Movimientos!$R$2:$R$1993,0))),"S/D")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2378</v>
      </c>
      <c r="B47" s="2" t="str">
        <f>IFERROR(INDEX(Movimientos!$C$2:$C$1993,MATCH(A47&amp;"ENTRADA",Movimientos!$R$2:$R$1993,0)),"-")</f>
        <v>-</v>
      </c>
      <c r="C47" s="2" t="str">
        <f>IFERROR(INDEX(Movimientos!$D$2:$D$1993,MATCH(A47&amp;"ENTRADA",Movimientos!$R$2:$R$1993,0)),"-")</f>
        <v>-</v>
      </c>
      <c r="D47" s="2" t="str">
        <f>IFERROR(INDEX(Movimientos!$E$2:$E$1993,MATCH(A47&amp;"ENTRADA",Movimientos!$R$2:$R$1993,0)),"-")</f>
        <v>-</v>
      </c>
      <c r="E47" s="2" t="str">
        <f>IFERROR(INDEX(Movimientos!$F$2:$F$1993,MATCH(A47&amp;"ENTRADA",Movimientos!$R$2:$R$1993,0)),"-")</f>
        <v>-</v>
      </c>
      <c r="F47" s="2" t="str">
        <f>IFERROR(INDEX(Movimientos!$G$2:$G$1993,MATCH(A47&amp;"ENTRADA",Movimientos!$R$2:$R$1993,0)),"-")</f>
        <v>-</v>
      </c>
      <c r="G47" s="2" t="str">
        <f>IFERROR(INDEX(Movimientos!$L$2:$L$1993,MATCH(A47&amp;"ENTRADA",Movimientos!$R$2:$R$1993,0)),"-")</f>
        <v>-</v>
      </c>
      <c r="H47" s="17" t="str">
        <f>IFERROR(IF(INDEX(Movimientos!$M$2:$M$1993,MATCH(A47&amp;"ENTRADA",Movimientos!$R$2:$R$1993,0))=0,"S/D",INDEX(Movimientos!$M$2:$M$1993,MATCH(A47&amp;"ENTRADA",Movimientos!$R$2:$R$1993,0))),"S/D")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446</v>
      </c>
      <c r="B48" s="2" t="str">
        <f>IFERROR(INDEX(Movimientos!$C$2:$C$1993,MATCH(A48&amp;"ENTRADA",Movimientos!$R$2:$R$1993,0)),"-")</f>
        <v>Colza Nuola 300</v>
      </c>
      <c r="C48" s="2" t="str">
        <f>IFERROR(INDEX(Movimientos!$D$2:$D$1993,MATCH(A48&amp;"ENTRADA",Movimientos!$R$2:$R$1993,0)),"-")</f>
        <v>Nuola 300</v>
      </c>
      <c r="D48" s="2" t="str">
        <f>IFERROR(INDEX(Movimientos!$E$2:$E$1993,MATCH(A48&amp;"ENTRADA",Movimientos!$R$2:$R$1993,0)),"-")</f>
        <v>Semilla</v>
      </c>
      <c r="E48" s="2" t="str">
        <f>IFERROR(INDEX(Movimientos!$F$2:$F$1993,MATCH(A48&amp;"ENTRADA",Movimientos!$R$2:$R$1993,0)),"-")</f>
        <v>Colza</v>
      </c>
      <c r="F48" s="2" t="str">
        <f>IFERROR(INDEX(Movimientos!$G$2:$G$1993,MATCH(A48&amp;"ENTRADA",Movimientos!$R$2:$R$1993,0)),"-")</f>
        <v xml:space="preserve">Biosfer </v>
      </c>
      <c r="G48" s="2" t="str">
        <f>IFERROR(INDEX(Movimientos!$L$2:$L$1993,MATCH(A48&amp;"ENTRADA",Movimientos!$R$2:$R$1993,0)),"-")</f>
        <v>kg</v>
      </c>
      <c r="H48" s="17" t="str">
        <f>IFERROR(IF(INDEX(Movimientos!$M$2:$M$1993,MATCH(A48&amp;"ENTRADA",Movimientos!$R$2:$R$1993,0))=0,"S/D",INDEX(Movimientos!$M$2:$M$1993,MATCH(A48&amp;"ENTRADA",Movimientos!$R$2:$R$1993,0))),"S/D")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495</v>
      </c>
      <c r="B49" s="2" t="str">
        <f>IFERROR(INDEX(Movimientos!$C$2:$C$1993,MATCH(A49&amp;"ENTRADA",Movimientos!$R$2:$R$1993,0)),"-")</f>
        <v xml:space="preserve">Zinc Plus </v>
      </c>
      <c r="C49" s="2" t="str">
        <f>IFERROR(INDEX(Movimientos!$D$2:$D$1993,MATCH(A49&amp;"ENTRADA",Movimientos!$R$2:$R$1993,0)),"-")</f>
        <v xml:space="preserve">Keylate Zinc Plus </v>
      </c>
      <c r="D49" s="2" t="str">
        <f>IFERROR(INDEX(Movimientos!$E$2:$E$1993,MATCH(A49&amp;"ENTRADA",Movimientos!$R$2:$R$1993,0)),"-")</f>
        <v>Fertilizante</v>
      </c>
      <c r="E49" s="2">
        <f>IFERROR(INDEX(Movimientos!$F$2:$F$1993,MATCH(A49&amp;"ENTRADA",Movimientos!$R$2:$R$1993,0)),"-")</f>
        <v>0</v>
      </c>
      <c r="F49" s="2" t="str">
        <f>IFERROR(INDEX(Movimientos!$G$2:$G$1993,MATCH(A49&amp;"ENTRADA",Movimientos!$R$2:$R$1993,0)),"-")</f>
        <v>GS Agro</v>
      </c>
      <c r="G49" s="2" t="str">
        <f>IFERROR(INDEX(Movimientos!$L$2:$L$1993,MATCH(A49&amp;"ENTRADA",Movimientos!$R$2:$R$1993,0)),"-")</f>
        <v>L</v>
      </c>
      <c r="H49" s="17" t="str">
        <f>IFERROR(IF(INDEX(Movimientos!$M$2:$M$1993,MATCH(A49&amp;"ENTRADA",Movimientos!$R$2:$R$1993,0))=0,"S/D",INDEX(Movimientos!$M$2:$M$1993,MATCH(A49&amp;"ENTRADA",Movimientos!$R$2:$R$1993,0))),"S/D")</f>
        <v>S/D</v>
      </c>
      <c r="I49" s="15" t="str">
        <f t="shared" ca="1" si="2"/>
        <v>S/D</v>
      </c>
      <c r="J49" s="5">
        <f>IF(A49="","",SUMIFS(Movimientos!$K:$K,Movimientos!$H:$H,A49))</f>
        <v>12320</v>
      </c>
      <c r="K49" s="13" t="str">
        <f t="shared" ca="1" si="1"/>
        <v>OK</v>
      </c>
    </row>
    <row r="50" spans="1:11">
      <c r="A50" s="16" t="s">
        <v>497</v>
      </c>
      <c r="B50" s="2" t="str">
        <f>IFERROR(INDEX(Movimientos!$C$2:$C$1993,MATCH(A50&amp;"ENTRADA",Movimientos!$R$2:$R$1993,0)),"-")</f>
        <v>Hydra Hume</v>
      </c>
      <c r="C50" s="2" t="str">
        <f>IFERROR(INDEX(Movimientos!$D$2:$D$1993,MATCH(A50&amp;"ENTRADA",Movimientos!$R$2:$R$1993,0)),"-")</f>
        <v xml:space="preserve">Hydra hume </v>
      </c>
      <c r="D50" s="2" t="str">
        <f>IFERROR(INDEX(Movimientos!$E$2:$E$1993,MATCH(A50&amp;"ENTRADA",Movimientos!$R$2:$R$1993,0)),"-")</f>
        <v>Biológico</v>
      </c>
      <c r="E50" s="2" t="str">
        <f>IFERROR(INDEX(Movimientos!$F$2:$F$1993,MATCH(A50&amp;"ENTRADA",Movimientos!$R$2:$R$1993,0)),"-")</f>
        <v>Acidos Humicos</v>
      </c>
      <c r="F50" s="2" t="str">
        <f>IFERROR(INDEX(Movimientos!$G$2:$G$1993,MATCH(A50&amp;"ENTRADA",Movimientos!$R$2:$R$1993,0)),"-")</f>
        <v>Granicor</v>
      </c>
      <c r="G50" s="2" t="str">
        <f>IFERROR(INDEX(Movimientos!$L$2:$L$1993,MATCH(A50&amp;"ENTRADA",Movimientos!$R$2:$R$1993,0)),"-")</f>
        <v>L</v>
      </c>
      <c r="H50" s="17">
        <f>IFERROR(IF(INDEX(Movimientos!$M$2:$M$1993,MATCH(A50&amp;"ENTRADA",Movimientos!$R$2:$R$1993,0))=0,"S/D",INDEX(Movimientos!$M$2:$M$1993,MATCH(A50&amp;"ENTRADA",Movimientos!$R$2:$R$1993,0))),"S/D")</f>
        <v>46634</v>
      </c>
      <c r="I50" s="15">
        <f t="shared" ca="1" si="2"/>
        <v>325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553</v>
      </c>
      <c r="B51" s="2" t="str">
        <f>IFERROR(INDEX(Movimientos!$C$2:$C$1993,MATCH(A51&amp;"ENTRADA",Movimientos!$R$2:$R$1993,0)),"-")</f>
        <v xml:space="preserve">cripton xpro </v>
      </c>
      <c r="C51" s="2" t="str">
        <f>IFERROR(INDEX(Movimientos!$D$2:$D$1993,MATCH(A51&amp;"ENTRADA",Movimientos!$R$2:$R$1993,0)),"-")</f>
        <v>Protioconazol 175g/l trifloxistrobin 150g/l bixafen 125g/l</v>
      </c>
      <c r="D51" s="2" t="str">
        <f>IFERROR(INDEX(Movimientos!$E$2:$E$1993,MATCH(A51&amp;"ENTRADA",Movimientos!$R$2:$R$1993,0)),"-")</f>
        <v>Fungicida</v>
      </c>
      <c r="E51" s="2">
        <f>IFERROR(INDEX(Movimientos!$F$2:$F$1993,MATCH(A51&amp;"ENTRADA",Movimientos!$R$2:$R$1993,0)),"-")</f>
        <v>0</v>
      </c>
      <c r="F51" s="2" t="str">
        <f>IFERROR(INDEX(Movimientos!$G$2:$G$1993,MATCH(A51&amp;"ENTRADA",Movimientos!$R$2:$R$1993,0)),"-")</f>
        <v>Agromil</v>
      </c>
      <c r="G51" s="2" t="str">
        <f>IFERROR(INDEX(Movimientos!$L$2:$L$1993,MATCH(A51&amp;"ENTRADA",Movimientos!$R$2:$R$1993,0)),"-")</f>
        <v>L</v>
      </c>
      <c r="H51" s="17">
        <f>IFERROR(IF(INDEX(Movimientos!$M$2:$M$1993,MATCH(A51&amp;"ENTRADA",Movimientos!$R$2:$R$1993,0))=0,"S/D",INDEX(Movimientos!$M$2:$M$1993,MATCH(A51&amp;"ENTRADA",Movimientos!$R$2:$R$1993,0))),"S/D")</f>
        <v>46476</v>
      </c>
      <c r="I51" s="15">
        <f t="shared" ca="1" si="2"/>
        <v>167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551</v>
      </c>
      <c r="B52" s="2" t="str">
        <f>IFERROR(INDEX(Movimientos!$C$2:$C$1993,MATCH(A52&amp;"ENTRADA",Movimientos!$R$2:$R$1993,0)),"-")</f>
        <v>vitagrow</v>
      </c>
      <c r="C52" s="2" t="str">
        <f>IFERROR(INDEX(Movimientos!$D$2:$D$1993,MATCH(A52&amp;"ENTRADA",Movimientos!$R$2:$R$1993,0)),"-")</f>
        <v xml:space="preserve">fertilizante foliar </v>
      </c>
      <c r="D52" s="2" t="str">
        <f>IFERROR(INDEX(Movimientos!$E$2:$E$1993,MATCH(A52&amp;"ENTRADA",Movimientos!$R$2:$R$1993,0)),"-")</f>
        <v>Fertilizante</v>
      </c>
      <c r="E52" s="2">
        <f>IFERROR(INDEX(Movimientos!$F$2:$F$1993,MATCH(A52&amp;"ENTRADA",Movimientos!$R$2:$R$1993,0)),"-")</f>
        <v>0</v>
      </c>
      <c r="F52" s="2" t="str">
        <f>IFERROR(INDEX(Movimientos!$G$2:$G$1993,MATCH(A52&amp;"ENTRADA",Movimientos!$R$2:$R$1993,0)),"-")</f>
        <v>Agromil</v>
      </c>
      <c r="G52" s="2" t="str">
        <f>IFERROR(INDEX(Movimientos!$L$2:$L$1993,MATCH(A52&amp;"ENTRADA",Movimientos!$R$2:$R$1993,0)),"-")</f>
        <v>kg</v>
      </c>
      <c r="H52" s="17">
        <f>IFERROR(IF(INDEX(Movimientos!$M$2:$M$1993,MATCH(A52&amp;"ENTRADA",Movimientos!$R$2:$R$1993,0))=0,"S/D",INDEX(Movimientos!$M$2:$M$1993,MATCH(A52&amp;"ENTRADA",Movimientos!$R$2:$R$1993,0))),"S/D")</f>
        <v>47098</v>
      </c>
      <c r="I52" s="15">
        <f t="shared" ca="1" si="2"/>
        <v>789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2379</v>
      </c>
      <c r="B53" s="2" t="str">
        <f>IFERROR(INDEX(Movimientos!$C$2:$C$1993,MATCH(A53&amp;"ENTRADA",Movimientos!$R$2:$R$1993,0)),"-")</f>
        <v xml:space="preserve">semilla comprada cebada </v>
      </c>
      <c r="C53" s="2" t="str">
        <f>IFERROR(INDEX(Movimientos!$D$2:$D$1993,MATCH(A53&amp;"ENTRADA",Movimientos!$R$2:$R$1993,0)),"-")</f>
        <v>cebada osiris</v>
      </c>
      <c r="D53" s="2" t="str">
        <f>IFERROR(INDEX(Movimientos!$E$2:$E$1993,MATCH(A53&amp;"ENTRADA",Movimientos!$R$2:$R$1993,0)),"-")</f>
        <v>Semilla</v>
      </c>
      <c r="E53" s="2" t="str">
        <f>IFERROR(INDEX(Movimientos!$F$2:$F$1993,MATCH(A53&amp;"ENTRADA",Movimientos!$R$2:$R$1993,0)),"-")</f>
        <v>Cebada</v>
      </c>
      <c r="F53" s="2">
        <f>IFERROR(INDEX(Movimientos!$G$2:$G$1993,MATCH(A53&amp;"ENTRADA",Movimientos!$R$2:$R$1993,0)),"-")</f>
        <v>0</v>
      </c>
      <c r="G53" s="2" t="str">
        <f>IFERROR(INDEX(Movimientos!$L$2:$L$1993,MATCH(A53&amp;"ENTRADA",Movimientos!$R$2:$R$1993,0)),"-")</f>
        <v>kg</v>
      </c>
      <c r="H53" s="17" t="str">
        <f>IFERROR(IF(INDEX(Movimientos!$M$2:$M$1993,MATCH(A53&amp;"ENTRADA",Movimientos!$R$2:$R$1993,0))=0,"S/D",INDEX(Movimientos!$M$2:$M$1993,MATCH(A53&amp;"ENTRADA",Movimientos!$R$2:$R$1993,0))),"S/D")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560</v>
      </c>
      <c r="B54" s="2" t="str">
        <f>IFERROR(INDEX(Movimientos!$C$2:$C$1993,MATCH(A54&amp;"ENTRADA",Movimientos!$R$2:$R$1993,0)),"-")</f>
        <v>Paradigm</v>
      </c>
      <c r="C54" s="2" t="str">
        <f>IFERROR(INDEX(Movimientos!$D$2:$D$1993,MATCH(A54&amp;"ENTRADA",Movimientos!$R$2:$R$1993,0)),"-")</f>
        <v>Florasulam 20,0% Halauxyfen metil 20,85% Equivalente ácido Halauxyfen metil 20,0%</v>
      </c>
      <c r="D54" s="2" t="str">
        <f>IFERROR(INDEX(Movimientos!$E$2:$E$1993,MATCH(A54&amp;"ENTRADA",Movimientos!$R$2:$R$1993,0)),"-")</f>
        <v>Herbicida</v>
      </c>
      <c r="E54" s="2" t="str">
        <f>IFERROR(INDEX(Movimientos!$F$2:$F$1993,MATCH(A54&amp;"ENTRADA",Movimientos!$R$2:$R$1993,0)),"-")</f>
        <v>Postemergente</v>
      </c>
      <c r="F54" s="2" t="str">
        <f>IFERROR(INDEX(Movimientos!$G$2:$G$1993,MATCH(A54&amp;"ENTRADA",Movimientos!$R$2:$R$1993,0)),"-")</f>
        <v>GS Agro</v>
      </c>
      <c r="G54" s="2" t="str">
        <f>IFERROR(INDEX(Movimientos!$L$2:$L$1993,MATCH(A54&amp;"ENTRADA",Movimientos!$R$2:$R$1993,0)),"-")</f>
        <v>kg</v>
      </c>
      <c r="H54" s="17" t="str">
        <f>IFERROR(IF(INDEX(Movimientos!$M$2:$M$1993,MATCH(A54&amp;"ENTRADA",Movimientos!$R$2:$R$1993,0))=0,"S/D",INDEX(Movimientos!$M$2:$M$1993,MATCH(A54&amp;"ENTRADA",Movimientos!$R$2:$R$1993,0))),"S/D")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587</v>
      </c>
      <c r="B55" s="2" t="str">
        <f>IFERROR(INDEX(Movimientos!$C$2:$C$1993,MATCH(A55&amp;"ENTRADA",Movimientos!$R$2:$R$1993,0)),"-")</f>
        <v>Unico Max</v>
      </c>
      <c r="C55" s="2" t="str">
        <f>IFERROR(INDEX(Movimientos!$D$2:$D$1993,MATCH(A55&amp;"ENTRADA",Movimientos!$R$2:$R$1993,0)),"-")</f>
        <v>(Protioconazol 175 g/L + Piraclostrobin 142 g/L + Bixafen 125 g/L – SC)</v>
      </c>
      <c r="D55" s="2" t="str">
        <f>IFERROR(INDEX(Movimientos!$E$2:$E$1993,MATCH(A55&amp;"ENTRADA",Movimientos!$R$2:$R$1993,0)),"-")</f>
        <v>Fungicida</v>
      </c>
      <c r="E55" s="2">
        <f>IFERROR(INDEX(Movimientos!$F$2:$F$1993,MATCH(A55&amp;"ENTRADA",Movimientos!$R$2:$R$1993,0)),"-")</f>
        <v>0</v>
      </c>
      <c r="F55" s="2" t="str">
        <f>IFERROR(INDEX(Movimientos!$G$2:$G$1993,MATCH(A55&amp;"ENTRADA",Movimientos!$R$2:$R$1993,0)),"-")</f>
        <v>Proquimur</v>
      </c>
      <c r="G55" s="2" t="str">
        <f>IFERROR(INDEX(Movimientos!$L$2:$L$1993,MATCH(A55&amp;"ENTRADA",Movimientos!$R$2:$R$1993,0)),"-")</f>
        <v>L</v>
      </c>
      <c r="H55" s="17">
        <f>IFERROR(IF(INDEX(Movimientos!$M$2:$M$1993,MATCH(A55&amp;"ENTRADA",Movimientos!$R$2:$R$1993,0))=0,"S/D",INDEX(Movimientos!$M$2:$M$1993,MATCH(A55&amp;"ENTRADA",Movimientos!$R$2:$R$1993,0))),"S/D")</f>
        <v>46569</v>
      </c>
      <c r="I55" s="15">
        <f t="shared" ca="1" si="2"/>
        <v>260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799</v>
      </c>
      <c r="B56" s="2" t="str">
        <f>IFERROR(INDEX(Movimientos!$C$2:$C$1993,MATCH(A56&amp;"ENTRADA",Movimientos!$R$2:$R$1993,0)),"-")</f>
        <v xml:space="preserve">cripton xpro </v>
      </c>
      <c r="C56" s="2" t="str">
        <f>IFERROR(INDEX(Movimientos!$D$2:$D$1993,MATCH(A56&amp;"ENTRADA",Movimientos!$R$2:$R$1993,0)),"-")</f>
        <v>Protioconazol 175g/l trifloxistrobin 150g/l bixafen 125g/l</v>
      </c>
      <c r="D56" s="2" t="str">
        <f>IFERROR(INDEX(Movimientos!$E$2:$E$1993,MATCH(A56&amp;"ENTRADA",Movimientos!$R$2:$R$1993,0)),"-")</f>
        <v>Fungicida</v>
      </c>
      <c r="E56" s="2">
        <f>IFERROR(INDEX(Movimientos!$F$2:$F$1993,MATCH(A56&amp;"ENTRADA",Movimientos!$R$2:$R$1993,0)),"-")</f>
        <v>0</v>
      </c>
      <c r="F56" s="2" t="str">
        <f>IFERROR(INDEX(Movimientos!$G$2:$G$1993,MATCH(A56&amp;"ENTRADA",Movimientos!$R$2:$R$1993,0)),"-")</f>
        <v>Agroterra</v>
      </c>
      <c r="G56" s="2" t="str">
        <f>IFERROR(INDEX(Movimientos!$L$2:$L$1993,MATCH(A56&amp;"ENTRADA",Movimientos!$R$2:$R$1993,0)),"-")</f>
        <v>L</v>
      </c>
      <c r="H56" s="17">
        <f>IFERROR(IF(INDEX(Movimientos!$M$2:$M$1993,MATCH(A56&amp;"ENTRADA",Movimientos!$R$2:$R$1993,0))=0,"S/D",INDEX(Movimientos!$M$2:$M$1993,MATCH(A56&amp;"ENTRADA",Movimientos!$R$2:$R$1993,0))),"S/D")</f>
        <v>46584</v>
      </c>
      <c r="I56" s="15">
        <f t="shared" ca="1" si="2"/>
        <v>275</v>
      </c>
      <c r="J56" s="5">
        <f>IF(A56="","",SUMIFS(Movimientos!$K:$K,Movimientos!$H:$H,A56))</f>
        <v>565</v>
      </c>
      <c r="K56" s="13" t="str">
        <f t="shared" ca="1" si="1"/>
        <v>OK</v>
      </c>
    </row>
    <row r="57" spans="1:11">
      <c r="A57" s="16" t="s">
        <v>297</v>
      </c>
      <c r="B57" s="2" t="str">
        <f>IFERROR(INDEX(Movimientos!$C$2:$C$1993,MATCH(A57&amp;"ENTRADA",Movimientos!$R$2:$R$1993,0)),"-")</f>
        <v>Silobolsa</v>
      </c>
      <c r="C57" s="2" t="str">
        <f>IFERROR(INDEX(Movimientos!$D$2:$D$1993,MATCH(A57&amp;"ENTRADA",Movimientos!$R$2:$R$1993,0)),"-")</f>
        <v>Silobolsa 9 pies</v>
      </c>
      <c r="D57" s="2" t="str">
        <f>IFERROR(INDEX(Movimientos!$E$2:$E$1993,MATCH(A57&amp;"ENTRADA",Movimientos!$R$2:$R$1993,0)),"-")</f>
        <v>Silobolsa</v>
      </c>
      <c r="E57" s="2">
        <f>IFERROR(INDEX(Movimientos!$F$2:$F$1993,MATCH(A57&amp;"ENTRADA",Movimientos!$R$2:$R$1993,0)),"-")</f>
        <v>0</v>
      </c>
      <c r="F57" s="2" t="str">
        <f>IFERROR(INDEX(Movimientos!$G$2:$G$1993,MATCH(A57&amp;"ENTRADA",Movimientos!$R$2:$R$1993,0)),"-")</f>
        <v>AYP Agrogestiones</v>
      </c>
      <c r="G57" s="2" t="str">
        <f>IFERROR(INDEX(Movimientos!$L$2:$L$1993,MATCH(A57&amp;"ENTRADA",Movimientos!$R$2:$R$1993,0)),"-")</f>
        <v>unidad</v>
      </c>
      <c r="H57" s="17" t="str">
        <f>IFERROR(IF(INDEX(Movimientos!$M$2:$M$1993,MATCH(A57&amp;"ENTRADA",Movimientos!$R$2:$R$1993,0))=0,"S/D",INDEX(Movimientos!$M$2:$M$1993,MATCH(A57&amp;"ENTRADA",Movimientos!$R$2:$R$1993,0))),"S/D")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IFERROR(INDEX(Movimientos!$C$2:$C$1993,MATCH(A58&amp;"ENTRADA",Movimientos!$R$2:$R$1993,0)),"-")</f>
        <v>-</v>
      </c>
      <c r="C58" s="2" t="str">
        <f>IFERROR(INDEX(Movimientos!$D$2:$D$1993,MATCH(A58&amp;"ENTRADA",Movimientos!$R$2:$R$1993,0)),"-")</f>
        <v>-</v>
      </c>
      <c r="D58" s="2" t="str">
        <f>IFERROR(INDEX(Movimientos!$E$2:$E$1993,MATCH(A58&amp;"ENTRADA",Movimientos!$R$2:$R$1993,0)),"-")</f>
        <v>-</v>
      </c>
      <c r="E58" s="2" t="str">
        <f>IFERROR(INDEX(Movimientos!$F$2:$F$1993,MATCH(A58&amp;"ENTRADA",Movimientos!$R$2:$R$1993,0)),"-")</f>
        <v>-</v>
      </c>
      <c r="F58" s="2" t="str">
        <f>IFERROR(INDEX(Movimientos!$G$2:$G$1993,MATCH(A58&amp;"ENTRADA",Movimientos!$R$2:$R$1993,0)),"-")</f>
        <v>-</v>
      </c>
      <c r="G58" s="2" t="str">
        <f>IFERROR(INDEX(Movimientos!$L$2:$L$1993,MATCH(A58&amp;"ENTRADA",Movimientos!$R$2:$R$1993,0)),"-")</f>
        <v>-</v>
      </c>
      <c r="H58" s="17" t="str">
        <f>IFERROR(IF(INDEX(Movimientos!$M$2:$M$1993,MATCH(A58&amp;"ENTRADA",Movimientos!$R$2:$R$1993,0))=0,"S/D",INDEX(Movimientos!$M$2:$M$1993,MATCH(A58&amp;"ENTRADA",Movimientos!$R$2:$R$1993,0))),"S/D")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822</v>
      </c>
      <c r="B59" s="2" t="str">
        <f>IFERROR(INDEX(Movimientos!$C$2:$C$1993,MATCH(A59&amp;"ENTRADA",Movimientos!$R$2:$R$1993,0)),"-")</f>
        <v>semilla maiz DK 69-62 TRE</v>
      </c>
      <c r="C59" s="2" t="str">
        <f>IFERROR(INDEX(Movimientos!$D$2:$D$1993,MATCH(A59&amp;"ENTRADA",Movimientos!$R$2:$R$1993,0)),"-")</f>
        <v xml:space="preserve">semilla comprada maíz </v>
      </c>
      <c r="D59" s="2" t="str">
        <f>IFERROR(INDEX(Movimientos!$E$2:$E$1993,MATCH(A59&amp;"ENTRADA",Movimientos!$R$2:$R$1993,0)),"-")</f>
        <v>Semilla</v>
      </c>
      <c r="E59" s="2" t="str">
        <f>IFERROR(INDEX(Movimientos!$F$2:$F$1993,MATCH(A59&amp;"ENTRADA",Movimientos!$R$2:$R$1993,0)),"-")</f>
        <v>Maíz</v>
      </c>
      <c r="F59" s="2" t="str">
        <f>IFERROR(INDEX(Movimientos!$G$2:$G$1993,MATCH(A59&amp;"ENTRADA",Movimientos!$R$2:$R$1993,0)),"-")</f>
        <v>Agroterra</v>
      </c>
      <c r="G59" s="2" t="str">
        <f>IFERROR(INDEX(Movimientos!$L$2:$L$1993,MATCH(A59&amp;"ENTRADA",Movimientos!$R$2:$R$1993,0)),"-")</f>
        <v>bolsa</v>
      </c>
      <c r="H59" s="17" t="str">
        <f>IFERROR(IF(INDEX(Movimientos!$M$2:$M$1993,MATCH(A59&amp;"ENTRADA",Movimientos!$R$2:$R$1993,0))=0,"S/D",INDEX(Movimientos!$M$2:$M$1993,MATCH(A59&amp;"ENTRADA",Movimientos!$R$2:$R$1993,0))),"S/D")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t="s">
        <v>824</v>
      </c>
      <c r="B60" s="2" t="str">
        <f>IFERROR(INDEX(Movimientos!$C$2:$C$1993,MATCH(A60&amp;"ENTRADA",Movimientos!$R$2:$R$1993,0)),"-")</f>
        <v>semilla maiz DK 72-10 RR2C5 refugio</v>
      </c>
      <c r="C60" s="2" t="str">
        <f>IFERROR(INDEX(Movimientos!$D$2:$D$1993,MATCH(A60&amp;"ENTRADA",Movimientos!$R$2:$R$1993,0)),"-")</f>
        <v xml:space="preserve">semilla comprada maíz </v>
      </c>
      <c r="D60" s="2" t="str">
        <f>IFERROR(INDEX(Movimientos!$E$2:$E$1993,MATCH(A60&amp;"ENTRADA",Movimientos!$R$2:$R$1993,0)),"-")</f>
        <v>Semilla</v>
      </c>
      <c r="E60" s="2" t="str">
        <f>IFERROR(INDEX(Movimientos!$F$2:$F$1993,MATCH(A60&amp;"ENTRADA",Movimientos!$R$2:$R$1993,0)),"-")</f>
        <v>Maíz</v>
      </c>
      <c r="F60" s="2" t="str">
        <f>IFERROR(INDEX(Movimientos!$G$2:$G$1993,MATCH(A60&amp;"ENTRADA",Movimientos!$R$2:$R$1993,0)),"-")</f>
        <v>Agroterra</v>
      </c>
      <c r="G60" s="2" t="str">
        <f>IFERROR(INDEX(Movimientos!$L$2:$L$1993,MATCH(A60&amp;"ENTRADA",Movimientos!$R$2:$R$1993,0)),"-")</f>
        <v>bolsa</v>
      </c>
      <c r="H60" s="17" t="str">
        <f>IFERROR(IF(INDEX(Movimientos!$M$2:$M$1993,MATCH(A60&amp;"ENTRADA",Movimientos!$R$2:$R$1993,0))=0,"S/D",INDEX(Movimientos!$M$2:$M$1993,MATCH(A60&amp;"ENTRADA",Movimientos!$R$2:$R$1993,0))),"S/D")</f>
        <v>S/D</v>
      </c>
      <c r="I60" s="15" t="str">
        <f t="shared" ca="1" si="2"/>
        <v>S/D</v>
      </c>
      <c r="J60" s="5">
        <f>IF(A60="","",SUMIFS(Movimientos!$K:$K,Movimientos!$H:$H,A60))</f>
        <v>5</v>
      </c>
      <c r="K60" s="13" t="str">
        <f t="shared" ca="1" si="1"/>
        <v>OK</v>
      </c>
    </row>
    <row r="61" spans="1:11" ht="14.25">
      <c r="A61" t="s">
        <v>965</v>
      </c>
      <c r="B61" s="2" t="str">
        <f>IFERROR(INDEX(Movimientos!$C$2:$C$1993,MATCH(A61&amp;"ENTRADA",Movimientos!$R$2:$R$1993,0)),"-")</f>
        <v>semilla maiz DK 73-03 TRE</v>
      </c>
      <c r="C61" s="2" t="str">
        <f>IFERROR(INDEX(Movimientos!$D$2:$D$1993,MATCH(A61&amp;"ENTRADA",Movimientos!$R$2:$R$1993,0)),"-")</f>
        <v xml:space="preserve">semilla comprada maíz </v>
      </c>
      <c r="D61" s="2" t="str">
        <f>IFERROR(INDEX(Movimientos!$E$2:$E$1993,MATCH(A61&amp;"ENTRADA",Movimientos!$R$2:$R$1993,0)),"-")</f>
        <v>Semilla</v>
      </c>
      <c r="E61" s="2" t="str">
        <f>IFERROR(INDEX(Movimientos!$F$2:$F$1993,MATCH(A61&amp;"ENTRADA",Movimientos!$R$2:$R$1993,0)),"-")</f>
        <v>Maíz</v>
      </c>
      <c r="F61" s="2" t="str">
        <f>IFERROR(INDEX(Movimientos!$G$2:$G$1993,MATCH(A61&amp;"ENTRADA",Movimientos!$R$2:$R$1993,0)),"-")</f>
        <v>Agroterra</v>
      </c>
      <c r="G61" s="2" t="str">
        <f>IFERROR(INDEX(Movimientos!$L$2:$L$1993,MATCH(A61&amp;"ENTRADA",Movimientos!$R$2:$R$1993,0)),"-")</f>
        <v>bolsa</v>
      </c>
      <c r="H61" s="17" t="str">
        <f>IFERROR(IF(INDEX(Movimientos!$M$2:$M$1993,MATCH(A61&amp;"ENTRADA",Movimientos!$R$2:$R$1993,0))=0,"S/D",INDEX(Movimientos!$M$2:$M$1993,MATCH(A61&amp;"ENTRADA",Movimientos!$R$2:$R$1993,0))),"S/D")</f>
        <v>S/D</v>
      </c>
      <c r="I61" s="15" t="str">
        <f t="shared" ca="1" si="2"/>
        <v>S/D</v>
      </c>
      <c r="J61" s="5">
        <f>IF(A61="","",SUMIFS(Movimientos!$K:$K,Movimientos!$H:$H,A61))</f>
        <v>380</v>
      </c>
      <c r="K61" s="13" t="str">
        <f t="shared" ca="1" si="1"/>
        <v>OK</v>
      </c>
    </row>
    <row r="62" spans="1:11" ht="14.25">
      <c r="A62" t="s">
        <v>589</v>
      </c>
      <c r="B62" s="2" t="str">
        <f>IFERROR(INDEX(Movimientos!$C$2:$C$1993,MATCH(A62&amp;"ENTRADA",Movimientos!$R$2:$R$1993,0)),"-")</f>
        <v>Acrecio</v>
      </c>
      <c r="C62" s="2" t="str">
        <f>IFERROR(INDEX(Movimientos!$D$2:$D$1993,MATCH(A62&amp;"ENTRADA",Movimientos!$R$2:$R$1993,0)),"-")</f>
        <v>Ácidos Húmicos / L-Triptofano puro / L- Metionina pura / Acreciactiv</v>
      </c>
      <c r="D62" s="2" t="str">
        <f>IFERROR(INDEX(Movimientos!$E$2:$E$1993,MATCH(A62&amp;"ENTRADA",Movimientos!$R$2:$R$1993,0)),"-")</f>
        <v xml:space="preserve">Bioestimulante </v>
      </c>
      <c r="E62" s="2">
        <f>IFERROR(INDEX(Movimientos!$F$2:$F$1993,MATCH(A62&amp;"ENTRADA",Movimientos!$R$2:$R$1993,0)),"-")</f>
        <v>0</v>
      </c>
      <c r="F62" s="2" t="str">
        <f>IFERROR(INDEX(Movimientos!$G$2:$G$1993,MATCH(A62&amp;"ENTRADA",Movimientos!$R$2:$R$1993,0)),"-")</f>
        <v>Agroterra</v>
      </c>
      <c r="G62" s="2" t="str">
        <f>IFERROR(INDEX(Movimientos!$L$2:$L$1993,MATCH(A62&amp;"ENTRADA",Movimientos!$R$2:$R$1993,0)),"-")</f>
        <v>L</v>
      </c>
      <c r="H62" s="17">
        <f>IFERROR(IF(INDEX(Movimientos!$M$2:$M$1993,MATCH(A62&amp;"ENTRADA",Movimientos!$R$2:$R$1993,0))=0,"S/D",INDEX(Movimientos!$M$2:$M$1993,MATCH(A62&amp;"ENTRADA",Movimientos!$R$2:$R$1993,0))),"S/D")</f>
        <v>47119</v>
      </c>
      <c r="I62" s="15">
        <f t="shared" ca="1" si="2"/>
        <v>810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618</v>
      </c>
      <c r="B63" s="2" t="str">
        <f>IFERROR(INDEX(Movimientos!$C$2:$C$1993,MATCH(A63&amp;"ENTRADA",Movimientos!$R$2:$R$1993,0)),"-")</f>
        <v xml:space="preserve">Bioavanza plus </v>
      </c>
      <c r="C63" s="2">
        <f>IFERROR(INDEX(Movimientos!$D$2:$D$1993,MATCH(A63&amp;"ENTRADA",Movimientos!$R$2:$R$1993,0)),"-")</f>
        <v>0</v>
      </c>
      <c r="D63" s="2">
        <f>IFERROR(INDEX(Movimientos!$E$2:$E$1993,MATCH(A63&amp;"ENTRADA",Movimientos!$R$2:$R$1993,0)),"-")</f>
        <v>0</v>
      </c>
      <c r="E63" s="2">
        <f>IFERROR(INDEX(Movimientos!$F$2:$F$1993,MATCH(A63&amp;"ENTRADA",Movimientos!$R$2:$R$1993,0)),"-")</f>
        <v>0</v>
      </c>
      <c r="F63" s="2" t="str">
        <f>IFERROR(INDEX(Movimientos!$G$2:$G$1993,MATCH(A63&amp;"ENTRADA",Movimientos!$R$2:$R$1993,0)),"-")</f>
        <v>Agroterra</v>
      </c>
      <c r="G63" s="2" t="str">
        <f>IFERROR(INDEX(Movimientos!$L$2:$L$1993,MATCH(A63&amp;"ENTRADA",Movimientos!$R$2:$R$1993,0)),"-")</f>
        <v>L</v>
      </c>
      <c r="H63" s="17">
        <f>IFERROR(IF(INDEX(Movimientos!$M$2:$M$1993,MATCH(A63&amp;"ENTRADA",Movimientos!$R$2:$R$1993,0))=0,"S/D",INDEX(Movimientos!$M$2:$M$1993,MATCH(A63&amp;"ENTRADA",Movimientos!$R$2:$R$1993,0))),"S/D")</f>
        <v>47146</v>
      </c>
      <c r="I63" s="15">
        <f t="shared" ca="1" si="2"/>
        <v>837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938</v>
      </c>
      <c r="B64" s="2" t="str">
        <f>IFERROR(INDEX(Movimientos!$C$2:$C$1993,MATCH(A64&amp;"ENTRADA",Movimientos!$R$2:$R$1993,0)),"-")</f>
        <v>Pardo</v>
      </c>
      <c r="C64" s="2" t="str">
        <f>IFERROR(INDEX(Movimientos!$D$2:$D$1993,MATCH(A64&amp;"ENTRADA",Movimientos!$R$2:$R$1993,0)),"-")</f>
        <v>Clethodim 240 g/L</v>
      </c>
      <c r="D64" s="2" t="str">
        <f>IFERROR(INDEX(Movimientos!$E$2:$E$1993,MATCH(A64&amp;"ENTRADA",Movimientos!$R$2:$R$1993,0)),"-")</f>
        <v>Herbicida</v>
      </c>
      <c r="E64" s="2" t="str">
        <f>IFERROR(INDEX(Movimientos!$F$2:$F$1993,MATCH(A64&amp;"ENTRADA",Movimientos!$R$2:$R$1993,0)),"-")</f>
        <v>Postemergente</v>
      </c>
      <c r="F64" s="2" t="str">
        <f>IFERROR(INDEX(Movimientos!$G$2:$G$1993,MATCH(A64&amp;"ENTRADA",Movimientos!$R$2:$R$1993,0)),"-")</f>
        <v>Proquimur</v>
      </c>
      <c r="G64" s="2" t="str">
        <f>IFERROR(INDEX(Movimientos!$L$2:$L$1993,MATCH(A64&amp;"ENTRADA",Movimientos!$R$2:$R$1993,0)),"-")</f>
        <v>L</v>
      </c>
      <c r="H64" s="17">
        <f>IFERROR(IF(INDEX(Movimientos!$M$2:$M$1993,MATCH(A64&amp;"ENTRADA",Movimientos!$R$2:$R$1993,0))=0,"S/D",INDEX(Movimientos!$M$2:$M$1993,MATCH(A64&amp;"ENTRADA",Movimientos!$R$2:$R$1993,0))),"S/D")</f>
        <v>46813</v>
      </c>
      <c r="I64" s="15">
        <f t="shared" ca="1" si="2"/>
        <v>504</v>
      </c>
      <c r="J64" s="5">
        <f>IF(A64="","",SUMIFS(Movimientos!$K:$K,Movimientos!$H:$H,A64))</f>
        <v>1320</v>
      </c>
      <c r="K64" s="13" t="str">
        <f t="shared" ca="1" si="3"/>
        <v>OK</v>
      </c>
    </row>
    <row r="65" spans="1:11" ht="14.25">
      <c r="A65" t="s">
        <v>668</v>
      </c>
      <c r="B65" s="2" t="str">
        <f>IFERROR(INDEX(Movimientos!$C$2:$C$1993,MATCH(A65&amp;"ENTRADA",Movimientos!$R$2:$R$1993,0)),"-")</f>
        <v>Azuka</v>
      </c>
      <c r="C65" s="2" t="str">
        <f>IFERROR(INDEX(Movimientos!$D$2:$D$1993,MATCH(A65&amp;"ENTRADA",Movimientos!$R$2:$R$1993,0)),"-")</f>
        <v>Glifosato Sal DMA 608 g/L. Equivalente en glifosato 480 g/L</v>
      </c>
      <c r="D65" s="2" t="str">
        <f>IFERROR(INDEX(Movimientos!$E$2:$E$1993,MATCH(A65&amp;"ENTRADA",Movimientos!$R$2:$R$1993,0)),"-")</f>
        <v>Herbicida</v>
      </c>
      <c r="E65" s="2" t="str">
        <f>IFERROR(INDEX(Movimientos!$F$2:$F$1993,MATCH(A65&amp;"ENTRADA",Movimientos!$R$2:$R$1993,0)),"-")</f>
        <v>Postemergente</v>
      </c>
      <c r="F65" s="2" t="str">
        <f>IFERROR(INDEX(Movimientos!$G$2:$G$1993,MATCH(A65&amp;"ENTRADA",Movimientos!$R$2:$R$1993,0)),"-")</f>
        <v>Proquimur</v>
      </c>
      <c r="G65" s="2" t="str">
        <f>IFERROR(INDEX(Movimientos!$L$2:$L$1993,MATCH(A65&amp;"ENTRADA",Movimientos!$R$2:$R$1993,0)),"-")</f>
        <v>L</v>
      </c>
      <c r="H65" s="17">
        <f>IFERROR(IF(INDEX(Movimientos!$M$2:$M$1993,MATCH(A65&amp;"ENTRADA",Movimientos!$R$2:$R$1993,0))=0,"S/D",INDEX(Movimientos!$M$2:$M$1993,MATCH(A65&amp;"ENTRADA",Movimientos!$R$2:$R$1993,0))),"S/D")</f>
        <v>46863</v>
      </c>
      <c r="I65" s="15">
        <f t="shared" ca="1" si="2"/>
        <v>554</v>
      </c>
      <c r="J65" s="5">
        <f>IF(A65="","",SUMIFS(Movimientos!$K:$K,Movimientos!$H:$H,A65))</f>
        <v>-1620</v>
      </c>
      <c r="K65" s="13" t="str">
        <f t="shared" ca="1" si="3"/>
        <v>SIN STOCK</v>
      </c>
    </row>
    <row r="66" spans="1:11" ht="14.25">
      <c r="A66" t="s">
        <v>659</v>
      </c>
      <c r="B66" s="2" t="str">
        <f>IFERROR(INDEX(Movimientos!$C$2:$C$1993,MATCH(A66&amp;"ENTRADA",Movimientos!$R$2:$R$1993,0)),"-")</f>
        <v xml:space="preserve">Harrier Drone </v>
      </c>
      <c r="C66" s="2" t="str">
        <f>IFERROR(INDEX(Movimientos!$D$2:$D$1993,MATCH(A66&amp;"ENTRADA",Movimientos!$R$2:$R$1993,0)),"-")</f>
        <v>alcohol láurico etixolado 32.7 %</v>
      </c>
      <c r="D66" s="2" t="str">
        <f>IFERROR(INDEX(Movimientos!$E$2:$E$1993,MATCH(A66&amp;"ENTRADA",Movimientos!$R$2:$R$1993,0)),"-")</f>
        <v>Coadyuvante</v>
      </c>
      <c r="E66" s="2">
        <f>IFERROR(INDEX(Movimientos!$F$2:$F$1993,MATCH(A66&amp;"ENTRADA",Movimientos!$R$2:$R$1993,0)),"-")</f>
        <v>0</v>
      </c>
      <c r="F66" s="2" t="str">
        <f>IFERROR(INDEX(Movimientos!$G$2:$G$1993,MATCH(A66&amp;"ENTRADA",Movimientos!$R$2:$R$1993,0)),"-")</f>
        <v>Don asdrual</v>
      </c>
      <c r="G66" s="2" t="str">
        <f>IFERROR(INDEX(Movimientos!$L$2:$L$1993,MATCH(A66&amp;"ENTRADA",Movimientos!$R$2:$R$1993,0)),"-")</f>
        <v>L</v>
      </c>
      <c r="H66" s="17" t="str">
        <f>IFERROR(IF(INDEX(Movimientos!$M$2:$M$1993,MATCH(A66&amp;"ENTRADA",Movimientos!$R$2:$R$1993,0))=0,"S/D",INDEX(Movimientos!$M$2:$M$1993,MATCH(A66&amp;"ENTRADA",Movimientos!$R$2:$R$1993,0))),"S/D")</f>
        <v>S/D</v>
      </c>
      <c r="I66" s="15" t="str">
        <f t="shared" ca="1" si="2"/>
        <v>S/D</v>
      </c>
      <c r="J66" s="5">
        <f>IF(A66="","",SUMIFS(Movimientos!$K:$K,Movimientos!$H:$H,A66))</f>
        <v>525</v>
      </c>
      <c r="K66" s="13" t="str">
        <f t="shared" ca="1" si="3"/>
        <v>OK</v>
      </c>
    </row>
    <row r="67" spans="1:11" ht="14.25">
      <c r="A67" t="s">
        <v>664</v>
      </c>
      <c r="B67" s="2" t="str">
        <f>IFERROR(INDEX(Movimientos!$C$2:$C$1993,MATCH(A67&amp;"ENTRADA",Movimientos!$R$2:$R$1993,0)),"-")</f>
        <v>Unico Max</v>
      </c>
      <c r="C67" s="2" t="str">
        <f>IFERROR(INDEX(Movimientos!$D$2:$D$1993,MATCH(A67&amp;"ENTRADA",Movimientos!$R$2:$R$1993,0)),"-")</f>
        <v>(Protioconazol 175 g/L + Piraclostrobin 142 g/L + Bixafen 125 g/L – SC)</v>
      </c>
      <c r="D67" s="2" t="str">
        <f>IFERROR(INDEX(Movimientos!$E$2:$E$1993,MATCH(A67&amp;"ENTRADA",Movimientos!$R$2:$R$1993,0)),"-")</f>
        <v>Fungicida</v>
      </c>
      <c r="E67" s="2">
        <f>IFERROR(INDEX(Movimientos!$F$2:$F$1993,MATCH(A67&amp;"ENTRADA",Movimientos!$R$2:$R$1993,0)),"-")</f>
        <v>0</v>
      </c>
      <c r="F67" s="2" t="str">
        <f>IFERROR(INDEX(Movimientos!$G$2:$G$1993,MATCH(A67&amp;"ENTRADA",Movimientos!$R$2:$R$1993,0)),"-")</f>
        <v>Proquimur</v>
      </c>
      <c r="G67" s="2" t="str">
        <f>IFERROR(INDEX(Movimientos!$L$2:$L$1993,MATCH(A67&amp;"ENTRADA",Movimientos!$R$2:$R$1993,0)),"-")</f>
        <v>L</v>
      </c>
      <c r="H67" s="17" t="str">
        <f>IFERROR(IF(INDEX(Movimientos!$M$2:$M$1993,MATCH(A67&amp;"ENTRADA",Movimientos!$R$2:$R$1993,0))=0,"S/D",INDEX(Movimientos!$M$2:$M$1993,MATCH(A67&amp;"ENTRADA",Movimientos!$R$2:$R$1993,0))),"S/D")</f>
        <v>S/D</v>
      </c>
      <c r="I67" s="15" t="str">
        <f t="shared" ca="1" si="2"/>
        <v>S/D</v>
      </c>
      <c r="J67" s="5">
        <f>IF(A67="","",SUMIFS(Movimientos!$K:$K,Movimientos!$H:$H,A67))</f>
        <v>510</v>
      </c>
      <c r="K67" s="13" t="str">
        <f t="shared" ca="1" si="3"/>
        <v>OK</v>
      </c>
    </row>
    <row r="68" spans="1:11" ht="14.25">
      <c r="A68" t="s">
        <v>836</v>
      </c>
      <c r="B68" s="2" t="str">
        <f>IFERROR(INDEX(Movimientos!$C$2:$C$1993,MATCH(A68&amp;"ENTRADA",Movimientos!$R$2:$R$1993,0)),"-")</f>
        <v>Hydra Hume</v>
      </c>
      <c r="C68" s="2" t="str">
        <f>IFERROR(INDEX(Movimientos!$D$2:$D$1993,MATCH(A68&amp;"ENTRADA",Movimientos!$R$2:$R$1993,0)),"-")</f>
        <v xml:space="preserve">Hydra hume </v>
      </c>
      <c r="D68" s="2" t="str">
        <f>IFERROR(INDEX(Movimientos!$E$2:$E$1993,MATCH(A68&amp;"ENTRADA",Movimientos!$R$2:$R$1993,0)),"-")</f>
        <v>Biológico</v>
      </c>
      <c r="E68" s="2" t="str">
        <f>IFERROR(INDEX(Movimientos!$F$2:$F$1993,MATCH(A68&amp;"ENTRADA",Movimientos!$R$2:$R$1993,0)),"-")</f>
        <v>Acidos Humicos</v>
      </c>
      <c r="F68" s="2" t="str">
        <f>IFERROR(INDEX(Movimientos!$G$2:$G$1993,MATCH(A68&amp;"ENTRADA",Movimientos!$R$2:$R$1993,0)),"-")</f>
        <v>Granicor</v>
      </c>
      <c r="G68" s="2" t="str">
        <f>IFERROR(INDEX(Movimientos!$L$2:$L$1993,MATCH(A68&amp;"ENTRADA",Movimientos!$R$2:$R$1993,0)),"-")</f>
        <v>L</v>
      </c>
      <c r="H68" s="17" t="str">
        <f>IFERROR(IF(INDEX(Movimientos!$M$2:$M$1993,MATCH(A68&amp;"ENTRADA",Movimientos!$R$2:$R$1993,0))=0,"S/D",INDEX(Movimientos!$M$2:$M$1993,MATCH(A68&amp;"ENTRADA",Movimientos!$R$2:$R$1993,0))),"S/D")</f>
        <v>S/D</v>
      </c>
      <c r="I68" s="15" t="str">
        <f t="shared" ca="1" si="2"/>
        <v>S/D</v>
      </c>
      <c r="J68" s="5">
        <f>IF(A68="","",SUMIFS(Movimientos!$K:$K,Movimientos!$H:$H,A68))</f>
        <v>21480</v>
      </c>
      <c r="K68" s="13" t="str">
        <f t="shared" ca="1" si="3"/>
        <v>OK</v>
      </c>
    </row>
    <row r="69" spans="1:11">
      <c r="A69" s="16" t="s">
        <v>810</v>
      </c>
      <c r="B69" s="2" t="str">
        <f>IFERROR(INDEX(Movimientos!$C$2:$C$1993,MATCH(A69&amp;"ENTRADA",Movimientos!$R$2:$R$1993,0)),"-")</f>
        <v>semilla comprada maiz illinois 2773</v>
      </c>
      <c r="C69" s="2" t="str">
        <f>IFERROR(INDEX(Movimientos!$D$2:$D$1993,MATCH(A69&amp;"ENTRADA",Movimientos!$R$2:$R$1993,0)),"-")</f>
        <v xml:space="preserve">sem maiz illinois 2773 trecepta Maiz 1era </v>
      </c>
      <c r="D69" s="2" t="str">
        <f>IFERROR(INDEX(Movimientos!$E$2:$E$1993,MATCH(A69&amp;"ENTRADA",Movimientos!$R$2:$R$1993,0)),"-")</f>
        <v>Semilla</v>
      </c>
      <c r="E69" s="2" t="str">
        <f>IFERROR(INDEX(Movimientos!$F$2:$F$1993,MATCH(A69&amp;"ENTRADA",Movimientos!$R$2:$R$1993,0)),"-")</f>
        <v>Maíz</v>
      </c>
      <c r="F69" s="2" t="str">
        <f>IFERROR(INDEX(Movimientos!$G$2:$G$1993,MATCH(A69&amp;"ENTRADA",Movimientos!$R$2:$R$1993,0)),"-")</f>
        <v>ERRO</v>
      </c>
      <c r="G69" s="2" t="str">
        <f>IFERROR(INDEX(Movimientos!$L$2:$L$1993,MATCH(A69&amp;"ENTRADA",Movimientos!$R$2:$R$1993,0)),"-")</f>
        <v>bolsa</v>
      </c>
      <c r="H69" s="17" t="str">
        <f>IFERROR(IF(INDEX(Movimientos!$M$2:$M$1993,MATCH(A69&amp;"ENTRADA",Movimientos!$R$2:$R$1993,0))=0,"S/D",INDEX(Movimientos!$M$2:$M$1993,MATCH(A69&amp;"ENTRADA",Movimientos!$R$2:$R$1993,0))),"S/D")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806</v>
      </c>
      <c r="B70" s="2" t="str">
        <f>IFERROR(INDEX(Movimientos!$C$2:$C$1993,MATCH(A70&amp;"ENTRADA",Movimientos!$R$2:$R$1993,0)),"-")</f>
        <v xml:space="preserve">semilla comprada maiz illinois 7.24 </v>
      </c>
      <c r="C70" s="2" t="str">
        <f>IFERROR(INDEX(Movimientos!$D$2:$D$1993,MATCH(A70&amp;"ENTRADA",Movimientos!$R$2:$R$1993,0)),"-")</f>
        <v>sem maiz illinois 7.24 trecepta Maiz 1era</v>
      </c>
      <c r="D70" s="2" t="str">
        <f>IFERROR(INDEX(Movimientos!$E$2:$E$1993,MATCH(A70&amp;"ENTRADA",Movimientos!$R$2:$R$1993,0)),"-")</f>
        <v>Semilla</v>
      </c>
      <c r="E70" s="2" t="str">
        <f>IFERROR(INDEX(Movimientos!$F$2:$F$1993,MATCH(A70&amp;"ENTRADA",Movimientos!$R$2:$R$1993,0)),"-")</f>
        <v>Maíz</v>
      </c>
      <c r="F70" s="2" t="str">
        <f>IFERROR(INDEX(Movimientos!$G$2:$G$1993,MATCH(A70&amp;"ENTRADA",Movimientos!$R$2:$R$1993,0)),"-")</f>
        <v>ERRO</v>
      </c>
      <c r="G70" s="2" t="str">
        <f>IFERROR(INDEX(Movimientos!$L$2:$L$1993,MATCH(A70&amp;"ENTRADA",Movimientos!$R$2:$R$1993,0)),"-")</f>
        <v>bolsa</v>
      </c>
      <c r="H70" s="17" t="str">
        <f>IFERROR(IF(INDEX(Movimientos!$M$2:$M$1993,MATCH(A70&amp;"ENTRADA",Movimientos!$R$2:$R$1993,0))=0,"S/D",INDEX(Movimientos!$M$2:$M$1993,MATCH(A70&amp;"ENTRADA",Movimientos!$R$2:$R$1993,0))),"S/D")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808</v>
      </c>
      <c r="B71" s="2" t="str">
        <f>IFERROR(INDEX(Movimientos!$C$2:$C$1993,MATCH(A71&amp;"ENTRADA",Movimientos!$R$2:$R$1993,0)),"-")</f>
        <v xml:space="preserve">refugio semilla maiz illinois </v>
      </c>
      <c r="C71" s="2" t="str">
        <f>IFERROR(INDEX(Movimientos!$D$2:$D$1993,MATCH(A71&amp;"ENTRADA",Movimientos!$R$2:$R$1993,0)),"-")</f>
        <v>refugio semi maiz illinoiz b2 z</v>
      </c>
      <c r="D71" s="2" t="str">
        <f>IFERROR(INDEX(Movimientos!$E$2:$E$1993,MATCH(A71&amp;"ENTRADA",Movimientos!$R$2:$R$1993,0)),"-")</f>
        <v>Semilla</v>
      </c>
      <c r="E71" s="2" t="str">
        <f>IFERROR(INDEX(Movimientos!$F$2:$F$1993,MATCH(A71&amp;"ENTRADA",Movimientos!$R$2:$R$1993,0)),"-")</f>
        <v>Maíz</v>
      </c>
      <c r="F71" s="2" t="str">
        <f>IFERROR(INDEX(Movimientos!$G$2:$G$1993,MATCH(A71&amp;"ENTRADA",Movimientos!$R$2:$R$1993,0)),"-")</f>
        <v>ERRO</v>
      </c>
      <c r="G71" s="2" t="str">
        <f>IFERROR(INDEX(Movimientos!$L$2:$L$1993,MATCH(A71&amp;"ENTRADA",Movimientos!$R$2:$R$1993,0)),"-")</f>
        <v>bolsa</v>
      </c>
      <c r="H71" s="17" t="str">
        <f>IFERROR(IF(INDEX(Movimientos!$M$2:$M$1993,MATCH(A71&amp;"ENTRADA",Movimientos!$R$2:$R$1993,0))=0,"S/D",INDEX(Movimientos!$M$2:$M$1993,MATCH(A71&amp;"ENTRADA",Movimientos!$R$2:$R$1993,0))),"S/D")</f>
        <v>S/D</v>
      </c>
      <c r="I71" s="15" t="str">
        <f t="shared" ca="1" si="4"/>
        <v>S/D</v>
      </c>
      <c r="J71" s="5">
        <f>IF(A71="","",SUMIFS(Movimientos!$K:$K,Movimientos!$H:$H,A71))</f>
        <v>13</v>
      </c>
      <c r="K71" s="13" t="str">
        <f t="shared" ca="1" si="3"/>
        <v>OK</v>
      </c>
    </row>
    <row r="72" spans="1:11">
      <c r="A72" s="16" t="s">
        <v>2380</v>
      </c>
      <c r="B72" s="2" t="str">
        <f>IFERROR(INDEX(Movimientos!$C$2:$C$1993,MATCH(A72&amp;"ENTRADA",Movimientos!$R$2:$R$1993,0)),"-")</f>
        <v>semilla maiz NK842</v>
      </c>
      <c r="C72" s="2" t="str">
        <f>IFERROR(INDEX(Movimientos!$D$2:$D$1993,MATCH(A72&amp;"ENTRADA",Movimientos!$R$2:$R$1993,0)),"-")</f>
        <v xml:space="preserve">semilla maiz nk 842 viptera Maiz 1era </v>
      </c>
      <c r="D72" s="2" t="str">
        <f>IFERROR(INDEX(Movimientos!$E$2:$E$1993,MATCH(A72&amp;"ENTRADA",Movimientos!$R$2:$R$1993,0)),"-")</f>
        <v>Semilla</v>
      </c>
      <c r="E72" s="2" t="str">
        <f>IFERROR(INDEX(Movimientos!$F$2:$F$1993,MATCH(A72&amp;"ENTRADA",Movimientos!$R$2:$R$1993,0)),"-")</f>
        <v>Maíz</v>
      </c>
      <c r="F72" s="2" t="str">
        <f>IFERROR(INDEX(Movimientos!$G$2:$G$1993,MATCH(A72&amp;"ENTRADA",Movimientos!$R$2:$R$1993,0)),"-")</f>
        <v xml:space="preserve">Biosfer </v>
      </c>
      <c r="G72" s="2" t="str">
        <f>IFERROR(INDEX(Movimientos!$L$2:$L$1993,MATCH(A72&amp;"ENTRADA",Movimientos!$R$2:$R$1993,0)),"-")</f>
        <v>bolsa</v>
      </c>
      <c r="H72" s="17" t="str">
        <f>IFERROR(IF(INDEX(Movimientos!$M$2:$M$1993,MATCH(A72&amp;"ENTRADA",Movimientos!$R$2:$R$1993,0))=0,"S/D",INDEX(Movimientos!$M$2:$M$1993,MATCH(A72&amp;"ENTRADA",Movimientos!$R$2:$R$1993,0))),"S/D")</f>
        <v>S/D</v>
      </c>
      <c r="I72" s="15" t="str">
        <f t="shared" ca="1" si="4"/>
        <v>S/D</v>
      </c>
      <c r="J72" s="5">
        <f>IF(A72="","",SUMIFS(Movimientos!$K:$K,Movimientos!$H:$H,A72))</f>
        <v>446</v>
      </c>
      <c r="K72" s="13" t="str">
        <f t="shared" ca="1" si="3"/>
        <v>OK</v>
      </c>
    </row>
    <row r="73" spans="1:11">
      <c r="A73" s="16" t="s">
        <v>854</v>
      </c>
      <c r="B73" s="2" t="str">
        <f>IFERROR(INDEX(Movimientos!$C$2:$C$1993,MATCH(A73&amp;"ENTRADA",Movimientos!$R$2:$R$1993,0)),"-")</f>
        <v>Acuron uno</v>
      </c>
      <c r="C73" s="2" t="str">
        <f>IFERROR(INDEX(Movimientos!$D$2:$D$1993,MATCH(A73&amp;"ENTRADA",Movimientos!$R$2:$R$1993,0)),"-")</f>
        <v>Biciclopirona</v>
      </c>
      <c r="D73" s="2" t="str">
        <f>IFERROR(INDEX(Movimientos!$E$2:$E$1993,MATCH(A73&amp;"ENTRADA",Movimientos!$R$2:$R$1993,0)),"-")</f>
        <v>Herbicida</v>
      </c>
      <c r="E73" s="2" t="str">
        <f>IFERROR(INDEX(Movimientos!$F$2:$F$1993,MATCH(A73&amp;"ENTRADA",Movimientos!$R$2:$R$1993,0)),"-")</f>
        <v>Preemergente</v>
      </c>
      <c r="F73" s="2" t="str">
        <f>IFERROR(INDEX(Movimientos!$G$2:$G$1993,MATCH(A73&amp;"ENTRADA",Movimientos!$R$2:$R$1993,0)),"-")</f>
        <v>Maccio</v>
      </c>
      <c r="G73" s="2" t="str">
        <f>IFERROR(INDEX(Movimientos!$L$2:$L$1993,MATCH(A73&amp;"ENTRADA",Movimientos!$R$2:$R$1993,0)),"-")</f>
        <v>L</v>
      </c>
      <c r="H73" s="17">
        <f>IFERROR(IF(INDEX(Movimientos!$M$2:$M$1993,MATCH(A73&amp;"ENTRADA",Movimientos!$R$2:$R$1993,0))=0,"S/D",INDEX(Movimientos!$M$2:$M$1993,MATCH(A73&amp;"ENTRADA",Movimientos!$R$2:$R$1993,0))),"S/D")</f>
        <v>46865</v>
      </c>
      <c r="I73" s="15">
        <f t="shared" ca="1" si="4"/>
        <v>556</v>
      </c>
      <c r="J73" s="5">
        <f>IF(A73="","",SUMIFS(Movimientos!$K:$K,Movimientos!$H:$H,A73))</f>
        <v>1500</v>
      </c>
      <c r="K73" s="13" t="str">
        <f t="shared" ca="1" si="3"/>
        <v>OK</v>
      </c>
    </row>
    <row r="74" spans="1:11">
      <c r="A74" s="16" t="s">
        <v>120</v>
      </c>
      <c r="B74" s="2" t="str">
        <f>IFERROR(INDEX(Movimientos!$C$2:$C$1993,MATCH(A74&amp;"ENTRADA",Movimientos!$R$2:$R$1993,0)),"-")</f>
        <v>Azuka</v>
      </c>
      <c r="C74" s="2" t="str">
        <f>IFERROR(INDEX(Movimientos!$D$2:$D$1993,MATCH(A74&amp;"ENTRADA",Movimientos!$R$2:$R$1993,0)),"-")</f>
        <v>Glifosato Sal DMA 608 g/L. Equivalente en glifosato 480 g/L</v>
      </c>
      <c r="D74" s="2" t="str">
        <f>IFERROR(INDEX(Movimientos!$E$2:$E$1993,MATCH(A74&amp;"ENTRADA",Movimientos!$R$2:$R$1993,0)),"-")</f>
        <v>Herbicida</v>
      </c>
      <c r="E74" s="2" t="str">
        <f>IFERROR(INDEX(Movimientos!$F$2:$F$1993,MATCH(A74&amp;"ENTRADA",Movimientos!$R$2:$R$1993,0)),"-")</f>
        <v>Postemergente</v>
      </c>
      <c r="F74" s="2" t="str">
        <f>IFERROR(INDEX(Movimientos!$G$2:$G$1993,MATCH(A74&amp;"ENTRADA",Movimientos!$R$2:$R$1993,0)),"-")</f>
        <v>Proquimur</v>
      </c>
      <c r="G74" s="2" t="str">
        <f>IFERROR(INDEX(Movimientos!$L$2:$L$1993,MATCH(A74&amp;"ENTRADA",Movimientos!$R$2:$R$1993,0)),"-")</f>
        <v>L</v>
      </c>
      <c r="H74" s="17">
        <f>IFERROR(IF(INDEX(Movimientos!$M$2:$M$1993,MATCH(A74&amp;"ENTRADA",Movimientos!$R$2:$R$1993,0))=0,"S/D",INDEX(Movimientos!$M$2:$M$1993,MATCH(A74&amp;"ENTRADA",Movimientos!$R$2:$R$1993,0))),"S/D")</f>
        <v>46692</v>
      </c>
      <c r="I74" s="15">
        <f t="shared" ca="1" si="4"/>
        <v>383</v>
      </c>
      <c r="J74" s="5">
        <f>IF(A74="","",SUMIFS(Movimientos!$K:$K,Movimientos!$H:$H,A74))</f>
        <v>27740</v>
      </c>
      <c r="K74" s="13" t="str">
        <f t="shared" ca="1" si="3"/>
        <v>OK</v>
      </c>
    </row>
    <row r="75" spans="1:11">
      <c r="A75" s="16" t="s">
        <v>2381</v>
      </c>
      <c r="B75" s="2" t="str">
        <f>IFERROR(INDEX(Movimientos!$C$2:$C$1993,MATCH(A75&amp;"ENTRADA",Movimientos!$R$2:$R$1993,0)),"-")</f>
        <v>-</v>
      </c>
      <c r="C75" s="2" t="str">
        <f>IFERROR(INDEX(Movimientos!$D$2:$D$1993,MATCH(A75&amp;"ENTRADA",Movimientos!$R$2:$R$1993,0)),"-")</f>
        <v>-</v>
      </c>
      <c r="D75" s="2" t="str">
        <f>IFERROR(INDEX(Movimientos!$E$2:$E$1993,MATCH(A75&amp;"ENTRADA",Movimientos!$R$2:$R$1993,0)),"-")</f>
        <v>-</v>
      </c>
      <c r="E75" s="2" t="str">
        <f>IFERROR(INDEX(Movimientos!$F$2:$F$1993,MATCH(A75&amp;"ENTRADA",Movimientos!$R$2:$R$1993,0)),"-")</f>
        <v>-</v>
      </c>
      <c r="F75" s="2" t="str">
        <f>IFERROR(INDEX(Movimientos!$G$2:$G$1993,MATCH(A75&amp;"ENTRADA",Movimientos!$R$2:$R$1993,0)),"-")</f>
        <v>-</v>
      </c>
      <c r="G75" s="2" t="str">
        <f>IFERROR(INDEX(Movimientos!$L$2:$L$1993,MATCH(A75&amp;"ENTRADA",Movimientos!$R$2:$R$1993,0)),"-")</f>
        <v>-</v>
      </c>
      <c r="H75" s="17" t="str">
        <f>IFERROR(IF(INDEX(Movimientos!$M$2:$M$1993,MATCH(A75&amp;"ENTRADA",Movimientos!$R$2:$R$1993,0))=0,"S/D",INDEX(Movimientos!$M$2:$M$1993,MATCH(A75&amp;"ENTRADA",Movimientos!$R$2:$R$1993,0))),"S/D")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2382</v>
      </c>
      <c r="B76" s="2" t="str">
        <f>IFERROR(INDEX(Movimientos!$C$2:$C$1993,MATCH(A76&amp;"ENTRADA",Movimientos!$R$2:$R$1993,0)),"-")</f>
        <v>-</v>
      </c>
      <c r="C76" s="2" t="str">
        <f>IFERROR(INDEX(Movimientos!$D$2:$D$1993,MATCH(A76&amp;"ENTRADA",Movimientos!$R$2:$R$1993,0)),"-")</f>
        <v>-</v>
      </c>
      <c r="D76" s="2" t="str">
        <f>IFERROR(INDEX(Movimientos!$E$2:$E$1993,MATCH(A76&amp;"ENTRADA",Movimientos!$R$2:$R$1993,0)),"-")</f>
        <v>-</v>
      </c>
      <c r="E76" s="2" t="str">
        <f>IFERROR(INDEX(Movimientos!$F$2:$F$1993,MATCH(A76&amp;"ENTRADA",Movimientos!$R$2:$R$1993,0)),"-")</f>
        <v>-</v>
      </c>
      <c r="F76" s="2" t="str">
        <f>IFERROR(INDEX(Movimientos!$G$2:$G$1993,MATCH(A76&amp;"ENTRADA",Movimientos!$R$2:$R$1993,0)),"-")</f>
        <v>-</v>
      </c>
      <c r="G76" s="2" t="str">
        <f>IFERROR(INDEX(Movimientos!$L$2:$L$1993,MATCH(A76&amp;"ENTRADA",Movimientos!$R$2:$R$1993,0)),"-")</f>
        <v>-</v>
      </c>
      <c r="H76" s="17" t="str">
        <f>IFERROR(IF(INDEX(Movimientos!$M$2:$M$1993,MATCH(A76&amp;"ENTRADA",Movimientos!$R$2:$R$1993,0))=0,"S/D",INDEX(Movimientos!$M$2:$M$1993,MATCH(A76&amp;"ENTRADA",Movimientos!$R$2:$R$1993,0))),"S/D")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2383</v>
      </c>
      <c r="B77" s="2" t="str">
        <f>IFERROR(INDEX(Movimientos!$C$2:$C$1993,MATCH(A77&amp;"ENTRADA",Movimientos!$R$2:$R$1993,0)),"-")</f>
        <v>-</v>
      </c>
      <c r="C77" s="2" t="str">
        <f>IFERROR(INDEX(Movimientos!$D$2:$D$1993,MATCH(A77&amp;"ENTRADA",Movimientos!$R$2:$R$1993,0)),"-")</f>
        <v>-</v>
      </c>
      <c r="D77" s="2" t="str">
        <f>IFERROR(INDEX(Movimientos!$E$2:$E$1993,MATCH(A77&amp;"ENTRADA",Movimientos!$R$2:$R$1993,0)),"-")</f>
        <v>-</v>
      </c>
      <c r="E77" s="2" t="str">
        <f>IFERROR(INDEX(Movimientos!$F$2:$F$1993,MATCH(A77&amp;"ENTRADA",Movimientos!$R$2:$R$1993,0)),"-")</f>
        <v>-</v>
      </c>
      <c r="F77" s="2" t="str">
        <f>IFERROR(INDEX(Movimientos!$G$2:$G$1993,MATCH(A77&amp;"ENTRADA",Movimientos!$R$2:$R$1993,0)),"-")</f>
        <v>-</v>
      </c>
      <c r="G77" s="2" t="str">
        <f>IFERROR(INDEX(Movimientos!$L$2:$L$1993,MATCH(A77&amp;"ENTRADA",Movimientos!$R$2:$R$1993,0)),"-")</f>
        <v>-</v>
      </c>
      <c r="H77" s="17" t="str">
        <f>IFERROR(IF(INDEX(Movimientos!$M$2:$M$1993,MATCH(A77&amp;"ENTRADA",Movimientos!$R$2:$R$1993,0))=0,"S/D",INDEX(Movimientos!$M$2:$M$1993,MATCH(A77&amp;"ENTRADA",Movimientos!$R$2:$R$1993,0))),"S/D")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2384</v>
      </c>
      <c r="B78" s="2" t="str">
        <f>IFERROR(INDEX(Movimientos!$C$2:$C$1993,MATCH(A78&amp;"ENTRADA",Movimientos!$R$2:$R$1993,0)),"-")</f>
        <v>-</v>
      </c>
      <c r="C78" s="2" t="str">
        <f>IFERROR(INDEX(Movimientos!$D$2:$D$1993,MATCH(A78&amp;"ENTRADA",Movimientos!$R$2:$R$1993,0)),"-")</f>
        <v>-</v>
      </c>
      <c r="D78" s="2" t="str">
        <f>IFERROR(INDEX(Movimientos!$E$2:$E$1993,MATCH(A78&amp;"ENTRADA",Movimientos!$R$2:$R$1993,0)),"-")</f>
        <v>-</v>
      </c>
      <c r="E78" s="2" t="str">
        <f>IFERROR(INDEX(Movimientos!$F$2:$F$1993,MATCH(A78&amp;"ENTRADA",Movimientos!$R$2:$R$1993,0)),"-")</f>
        <v>-</v>
      </c>
      <c r="F78" s="2" t="str">
        <f>IFERROR(INDEX(Movimientos!$G$2:$G$1993,MATCH(A78&amp;"ENTRADA",Movimientos!$R$2:$R$1993,0)),"-")</f>
        <v>-</v>
      </c>
      <c r="G78" s="2" t="str">
        <f>IFERROR(INDEX(Movimientos!$L$2:$L$1993,MATCH(A78&amp;"ENTRADA",Movimientos!$R$2:$R$1993,0)),"-")</f>
        <v>-</v>
      </c>
      <c r="H78" s="17" t="str">
        <f>IFERROR(IF(INDEX(Movimientos!$M$2:$M$1993,MATCH(A78&amp;"ENTRADA",Movimientos!$R$2:$R$1993,0))=0,"S/D",INDEX(Movimientos!$M$2:$M$1993,MATCH(A78&amp;"ENTRADA",Movimientos!$R$2:$R$1993,0))),"S/D")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2385</v>
      </c>
      <c r="B79" s="2" t="str">
        <f>IFERROR(INDEX(Movimientos!$C$2:$C$1993,MATCH(A79&amp;"ENTRADA",Movimientos!$R$2:$R$1993,0)),"-")</f>
        <v>-</v>
      </c>
      <c r="C79" s="2" t="str">
        <f>IFERROR(INDEX(Movimientos!$D$2:$D$1993,MATCH(A79&amp;"ENTRADA",Movimientos!$R$2:$R$1993,0)),"-")</f>
        <v>-</v>
      </c>
      <c r="D79" s="2" t="str">
        <f>IFERROR(INDEX(Movimientos!$E$2:$E$1993,MATCH(A79&amp;"ENTRADA",Movimientos!$R$2:$R$1993,0)),"-")</f>
        <v>-</v>
      </c>
      <c r="E79" s="2" t="str">
        <f>IFERROR(INDEX(Movimientos!$F$2:$F$1993,MATCH(A79&amp;"ENTRADA",Movimientos!$R$2:$R$1993,0)),"-")</f>
        <v>-</v>
      </c>
      <c r="F79" s="2" t="str">
        <f>IFERROR(INDEX(Movimientos!$G$2:$G$1993,MATCH(A79&amp;"ENTRADA",Movimientos!$R$2:$R$1993,0)),"-")</f>
        <v>-</v>
      </c>
      <c r="G79" s="2" t="str">
        <f>IFERROR(INDEX(Movimientos!$L$2:$L$1993,MATCH(A79&amp;"ENTRADA",Movimientos!$R$2:$R$1993,0)),"-")</f>
        <v>-</v>
      </c>
      <c r="H79" s="17" t="str">
        <f>IFERROR(IF(INDEX(Movimientos!$M$2:$M$1993,MATCH(A79&amp;"ENTRADA",Movimientos!$R$2:$R$1993,0))=0,"S/D",INDEX(Movimientos!$M$2:$M$1993,MATCH(A79&amp;"ENTRADA",Movimientos!$R$2:$R$1993,0))),"S/D")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2386</v>
      </c>
      <c r="B80" s="2" t="str">
        <f>IFERROR(INDEX(Movimientos!$C$2:$C$1993,MATCH(A80&amp;"ENTRADA",Movimientos!$R$2:$R$1993,0)),"-")</f>
        <v>-</v>
      </c>
      <c r="C80" s="2" t="str">
        <f>IFERROR(INDEX(Movimientos!$D$2:$D$1993,MATCH(A80&amp;"ENTRADA",Movimientos!$R$2:$R$1993,0)),"-")</f>
        <v>-</v>
      </c>
      <c r="D80" s="2" t="str">
        <f>IFERROR(INDEX(Movimientos!$E$2:$E$1993,MATCH(A80&amp;"ENTRADA",Movimientos!$R$2:$R$1993,0)),"-")</f>
        <v>-</v>
      </c>
      <c r="E80" s="2" t="str">
        <f>IFERROR(INDEX(Movimientos!$F$2:$F$1993,MATCH(A80&amp;"ENTRADA",Movimientos!$R$2:$R$1993,0)),"-")</f>
        <v>-</v>
      </c>
      <c r="F80" s="2" t="str">
        <f>IFERROR(INDEX(Movimientos!$G$2:$G$1993,MATCH(A80&amp;"ENTRADA",Movimientos!$R$2:$R$1993,0)),"-")</f>
        <v>-</v>
      </c>
      <c r="G80" s="2" t="str">
        <f>IFERROR(INDEX(Movimientos!$L$2:$L$1993,MATCH(A80&amp;"ENTRADA",Movimientos!$R$2:$R$1993,0)),"-")</f>
        <v>-</v>
      </c>
      <c r="H80" s="17" t="str">
        <f>IFERROR(IF(INDEX(Movimientos!$M$2:$M$1993,MATCH(A80&amp;"ENTRADA",Movimientos!$R$2:$R$1993,0))=0,"S/D",INDEX(Movimientos!$M$2:$M$1993,MATCH(A80&amp;"ENTRADA",Movimientos!$R$2:$R$1993,0))),"S/D")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2387</v>
      </c>
      <c r="B81" s="2" t="str">
        <f>IFERROR(INDEX(Movimientos!$C$2:$C$1993,MATCH(A81&amp;"ENTRADA",Movimientos!$R$2:$R$1993,0)),"-")</f>
        <v>-</v>
      </c>
      <c r="C81" s="2" t="str">
        <f>IFERROR(INDEX(Movimientos!$D$2:$D$1993,MATCH(A81&amp;"ENTRADA",Movimientos!$R$2:$R$1993,0)),"-")</f>
        <v>-</v>
      </c>
      <c r="D81" s="2" t="str">
        <f>IFERROR(INDEX(Movimientos!$E$2:$E$1993,MATCH(A81&amp;"ENTRADA",Movimientos!$R$2:$R$1993,0)),"-")</f>
        <v>-</v>
      </c>
      <c r="E81" s="2" t="str">
        <f>IFERROR(INDEX(Movimientos!$F$2:$F$1993,MATCH(A81&amp;"ENTRADA",Movimientos!$R$2:$R$1993,0)),"-")</f>
        <v>-</v>
      </c>
      <c r="F81" s="2" t="str">
        <f>IFERROR(INDEX(Movimientos!$G$2:$G$1993,MATCH(A81&amp;"ENTRADA",Movimientos!$R$2:$R$1993,0)),"-")</f>
        <v>-</v>
      </c>
      <c r="G81" s="2" t="str">
        <f>IFERROR(INDEX(Movimientos!$L$2:$L$1993,MATCH(A81&amp;"ENTRADA",Movimientos!$R$2:$R$1993,0)),"-")</f>
        <v>-</v>
      </c>
      <c r="H81" s="17" t="str">
        <f>IFERROR(IF(INDEX(Movimientos!$M$2:$M$1993,MATCH(A81&amp;"ENTRADA",Movimientos!$R$2:$R$1993,0))=0,"S/D",INDEX(Movimientos!$M$2:$M$1993,MATCH(A81&amp;"ENTRADA",Movimientos!$R$2:$R$1993,0))),"S/D")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2388</v>
      </c>
      <c r="B82" s="2" t="str">
        <f>IFERROR(INDEX(Movimientos!$C$2:$C$1993,MATCH(A82&amp;"ENTRADA",Movimientos!$R$2:$R$1993,0)),"-")</f>
        <v>-</v>
      </c>
      <c r="C82" s="2" t="str">
        <f>IFERROR(INDEX(Movimientos!$D$2:$D$1993,MATCH(A82&amp;"ENTRADA",Movimientos!$R$2:$R$1993,0)),"-")</f>
        <v>-</v>
      </c>
      <c r="D82" s="2" t="str">
        <f>IFERROR(INDEX(Movimientos!$E$2:$E$1993,MATCH(A82&amp;"ENTRADA",Movimientos!$R$2:$R$1993,0)),"-")</f>
        <v>-</v>
      </c>
      <c r="E82" s="2" t="str">
        <f>IFERROR(INDEX(Movimientos!$F$2:$F$1993,MATCH(A82&amp;"ENTRADA",Movimientos!$R$2:$R$1993,0)),"-")</f>
        <v>-</v>
      </c>
      <c r="F82" s="2" t="str">
        <f>IFERROR(INDEX(Movimientos!$G$2:$G$1993,MATCH(A82&amp;"ENTRADA",Movimientos!$R$2:$R$1993,0)),"-")</f>
        <v>-</v>
      </c>
      <c r="G82" s="2" t="str">
        <f>IFERROR(INDEX(Movimientos!$L$2:$L$1993,MATCH(A82&amp;"ENTRADA",Movimientos!$R$2:$R$1993,0)),"-")</f>
        <v>-</v>
      </c>
      <c r="H82" s="17" t="str">
        <f>IFERROR(IF(INDEX(Movimientos!$M$2:$M$1993,MATCH(A82&amp;"ENTRADA",Movimientos!$R$2:$R$1993,0))=0,"S/D",INDEX(Movimientos!$M$2:$M$1993,MATCH(A82&amp;"ENTRADA",Movimientos!$R$2:$R$1993,0))),"S/D")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2389</v>
      </c>
      <c r="B83" s="2" t="str">
        <f>IFERROR(INDEX(Movimientos!$C$2:$C$1993,MATCH(A83&amp;"ENTRADA",Movimientos!$R$2:$R$1993,0)),"-")</f>
        <v>-</v>
      </c>
      <c r="C83" s="2" t="str">
        <f>IFERROR(INDEX(Movimientos!$D$2:$D$1993,MATCH(A83&amp;"ENTRADA",Movimientos!$R$2:$R$1993,0)),"-")</f>
        <v>-</v>
      </c>
      <c r="D83" s="2" t="str">
        <f>IFERROR(INDEX(Movimientos!$E$2:$E$1993,MATCH(A83&amp;"ENTRADA",Movimientos!$R$2:$R$1993,0)),"-")</f>
        <v>-</v>
      </c>
      <c r="E83" s="2" t="str">
        <f>IFERROR(INDEX(Movimientos!$F$2:$F$1993,MATCH(A83&amp;"ENTRADA",Movimientos!$R$2:$R$1993,0)),"-")</f>
        <v>-</v>
      </c>
      <c r="F83" s="2" t="str">
        <f>IFERROR(INDEX(Movimientos!$G$2:$G$1993,MATCH(A83&amp;"ENTRADA",Movimientos!$R$2:$R$1993,0)),"-")</f>
        <v>-</v>
      </c>
      <c r="G83" s="2" t="str">
        <f>IFERROR(INDEX(Movimientos!$L$2:$L$1993,MATCH(A83&amp;"ENTRADA",Movimientos!$R$2:$R$1993,0)),"-")</f>
        <v>-</v>
      </c>
      <c r="H83" s="17" t="str">
        <f>IFERROR(IF(INDEX(Movimientos!$M$2:$M$1993,MATCH(A83&amp;"ENTRADA",Movimientos!$R$2:$R$1993,0))=0,"S/D",INDEX(Movimientos!$M$2:$M$1993,MATCH(A83&amp;"ENTRADA",Movimientos!$R$2:$R$1993,0))),"S/D")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2390</v>
      </c>
      <c r="B84" s="2" t="str">
        <f>IFERROR(INDEX(Movimientos!$C$2:$C$1993,MATCH(A84&amp;"ENTRADA",Movimientos!$R$2:$R$1993,0)),"-")</f>
        <v>-</v>
      </c>
      <c r="C84" s="2" t="str">
        <f>IFERROR(INDEX(Movimientos!$D$2:$D$1993,MATCH(A84&amp;"ENTRADA",Movimientos!$R$2:$R$1993,0)),"-")</f>
        <v>-</v>
      </c>
      <c r="D84" s="2" t="str">
        <f>IFERROR(INDEX(Movimientos!$E$2:$E$1993,MATCH(A84&amp;"ENTRADA",Movimientos!$R$2:$R$1993,0)),"-")</f>
        <v>-</v>
      </c>
      <c r="E84" s="2" t="str">
        <f>IFERROR(INDEX(Movimientos!$F$2:$F$1993,MATCH(A84&amp;"ENTRADA",Movimientos!$R$2:$R$1993,0)),"-")</f>
        <v>-</v>
      </c>
      <c r="F84" s="2" t="str">
        <f>IFERROR(INDEX(Movimientos!$G$2:$G$1993,MATCH(A84&amp;"ENTRADA",Movimientos!$R$2:$R$1993,0)),"-")</f>
        <v>-</v>
      </c>
      <c r="G84" s="2" t="str">
        <f>IFERROR(INDEX(Movimientos!$L$2:$L$1993,MATCH(A84&amp;"ENTRADA",Movimientos!$R$2:$R$1993,0)),"-")</f>
        <v>-</v>
      </c>
      <c r="H84" s="17" t="str">
        <f>IFERROR(IF(INDEX(Movimientos!$M$2:$M$1993,MATCH(A84&amp;"ENTRADA",Movimientos!$R$2:$R$1993,0))=0,"S/D",INDEX(Movimientos!$M$2:$M$1993,MATCH(A84&amp;"ENTRADA",Movimientos!$R$2:$R$1993,0))),"S/D")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2391</v>
      </c>
      <c r="B85" s="2" t="str">
        <f>IFERROR(INDEX(Movimientos!$C$2:$C$1993,MATCH(A85&amp;"ENTRADA",Movimientos!$R$2:$R$1993,0)),"-")</f>
        <v>-</v>
      </c>
      <c r="C85" s="2" t="str">
        <f>IFERROR(INDEX(Movimientos!$D$2:$D$1993,MATCH(A85&amp;"ENTRADA",Movimientos!$R$2:$R$1993,0)),"-")</f>
        <v>-</v>
      </c>
      <c r="D85" s="2" t="str">
        <f>IFERROR(INDEX(Movimientos!$E$2:$E$1993,MATCH(A85&amp;"ENTRADA",Movimientos!$R$2:$R$1993,0)),"-")</f>
        <v>-</v>
      </c>
      <c r="E85" s="2" t="str">
        <f>IFERROR(INDEX(Movimientos!$F$2:$F$1993,MATCH(A85&amp;"ENTRADA",Movimientos!$R$2:$R$1993,0)),"-")</f>
        <v>-</v>
      </c>
      <c r="F85" s="2" t="str">
        <f>IFERROR(INDEX(Movimientos!$G$2:$G$1993,MATCH(A85&amp;"ENTRADA",Movimientos!$R$2:$R$1993,0)),"-")</f>
        <v>-</v>
      </c>
      <c r="G85" s="2" t="str">
        <f>IFERROR(INDEX(Movimientos!$L$2:$L$1993,MATCH(A85&amp;"ENTRADA",Movimientos!$R$2:$R$1993,0)),"-")</f>
        <v>-</v>
      </c>
      <c r="H85" s="17" t="str">
        <f>IFERROR(IF(INDEX(Movimientos!$M$2:$M$1993,MATCH(A85&amp;"ENTRADA",Movimientos!$R$2:$R$1993,0))=0,"S/D",INDEX(Movimientos!$M$2:$M$1993,MATCH(A85&amp;"ENTRADA",Movimientos!$R$2:$R$1993,0))),"S/D")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2392</v>
      </c>
      <c r="B86" s="2" t="str">
        <f>IFERROR(INDEX(Movimientos!$C$2:$C$1993,MATCH(A86&amp;"ENTRADA",Movimientos!$R$2:$R$1993,0)),"-")</f>
        <v>-</v>
      </c>
      <c r="C86" s="2" t="str">
        <f>IFERROR(INDEX(Movimientos!$D$2:$D$1993,MATCH(A86&amp;"ENTRADA",Movimientos!$R$2:$R$1993,0)),"-")</f>
        <v>-</v>
      </c>
      <c r="D86" s="2" t="str">
        <f>IFERROR(INDEX(Movimientos!$E$2:$E$1993,MATCH(A86&amp;"ENTRADA",Movimientos!$R$2:$R$1993,0)),"-")</f>
        <v>-</v>
      </c>
      <c r="E86" s="2" t="str">
        <f>IFERROR(INDEX(Movimientos!$F$2:$F$1993,MATCH(A86&amp;"ENTRADA",Movimientos!$R$2:$R$1993,0)),"-")</f>
        <v>-</v>
      </c>
      <c r="F86" s="2" t="str">
        <f>IFERROR(INDEX(Movimientos!$G$2:$G$1993,MATCH(A86&amp;"ENTRADA",Movimientos!$R$2:$R$1993,0)),"-")</f>
        <v>-</v>
      </c>
      <c r="G86" s="2" t="str">
        <f>IFERROR(INDEX(Movimientos!$L$2:$L$1993,MATCH(A86&amp;"ENTRADA",Movimientos!$R$2:$R$1993,0)),"-")</f>
        <v>-</v>
      </c>
      <c r="H86" s="17" t="str">
        <f>IFERROR(IF(INDEX(Movimientos!$M$2:$M$1993,MATCH(A86&amp;"ENTRADA",Movimientos!$R$2:$R$1993,0))=0,"S/D",INDEX(Movimientos!$M$2:$M$1993,MATCH(A86&amp;"ENTRADA",Movimientos!$R$2:$R$1993,0))),"S/D")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2393</v>
      </c>
      <c r="B87" s="2" t="str">
        <f>IFERROR(INDEX(Movimientos!$C$2:$C$1993,MATCH(A87&amp;"ENTRADA",Movimientos!$R$2:$R$1993,0)),"-")</f>
        <v>-</v>
      </c>
      <c r="C87" s="2" t="str">
        <f>IFERROR(INDEX(Movimientos!$D$2:$D$1993,MATCH(A87&amp;"ENTRADA",Movimientos!$R$2:$R$1993,0)),"-")</f>
        <v>-</v>
      </c>
      <c r="D87" s="2" t="str">
        <f>IFERROR(INDEX(Movimientos!$E$2:$E$1993,MATCH(A87&amp;"ENTRADA",Movimientos!$R$2:$R$1993,0)),"-")</f>
        <v>-</v>
      </c>
      <c r="E87" s="2" t="str">
        <f>IFERROR(INDEX(Movimientos!$F$2:$F$1993,MATCH(A87&amp;"ENTRADA",Movimientos!$R$2:$R$1993,0)),"-")</f>
        <v>-</v>
      </c>
      <c r="F87" s="2" t="str">
        <f>IFERROR(INDEX(Movimientos!$G$2:$G$1993,MATCH(A87&amp;"ENTRADA",Movimientos!$R$2:$R$1993,0)),"-")</f>
        <v>-</v>
      </c>
      <c r="G87" s="2" t="str">
        <f>IFERROR(INDEX(Movimientos!$L$2:$L$1993,MATCH(A87&amp;"ENTRADA",Movimientos!$R$2:$R$1993,0)),"-")</f>
        <v>-</v>
      </c>
      <c r="H87" s="17" t="str">
        <f>IFERROR(IF(INDEX(Movimientos!$M$2:$M$1993,MATCH(A87&amp;"ENTRADA",Movimientos!$R$2:$R$1993,0))=0,"S/D",INDEX(Movimientos!$M$2:$M$1993,MATCH(A87&amp;"ENTRADA",Movimientos!$R$2:$R$1993,0))),"S/D")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2394</v>
      </c>
      <c r="B88" s="2" t="str">
        <f>IFERROR(INDEX(Movimientos!$C$2:$C$1993,MATCH(A88&amp;"ENTRADA",Movimientos!$R$2:$R$1993,0)),"-")</f>
        <v>-</v>
      </c>
      <c r="C88" s="2" t="str">
        <f>IFERROR(INDEX(Movimientos!$D$2:$D$1993,MATCH(A88&amp;"ENTRADA",Movimientos!$R$2:$R$1993,0)),"-")</f>
        <v>-</v>
      </c>
      <c r="D88" s="2" t="str">
        <f>IFERROR(INDEX(Movimientos!$E$2:$E$1993,MATCH(A88&amp;"ENTRADA",Movimientos!$R$2:$R$1993,0)),"-")</f>
        <v>-</v>
      </c>
      <c r="E88" s="2" t="str">
        <f>IFERROR(INDEX(Movimientos!$F$2:$F$1993,MATCH(A88&amp;"ENTRADA",Movimientos!$R$2:$R$1993,0)),"-")</f>
        <v>-</v>
      </c>
      <c r="F88" s="2" t="str">
        <f>IFERROR(INDEX(Movimientos!$G$2:$G$1993,MATCH(A88&amp;"ENTRADA",Movimientos!$R$2:$R$1993,0)),"-")</f>
        <v>-</v>
      </c>
      <c r="G88" s="2" t="str">
        <f>IFERROR(INDEX(Movimientos!$L$2:$L$1993,MATCH(A88&amp;"ENTRADA",Movimientos!$R$2:$R$1993,0)),"-")</f>
        <v>-</v>
      </c>
      <c r="H88" s="17" t="str">
        <f>IFERROR(IF(INDEX(Movimientos!$M$2:$M$1993,MATCH(A88&amp;"ENTRADA",Movimientos!$R$2:$R$1993,0))=0,"S/D",INDEX(Movimientos!$M$2:$M$1993,MATCH(A88&amp;"ENTRADA",Movimientos!$R$2:$R$1993,0))),"S/D")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2395</v>
      </c>
      <c r="B89" s="2" t="str">
        <f>IFERROR(INDEX(Movimientos!$C$2:$C$1993,MATCH(A89&amp;"ENTRADA",Movimientos!$R$2:$R$1993,0)),"-")</f>
        <v>-</v>
      </c>
      <c r="C89" s="2" t="str">
        <f>IFERROR(INDEX(Movimientos!$D$2:$D$1993,MATCH(A89&amp;"ENTRADA",Movimientos!$R$2:$R$1993,0)),"-")</f>
        <v>-</v>
      </c>
      <c r="D89" s="2" t="str">
        <f>IFERROR(INDEX(Movimientos!$E$2:$E$1993,MATCH(A89&amp;"ENTRADA",Movimientos!$R$2:$R$1993,0)),"-")</f>
        <v>-</v>
      </c>
      <c r="E89" s="2" t="str">
        <f>IFERROR(INDEX(Movimientos!$F$2:$F$1993,MATCH(A89&amp;"ENTRADA",Movimientos!$R$2:$R$1993,0)),"-")</f>
        <v>-</v>
      </c>
      <c r="F89" s="2" t="str">
        <f>IFERROR(INDEX(Movimientos!$G$2:$G$1993,MATCH(A89&amp;"ENTRADA",Movimientos!$R$2:$R$1993,0)),"-")</f>
        <v>-</v>
      </c>
      <c r="G89" s="2" t="str">
        <f>IFERROR(INDEX(Movimientos!$L$2:$L$1993,MATCH(A89&amp;"ENTRADA",Movimientos!$R$2:$R$1993,0)),"-")</f>
        <v>-</v>
      </c>
      <c r="H89" s="17" t="str">
        <f>IFERROR(IF(INDEX(Movimientos!$M$2:$M$1993,MATCH(A89&amp;"ENTRADA",Movimientos!$R$2:$R$1993,0))=0,"S/D",INDEX(Movimientos!$M$2:$M$1993,MATCH(A89&amp;"ENTRADA",Movimientos!$R$2:$R$1993,0))),"S/D")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2396</v>
      </c>
      <c r="B90" s="2" t="str">
        <f>IFERROR(INDEX(Movimientos!$C$2:$C$1993,MATCH(A90&amp;"ENTRADA",Movimientos!$R$2:$R$1993,0)),"-")</f>
        <v>-</v>
      </c>
      <c r="C90" s="2" t="str">
        <f>IFERROR(INDEX(Movimientos!$D$2:$D$1993,MATCH(A90&amp;"ENTRADA",Movimientos!$R$2:$R$1993,0)),"-")</f>
        <v>-</v>
      </c>
      <c r="D90" s="2" t="str">
        <f>IFERROR(INDEX(Movimientos!$E$2:$E$1993,MATCH(A90&amp;"ENTRADA",Movimientos!$R$2:$R$1993,0)),"-")</f>
        <v>-</v>
      </c>
      <c r="E90" s="2" t="str">
        <f>IFERROR(INDEX(Movimientos!$F$2:$F$1993,MATCH(A90&amp;"ENTRADA",Movimientos!$R$2:$R$1993,0)),"-")</f>
        <v>-</v>
      </c>
      <c r="F90" s="2" t="str">
        <f>IFERROR(INDEX(Movimientos!$G$2:$G$1993,MATCH(A90&amp;"ENTRADA",Movimientos!$R$2:$R$1993,0)),"-")</f>
        <v>-</v>
      </c>
      <c r="G90" s="2" t="str">
        <f>IFERROR(INDEX(Movimientos!$L$2:$L$1993,MATCH(A90&amp;"ENTRADA",Movimientos!$R$2:$R$1993,0)),"-")</f>
        <v>-</v>
      </c>
      <c r="H90" s="17" t="str">
        <f>IFERROR(IF(INDEX(Movimientos!$M$2:$M$1993,MATCH(A90&amp;"ENTRADA",Movimientos!$R$2:$R$1993,0))=0,"S/D",INDEX(Movimientos!$M$2:$M$1993,MATCH(A90&amp;"ENTRADA",Movimientos!$R$2:$R$1993,0))),"S/D")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2397</v>
      </c>
      <c r="B91" s="2" t="str">
        <f>IFERROR(INDEX(Movimientos!$C$2:$C$1993,MATCH(A91&amp;"ENTRADA",Movimientos!$R$2:$R$1993,0)),"-")</f>
        <v>-</v>
      </c>
      <c r="C91" s="2" t="str">
        <f>IFERROR(INDEX(Movimientos!$D$2:$D$1993,MATCH(A91&amp;"ENTRADA",Movimientos!$R$2:$R$1993,0)),"-")</f>
        <v>-</v>
      </c>
      <c r="D91" s="2" t="str">
        <f>IFERROR(INDEX(Movimientos!$E$2:$E$1993,MATCH(A91&amp;"ENTRADA",Movimientos!$R$2:$R$1993,0)),"-")</f>
        <v>-</v>
      </c>
      <c r="E91" s="2" t="str">
        <f>IFERROR(INDEX(Movimientos!$F$2:$F$1993,MATCH(A91&amp;"ENTRADA",Movimientos!$R$2:$R$1993,0)),"-")</f>
        <v>-</v>
      </c>
      <c r="F91" s="2" t="str">
        <f>IFERROR(INDEX(Movimientos!$G$2:$G$1993,MATCH(A91&amp;"ENTRADA",Movimientos!$R$2:$R$1993,0)),"-")</f>
        <v>-</v>
      </c>
      <c r="G91" s="2" t="str">
        <f>IFERROR(INDEX(Movimientos!$L$2:$L$1993,MATCH(A91&amp;"ENTRADA",Movimientos!$R$2:$R$1993,0)),"-")</f>
        <v>-</v>
      </c>
      <c r="H91" s="17" t="str">
        <f>IFERROR(IF(INDEX(Movimientos!$M$2:$M$1993,MATCH(A91&amp;"ENTRADA",Movimientos!$R$2:$R$1993,0))=0,"S/D",INDEX(Movimientos!$M$2:$M$1993,MATCH(A91&amp;"ENTRADA",Movimientos!$R$2:$R$1993,0))),"S/D")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2398</v>
      </c>
      <c r="B92" s="2" t="str">
        <f>IFERROR(INDEX(Movimientos!$C$2:$C$1993,MATCH(A92&amp;"ENTRADA",Movimientos!$R$2:$R$1993,0)),"-")</f>
        <v>-</v>
      </c>
      <c r="C92" s="2" t="str">
        <f>IFERROR(INDEX(Movimientos!$D$2:$D$1993,MATCH(A92&amp;"ENTRADA",Movimientos!$R$2:$R$1993,0)),"-")</f>
        <v>-</v>
      </c>
      <c r="D92" s="2" t="str">
        <f>IFERROR(INDEX(Movimientos!$E$2:$E$1993,MATCH(A92&amp;"ENTRADA",Movimientos!$R$2:$R$1993,0)),"-")</f>
        <v>-</v>
      </c>
      <c r="E92" s="2" t="str">
        <f>IFERROR(INDEX(Movimientos!$F$2:$F$1993,MATCH(A92&amp;"ENTRADA",Movimientos!$R$2:$R$1993,0)),"-")</f>
        <v>-</v>
      </c>
      <c r="F92" s="2" t="str">
        <f>IFERROR(INDEX(Movimientos!$G$2:$G$1993,MATCH(A92&amp;"ENTRADA",Movimientos!$R$2:$R$1993,0)),"-")</f>
        <v>-</v>
      </c>
      <c r="G92" s="2" t="str">
        <f>IFERROR(INDEX(Movimientos!$L$2:$L$1993,MATCH(A92&amp;"ENTRADA",Movimientos!$R$2:$R$1993,0)),"-")</f>
        <v>-</v>
      </c>
      <c r="H92" s="17" t="str">
        <f>IFERROR(IF(INDEX(Movimientos!$M$2:$M$1993,MATCH(A92&amp;"ENTRADA",Movimientos!$R$2:$R$1993,0))=0,"S/D",INDEX(Movimientos!$M$2:$M$1993,MATCH(A92&amp;"ENTRADA",Movimientos!$R$2:$R$1993,0))),"S/D")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2399</v>
      </c>
      <c r="B93" s="2" t="str">
        <f>IFERROR(INDEX(Movimientos!$C$2:$C$1993,MATCH(A93&amp;"ENTRADA",Movimientos!$R$2:$R$1993,0)),"-")</f>
        <v>-</v>
      </c>
      <c r="C93" s="2" t="str">
        <f>IFERROR(INDEX(Movimientos!$D$2:$D$1993,MATCH(A93&amp;"ENTRADA",Movimientos!$R$2:$R$1993,0)),"-")</f>
        <v>-</v>
      </c>
      <c r="D93" s="2" t="str">
        <f>IFERROR(INDEX(Movimientos!$E$2:$E$1993,MATCH(A93&amp;"ENTRADA",Movimientos!$R$2:$R$1993,0)),"-")</f>
        <v>-</v>
      </c>
      <c r="E93" s="2" t="str">
        <f>IFERROR(INDEX(Movimientos!$F$2:$F$1993,MATCH(A93&amp;"ENTRADA",Movimientos!$R$2:$R$1993,0)),"-")</f>
        <v>-</v>
      </c>
      <c r="F93" s="2" t="str">
        <f>IFERROR(INDEX(Movimientos!$G$2:$G$1993,MATCH(A93&amp;"ENTRADA",Movimientos!$R$2:$R$1993,0)),"-")</f>
        <v>-</v>
      </c>
      <c r="G93" s="2" t="str">
        <f>IFERROR(INDEX(Movimientos!$L$2:$L$1993,MATCH(A93&amp;"ENTRADA",Movimientos!$R$2:$R$1993,0)),"-")</f>
        <v>-</v>
      </c>
      <c r="H93" s="17" t="str">
        <f>IFERROR(IF(INDEX(Movimientos!$M$2:$M$1993,MATCH(A93&amp;"ENTRADA",Movimientos!$R$2:$R$1993,0))=0,"S/D",INDEX(Movimientos!$M$2:$M$1993,MATCH(A93&amp;"ENTRADA",Movimientos!$R$2:$R$1993,0))),"S/D")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2400</v>
      </c>
      <c r="B94" s="2" t="str">
        <f>IFERROR(INDEX(Movimientos!$C$2:$C$1993,MATCH(A94&amp;"ENTRADA",Movimientos!$R$2:$R$1993,0)),"-")</f>
        <v>-</v>
      </c>
      <c r="C94" s="2" t="str">
        <f>IFERROR(INDEX(Movimientos!$D$2:$D$1993,MATCH(A94&amp;"ENTRADA",Movimientos!$R$2:$R$1993,0)),"-")</f>
        <v>-</v>
      </c>
      <c r="D94" s="2" t="str">
        <f>IFERROR(INDEX(Movimientos!$E$2:$E$1993,MATCH(A94&amp;"ENTRADA",Movimientos!$R$2:$R$1993,0)),"-")</f>
        <v>-</v>
      </c>
      <c r="E94" s="2" t="str">
        <f>IFERROR(INDEX(Movimientos!$F$2:$F$1993,MATCH(A94&amp;"ENTRADA",Movimientos!$R$2:$R$1993,0)),"-")</f>
        <v>-</v>
      </c>
      <c r="F94" s="2" t="str">
        <f>IFERROR(INDEX(Movimientos!$G$2:$G$1993,MATCH(A94&amp;"ENTRADA",Movimientos!$R$2:$R$1993,0)),"-")</f>
        <v>-</v>
      </c>
      <c r="G94" s="2" t="str">
        <f>IFERROR(INDEX(Movimientos!$L$2:$L$1993,MATCH(A94&amp;"ENTRADA",Movimientos!$R$2:$R$1993,0)),"-")</f>
        <v>-</v>
      </c>
      <c r="H94" s="17" t="str">
        <f>IFERROR(IF(INDEX(Movimientos!$M$2:$M$1993,MATCH(A94&amp;"ENTRADA",Movimientos!$R$2:$R$1993,0))=0,"S/D",INDEX(Movimientos!$M$2:$M$1993,MATCH(A94&amp;"ENTRADA",Movimientos!$R$2:$R$1993,0))),"S/D")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2401</v>
      </c>
      <c r="B95" s="2" t="str">
        <f>IFERROR(INDEX(Movimientos!$C$2:$C$1993,MATCH(A95&amp;"ENTRADA",Movimientos!$R$2:$R$1993,0)),"-")</f>
        <v>-</v>
      </c>
      <c r="C95" s="2" t="str">
        <f>IFERROR(INDEX(Movimientos!$D$2:$D$1993,MATCH(A95&amp;"ENTRADA",Movimientos!$R$2:$R$1993,0)),"-")</f>
        <v>-</v>
      </c>
      <c r="D95" s="2" t="str">
        <f>IFERROR(INDEX(Movimientos!$E$2:$E$1993,MATCH(A95&amp;"ENTRADA",Movimientos!$R$2:$R$1993,0)),"-")</f>
        <v>-</v>
      </c>
      <c r="E95" s="2" t="str">
        <f>IFERROR(INDEX(Movimientos!$F$2:$F$1993,MATCH(A95&amp;"ENTRADA",Movimientos!$R$2:$R$1993,0)),"-")</f>
        <v>-</v>
      </c>
      <c r="F95" s="2" t="str">
        <f>IFERROR(INDEX(Movimientos!$G$2:$G$1993,MATCH(A95&amp;"ENTRADA",Movimientos!$R$2:$R$1993,0)),"-")</f>
        <v>-</v>
      </c>
      <c r="G95" s="2" t="str">
        <f>IFERROR(INDEX(Movimientos!$L$2:$L$1993,MATCH(A95&amp;"ENTRADA",Movimientos!$R$2:$R$1993,0)),"-")</f>
        <v>-</v>
      </c>
      <c r="H95" s="17" t="str">
        <f>IFERROR(IF(INDEX(Movimientos!$M$2:$M$1993,MATCH(A95&amp;"ENTRADA",Movimientos!$R$2:$R$1993,0))=0,"S/D",INDEX(Movimientos!$M$2:$M$1993,MATCH(A95&amp;"ENTRADA",Movimientos!$R$2:$R$1993,0))),"S/D")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2402</v>
      </c>
      <c r="B96" s="2" t="str">
        <f>IFERROR(INDEX(Movimientos!$C$2:$C$1993,MATCH(A96&amp;"ENTRADA",Movimientos!$R$2:$R$1993,0)),"-")</f>
        <v>-</v>
      </c>
      <c r="C96" s="2" t="str">
        <f>IFERROR(INDEX(Movimientos!$D$2:$D$1993,MATCH(A96&amp;"ENTRADA",Movimientos!$R$2:$R$1993,0)),"-")</f>
        <v>-</v>
      </c>
      <c r="D96" s="2" t="str">
        <f>IFERROR(INDEX(Movimientos!$E$2:$E$1993,MATCH(A96&amp;"ENTRADA",Movimientos!$R$2:$R$1993,0)),"-")</f>
        <v>-</v>
      </c>
      <c r="E96" s="2" t="str">
        <f>IFERROR(INDEX(Movimientos!$F$2:$F$1993,MATCH(A96&amp;"ENTRADA",Movimientos!$R$2:$R$1993,0)),"-")</f>
        <v>-</v>
      </c>
      <c r="F96" s="2" t="str">
        <f>IFERROR(INDEX(Movimientos!$G$2:$G$1993,MATCH(A96&amp;"ENTRADA",Movimientos!$R$2:$R$1993,0)),"-")</f>
        <v>-</v>
      </c>
      <c r="G96" s="2" t="str">
        <f>IFERROR(INDEX(Movimientos!$L$2:$L$1993,MATCH(A96&amp;"ENTRADA",Movimientos!$R$2:$R$1993,0)),"-")</f>
        <v>-</v>
      </c>
      <c r="H96" s="17" t="str">
        <f>IFERROR(IF(INDEX(Movimientos!$M$2:$M$1993,MATCH(A96&amp;"ENTRADA",Movimientos!$R$2:$R$1993,0))=0,"S/D",INDEX(Movimientos!$M$2:$M$1993,MATCH(A96&amp;"ENTRADA",Movimientos!$R$2:$R$1993,0))),"S/D")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2403</v>
      </c>
      <c r="B97" s="2" t="str">
        <f>IFERROR(INDEX(Movimientos!$C$2:$C$1993,MATCH(A97&amp;"ENTRADA",Movimientos!$R$2:$R$1993,0)),"-")</f>
        <v>-</v>
      </c>
      <c r="C97" s="2" t="str">
        <f>IFERROR(INDEX(Movimientos!$D$2:$D$1993,MATCH(A97&amp;"ENTRADA",Movimientos!$R$2:$R$1993,0)),"-")</f>
        <v>-</v>
      </c>
      <c r="D97" s="2" t="str">
        <f>IFERROR(INDEX(Movimientos!$E$2:$E$1993,MATCH(A97&amp;"ENTRADA",Movimientos!$R$2:$R$1993,0)),"-")</f>
        <v>-</v>
      </c>
      <c r="E97" s="2" t="str">
        <f>IFERROR(INDEX(Movimientos!$F$2:$F$1993,MATCH(A97&amp;"ENTRADA",Movimientos!$R$2:$R$1993,0)),"-")</f>
        <v>-</v>
      </c>
      <c r="F97" s="2" t="str">
        <f>IFERROR(INDEX(Movimientos!$G$2:$G$1993,MATCH(A97&amp;"ENTRADA",Movimientos!$R$2:$R$1993,0)),"-")</f>
        <v>-</v>
      </c>
      <c r="G97" s="2" t="str">
        <f>IFERROR(INDEX(Movimientos!$L$2:$L$1993,MATCH(A97&amp;"ENTRADA",Movimientos!$R$2:$R$1993,0)),"-")</f>
        <v>-</v>
      </c>
      <c r="H97" s="17" t="str">
        <f>IFERROR(IF(INDEX(Movimientos!$M$2:$M$1993,MATCH(A97&amp;"ENTRADA",Movimientos!$R$2:$R$1993,0))=0,"S/D",INDEX(Movimientos!$M$2:$M$1993,MATCH(A97&amp;"ENTRADA",Movimientos!$R$2:$R$1993,0))),"S/D")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2404</v>
      </c>
      <c r="B98" s="2" t="str">
        <f>IFERROR(INDEX(Movimientos!$C$2:$C$1993,MATCH(A98&amp;"ENTRADA",Movimientos!$R$2:$R$1993,0)),"-")</f>
        <v>-</v>
      </c>
      <c r="C98" s="2" t="str">
        <f>IFERROR(INDEX(Movimientos!$D$2:$D$1993,MATCH(A98&amp;"ENTRADA",Movimientos!$R$2:$R$1993,0)),"-")</f>
        <v>-</v>
      </c>
      <c r="D98" s="2" t="str">
        <f>IFERROR(INDEX(Movimientos!$E$2:$E$1993,MATCH(A98&amp;"ENTRADA",Movimientos!$R$2:$R$1993,0)),"-")</f>
        <v>-</v>
      </c>
      <c r="E98" s="2" t="str">
        <f>IFERROR(INDEX(Movimientos!$F$2:$F$1993,MATCH(A98&amp;"ENTRADA",Movimientos!$R$2:$R$1993,0)),"-")</f>
        <v>-</v>
      </c>
      <c r="F98" s="2" t="str">
        <f>IFERROR(INDEX(Movimientos!$G$2:$G$1993,MATCH(A98&amp;"ENTRADA",Movimientos!$R$2:$R$1993,0)),"-")</f>
        <v>-</v>
      </c>
      <c r="G98" s="2" t="str">
        <f>IFERROR(INDEX(Movimientos!$L$2:$L$1993,MATCH(A98&amp;"ENTRADA",Movimientos!$R$2:$R$1993,0)),"-")</f>
        <v>-</v>
      </c>
      <c r="H98" s="17" t="str">
        <f>IFERROR(IF(INDEX(Movimientos!$M$2:$M$1993,MATCH(A98&amp;"ENTRADA",Movimientos!$R$2:$R$1993,0))=0,"S/D",INDEX(Movimientos!$M$2:$M$1993,MATCH(A98&amp;"ENTRADA",Movimientos!$R$2:$R$1993,0))),"S/D")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2405</v>
      </c>
      <c r="B99" s="2" t="str">
        <f>IFERROR(INDEX(Movimientos!$C$2:$C$1993,MATCH(A99&amp;"ENTRADA",Movimientos!$R$2:$R$1993,0)),"-")</f>
        <v>-</v>
      </c>
      <c r="C99" s="2" t="str">
        <f>IFERROR(INDEX(Movimientos!$D$2:$D$1993,MATCH(A99&amp;"ENTRADA",Movimientos!$R$2:$R$1993,0)),"-")</f>
        <v>-</v>
      </c>
      <c r="D99" s="2" t="str">
        <f>IFERROR(INDEX(Movimientos!$E$2:$E$1993,MATCH(A99&amp;"ENTRADA",Movimientos!$R$2:$R$1993,0)),"-")</f>
        <v>-</v>
      </c>
      <c r="E99" s="2" t="str">
        <f>IFERROR(INDEX(Movimientos!$F$2:$F$1993,MATCH(A99&amp;"ENTRADA",Movimientos!$R$2:$R$1993,0)),"-")</f>
        <v>-</v>
      </c>
      <c r="F99" s="2" t="str">
        <f>IFERROR(INDEX(Movimientos!$G$2:$G$1993,MATCH(A99&amp;"ENTRADA",Movimientos!$R$2:$R$1993,0)),"-")</f>
        <v>-</v>
      </c>
      <c r="G99" s="2" t="str">
        <f>IFERROR(INDEX(Movimientos!$L$2:$L$1993,MATCH(A99&amp;"ENTRADA",Movimientos!$R$2:$R$1993,0)),"-")</f>
        <v>-</v>
      </c>
      <c r="H99" s="17" t="str">
        <f>IFERROR(IF(INDEX(Movimientos!$M$2:$M$1993,MATCH(A99&amp;"ENTRADA",Movimientos!$R$2:$R$1993,0))=0,"S/D",INDEX(Movimientos!$M$2:$M$1993,MATCH(A99&amp;"ENTRADA",Movimientos!$R$2:$R$1993,0))),"S/D")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2406</v>
      </c>
      <c r="B100" s="2" t="str">
        <f>IFERROR(INDEX(Movimientos!$C$2:$C$1993,MATCH(A100&amp;"ENTRADA",Movimientos!$R$2:$R$1993,0)),"-")</f>
        <v>-</v>
      </c>
      <c r="C100" s="2" t="str">
        <f>IFERROR(INDEX(Movimientos!$D$2:$D$1993,MATCH(A100&amp;"ENTRADA",Movimientos!$R$2:$R$1993,0)),"-")</f>
        <v>-</v>
      </c>
      <c r="D100" s="2" t="str">
        <f>IFERROR(INDEX(Movimientos!$E$2:$E$1993,MATCH(A100&amp;"ENTRADA",Movimientos!$R$2:$R$1993,0)),"-")</f>
        <v>-</v>
      </c>
      <c r="E100" s="2" t="str">
        <f>IFERROR(INDEX(Movimientos!$F$2:$F$1993,MATCH(A100&amp;"ENTRADA",Movimientos!$R$2:$R$1993,0)),"-")</f>
        <v>-</v>
      </c>
      <c r="F100" s="2" t="str">
        <f>IFERROR(INDEX(Movimientos!$G$2:$G$1993,MATCH(A100&amp;"ENTRADA",Movimientos!$R$2:$R$1993,0)),"-")</f>
        <v>-</v>
      </c>
      <c r="G100" s="2" t="str">
        <f>IFERROR(INDEX(Movimientos!$L$2:$L$1993,MATCH(A100&amp;"ENTRADA",Movimientos!$R$2:$R$1993,0)),"-")</f>
        <v>-</v>
      </c>
      <c r="H100" s="17" t="str">
        <f>IFERROR(IF(INDEX(Movimientos!$M$2:$M$1993,MATCH(A100&amp;"ENTRADA",Movimientos!$R$2:$R$1993,0))=0,"S/D",INDEX(Movimientos!$M$2:$M$1993,MATCH(A100&amp;"ENTRADA",Movimientos!$R$2:$R$1993,0))),"S/D")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2407</v>
      </c>
      <c r="B101" s="2" t="str">
        <f>IFERROR(INDEX(Movimientos!$C$2:$C$1993,MATCH(A101&amp;"ENTRADA",Movimientos!$R$2:$R$1993,0)),"-")</f>
        <v>-</v>
      </c>
      <c r="C101" s="2" t="str">
        <f>IFERROR(INDEX(Movimientos!$D$2:$D$1993,MATCH(A101&amp;"ENTRADA",Movimientos!$R$2:$R$1993,0)),"-")</f>
        <v>-</v>
      </c>
      <c r="D101" s="2" t="str">
        <f>IFERROR(INDEX(Movimientos!$E$2:$E$1993,MATCH(A101&amp;"ENTRADA",Movimientos!$R$2:$R$1993,0)),"-")</f>
        <v>-</v>
      </c>
      <c r="E101" s="2" t="str">
        <f>IFERROR(INDEX(Movimientos!$F$2:$F$1993,MATCH(A101&amp;"ENTRADA",Movimientos!$R$2:$R$1993,0)),"-")</f>
        <v>-</v>
      </c>
      <c r="F101" s="2" t="str">
        <f>IFERROR(INDEX(Movimientos!$G$2:$G$1993,MATCH(A101&amp;"ENTRADA",Movimientos!$R$2:$R$1993,0)),"-")</f>
        <v>-</v>
      </c>
      <c r="G101" s="2" t="str">
        <f>IFERROR(INDEX(Movimientos!$L$2:$L$1993,MATCH(A101&amp;"ENTRADA",Movimientos!$R$2:$R$1993,0)),"-")</f>
        <v>-</v>
      </c>
      <c r="H101" s="17" t="str">
        <f>IFERROR(IF(INDEX(Movimientos!$M$2:$M$1993,MATCH(A101&amp;"ENTRADA",Movimientos!$R$2:$R$1993,0))=0,"S/D",INDEX(Movimientos!$M$2:$M$1993,MATCH(A101&amp;"ENTRADA",Movimientos!$R$2:$R$1993,0))),"S/D")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2408</v>
      </c>
      <c r="B102" s="2" t="str">
        <f>IFERROR(INDEX(Movimientos!$C$2:$C$1993,MATCH(A102&amp;"ENTRADA",Movimientos!$R$2:$R$1993,0)),"-")</f>
        <v>-</v>
      </c>
      <c r="C102" s="2" t="str">
        <f>IFERROR(INDEX(Movimientos!$D$2:$D$1993,MATCH(A102&amp;"ENTRADA",Movimientos!$R$2:$R$1993,0)),"-")</f>
        <v>-</v>
      </c>
      <c r="D102" s="2" t="str">
        <f>IFERROR(INDEX(Movimientos!$E$2:$E$1993,MATCH(A102&amp;"ENTRADA",Movimientos!$R$2:$R$1993,0)),"-")</f>
        <v>-</v>
      </c>
      <c r="E102" s="2" t="str">
        <f>IFERROR(INDEX(Movimientos!$F$2:$F$1993,MATCH(A102&amp;"ENTRADA",Movimientos!$R$2:$R$1993,0)),"-")</f>
        <v>-</v>
      </c>
      <c r="F102" s="2" t="str">
        <f>IFERROR(INDEX(Movimientos!$G$2:$G$1993,MATCH(A102&amp;"ENTRADA",Movimientos!$R$2:$R$1993,0)),"-")</f>
        <v>-</v>
      </c>
      <c r="G102" s="2" t="str">
        <f>IFERROR(INDEX(Movimientos!$L$2:$L$1993,MATCH(A102&amp;"ENTRADA",Movimientos!$R$2:$R$1993,0)),"-")</f>
        <v>-</v>
      </c>
      <c r="H102" s="17" t="str">
        <f>IFERROR(IF(INDEX(Movimientos!$M$2:$M$1993,MATCH(A102&amp;"ENTRADA",Movimientos!$R$2:$R$1993,0))=0,"S/D",INDEX(Movimientos!$M$2:$M$1993,MATCH(A102&amp;"ENTRADA",Movimientos!$R$2:$R$1993,0))),"S/D")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2409</v>
      </c>
      <c r="B103" s="2" t="str">
        <f>IFERROR(INDEX(Movimientos!$C$2:$C$1993,MATCH(A103&amp;"ENTRADA",Movimientos!$R$2:$R$1993,0)),"-")</f>
        <v>-</v>
      </c>
      <c r="C103" s="2" t="str">
        <f>IFERROR(INDEX(Movimientos!$D$2:$D$1993,MATCH(A103&amp;"ENTRADA",Movimientos!$R$2:$R$1993,0)),"-")</f>
        <v>-</v>
      </c>
      <c r="D103" s="2" t="str">
        <f>IFERROR(INDEX(Movimientos!$E$2:$E$1993,MATCH(A103&amp;"ENTRADA",Movimientos!$R$2:$R$1993,0)),"-")</f>
        <v>-</v>
      </c>
      <c r="E103" s="2" t="str">
        <f>IFERROR(INDEX(Movimientos!$F$2:$F$1993,MATCH(A103&amp;"ENTRADA",Movimientos!$R$2:$R$1993,0)),"-")</f>
        <v>-</v>
      </c>
      <c r="F103" s="2" t="str">
        <f>IFERROR(INDEX(Movimientos!$G$2:$G$1993,MATCH(A103&amp;"ENTRADA",Movimientos!$R$2:$R$1993,0)),"-")</f>
        <v>-</v>
      </c>
      <c r="G103" s="2" t="str">
        <f>IFERROR(INDEX(Movimientos!$L$2:$L$1993,MATCH(A103&amp;"ENTRADA",Movimientos!$R$2:$R$1993,0)),"-")</f>
        <v>-</v>
      </c>
      <c r="H103" s="17" t="str">
        <f>IFERROR(IF(INDEX(Movimientos!$M$2:$M$1993,MATCH(A103&amp;"ENTRADA",Movimientos!$R$2:$R$1993,0))=0,"S/D",INDEX(Movimientos!$M$2:$M$1993,MATCH(A103&amp;"ENTRADA",Movimientos!$R$2:$R$1993,0))),"S/D")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2410</v>
      </c>
      <c r="B104" s="2" t="str">
        <f>IFERROR(INDEX(Movimientos!$C$2:$C$1993,MATCH(A104&amp;"ENTRADA",Movimientos!$R$2:$R$1993,0)),"-")</f>
        <v>-</v>
      </c>
      <c r="C104" s="2" t="str">
        <f>IFERROR(INDEX(Movimientos!$D$2:$D$1993,MATCH(A104&amp;"ENTRADA",Movimientos!$R$2:$R$1993,0)),"-")</f>
        <v>-</v>
      </c>
      <c r="D104" s="2" t="str">
        <f>IFERROR(INDEX(Movimientos!$E$2:$E$1993,MATCH(A104&amp;"ENTRADA",Movimientos!$R$2:$R$1993,0)),"-")</f>
        <v>-</v>
      </c>
      <c r="E104" s="2" t="str">
        <f>IFERROR(INDEX(Movimientos!$F$2:$F$1993,MATCH(A104&amp;"ENTRADA",Movimientos!$R$2:$R$1993,0)),"-")</f>
        <v>-</v>
      </c>
      <c r="F104" s="2" t="str">
        <f>IFERROR(INDEX(Movimientos!$G$2:$G$1993,MATCH(A104&amp;"ENTRADA",Movimientos!$R$2:$R$1993,0)),"-")</f>
        <v>-</v>
      </c>
      <c r="G104" s="2" t="str">
        <f>IFERROR(INDEX(Movimientos!$L$2:$L$1993,MATCH(A104&amp;"ENTRADA",Movimientos!$R$2:$R$1993,0)),"-")</f>
        <v>-</v>
      </c>
      <c r="H104" s="17" t="str">
        <f>IFERROR(IF(INDEX(Movimientos!$M$2:$M$1993,MATCH(A104&amp;"ENTRADA",Movimientos!$R$2:$R$1993,0))=0,"S/D",INDEX(Movimientos!$M$2:$M$1993,MATCH(A104&amp;"ENTRADA",Movimientos!$R$2:$R$1993,0))),"S/D")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2411</v>
      </c>
      <c r="B105" s="2" t="str">
        <f>IFERROR(INDEX(Movimientos!$C$2:$C$1993,MATCH(A105&amp;"ENTRADA",Movimientos!$R$2:$R$1993,0)),"-")</f>
        <v>-</v>
      </c>
      <c r="C105" s="2" t="str">
        <f>IFERROR(INDEX(Movimientos!$D$2:$D$1993,MATCH(A105&amp;"ENTRADA",Movimientos!$R$2:$R$1993,0)),"-")</f>
        <v>-</v>
      </c>
      <c r="D105" s="2" t="str">
        <f>IFERROR(INDEX(Movimientos!$E$2:$E$1993,MATCH(A105&amp;"ENTRADA",Movimientos!$R$2:$R$1993,0)),"-")</f>
        <v>-</v>
      </c>
      <c r="E105" s="2" t="str">
        <f>IFERROR(INDEX(Movimientos!$F$2:$F$1993,MATCH(A105&amp;"ENTRADA",Movimientos!$R$2:$R$1993,0)),"-")</f>
        <v>-</v>
      </c>
      <c r="F105" s="2" t="str">
        <f>IFERROR(INDEX(Movimientos!$G$2:$G$1993,MATCH(A105&amp;"ENTRADA",Movimientos!$R$2:$R$1993,0)),"-")</f>
        <v>-</v>
      </c>
      <c r="G105" s="2" t="str">
        <f>IFERROR(INDEX(Movimientos!$L$2:$L$1993,MATCH(A105&amp;"ENTRADA",Movimientos!$R$2:$R$1993,0)),"-")</f>
        <v>-</v>
      </c>
      <c r="H105" s="17" t="str">
        <f>IFERROR(IF(INDEX(Movimientos!$M$2:$M$1993,MATCH(A105&amp;"ENTRADA",Movimientos!$R$2:$R$1993,0))=0,"S/D",INDEX(Movimientos!$M$2:$M$1993,MATCH(A105&amp;"ENTRADA",Movimientos!$R$2:$R$1993,0))),"S/D")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2412</v>
      </c>
      <c r="B106" s="2" t="str">
        <f>IFERROR(INDEX(Movimientos!$C$2:$C$1993,MATCH(A106&amp;"ENTRADA",Movimientos!$R$2:$R$1993,0)),"-")</f>
        <v>-</v>
      </c>
      <c r="C106" s="2" t="str">
        <f>IFERROR(INDEX(Movimientos!$D$2:$D$1993,MATCH(A106&amp;"ENTRADA",Movimientos!$R$2:$R$1993,0)),"-")</f>
        <v>-</v>
      </c>
      <c r="D106" s="2" t="str">
        <f>IFERROR(INDEX(Movimientos!$E$2:$E$1993,MATCH(A106&amp;"ENTRADA",Movimientos!$R$2:$R$1993,0)),"-")</f>
        <v>-</v>
      </c>
      <c r="E106" s="2" t="str">
        <f>IFERROR(INDEX(Movimientos!$F$2:$F$1993,MATCH(A106&amp;"ENTRADA",Movimientos!$R$2:$R$1993,0)),"-")</f>
        <v>-</v>
      </c>
      <c r="F106" s="2" t="str">
        <f>IFERROR(INDEX(Movimientos!$G$2:$G$1993,MATCH(A106&amp;"ENTRADA",Movimientos!$R$2:$R$1993,0)),"-")</f>
        <v>-</v>
      </c>
      <c r="G106" s="2" t="str">
        <f>IFERROR(INDEX(Movimientos!$L$2:$L$1993,MATCH(A106&amp;"ENTRADA",Movimientos!$R$2:$R$1993,0)),"-")</f>
        <v>-</v>
      </c>
      <c r="H106" s="17" t="str">
        <f>IFERROR(IF(INDEX(Movimientos!$M$2:$M$1993,MATCH(A106&amp;"ENTRADA",Movimientos!$R$2:$R$1993,0))=0,"S/D",INDEX(Movimientos!$M$2:$M$1993,MATCH(A106&amp;"ENTRADA",Movimientos!$R$2:$R$1993,0))),"S/D")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2413</v>
      </c>
      <c r="B107" s="2" t="str">
        <f>IFERROR(INDEX(Movimientos!$C$2:$C$1993,MATCH(A107&amp;"ENTRADA",Movimientos!$R$2:$R$1993,0)),"-")</f>
        <v>-</v>
      </c>
      <c r="C107" s="2" t="str">
        <f>IFERROR(INDEX(Movimientos!$D$2:$D$1993,MATCH(A107&amp;"ENTRADA",Movimientos!$R$2:$R$1993,0)),"-")</f>
        <v>-</v>
      </c>
      <c r="D107" s="2" t="str">
        <f>IFERROR(INDEX(Movimientos!$E$2:$E$1993,MATCH(A107&amp;"ENTRADA",Movimientos!$R$2:$R$1993,0)),"-")</f>
        <v>-</v>
      </c>
      <c r="E107" s="2" t="str">
        <f>IFERROR(INDEX(Movimientos!$F$2:$F$1993,MATCH(A107&amp;"ENTRADA",Movimientos!$R$2:$R$1993,0)),"-")</f>
        <v>-</v>
      </c>
      <c r="F107" s="2" t="str">
        <f>IFERROR(INDEX(Movimientos!$G$2:$G$1993,MATCH(A107&amp;"ENTRADA",Movimientos!$R$2:$R$1993,0)),"-")</f>
        <v>-</v>
      </c>
      <c r="G107" s="2" t="str">
        <f>IFERROR(INDEX(Movimientos!$L$2:$L$1993,MATCH(A107&amp;"ENTRADA",Movimientos!$R$2:$R$1993,0)),"-")</f>
        <v>-</v>
      </c>
      <c r="H107" s="17" t="str">
        <f>IFERROR(IF(INDEX(Movimientos!$M$2:$M$1993,MATCH(A107&amp;"ENTRADA",Movimientos!$R$2:$R$1993,0))=0,"S/D",INDEX(Movimientos!$M$2:$M$1993,MATCH(A107&amp;"ENTRADA",Movimientos!$R$2:$R$1993,0))),"S/D")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2414</v>
      </c>
      <c r="B108" s="2" t="str">
        <f>IFERROR(INDEX(Movimientos!$C$2:$C$1993,MATCH(A108&amp;"ENTRADA",Movimientos!$R$2:$R$1993,0)),"-")</f>
        <v>-</v>
      </c>
      <c r="C108" s="2" t="str">
        <f>IFERROR(INDEX(Movimientos!$D$2:$D$1993,MATCH(A108&amp;"ENTRADA",Movimientos!$R$2:$R$1993,0)),"-")</f>
        <v>-</v>
      </c>
      <c r="D108" s="2" t="str">
        <f>IFERROR(INDEX(Movimientos!$E$2:$E$1993,MATCH(A108&amp;"ENTRADA",Movimientos!$R$2:$R$1993,0)),"-")</f>
        <v>-</v>
      </c>
      <c r="E108" s="2" t="str">
        <f>IFERROR(INDEX(Movimientos!$F$2:$F$1993,MATCH(A108&amp;"ENTRADA",Movimientos!$R$2:$R$1993,0)),"-")</f>
        <v>-</v>
      </c>
      <c r="F108" s="2" t="str">
        <f>IFERROR(INDEX(Movimientos!$G$2:$G$1993,MATCH(A108&amp;"ENTRADA",Movimientos!$R$2:$R$1993,0)),"-")</f>
        <v>-</v>
      </c>
      <c r="G108" s="2" t="str">
        <f>IFERROR(INDEX(Movimientos!$L$2:$L$1993,MATCH(A108&amp;"ENTRADA",Movimientos!$R$2:$R$1993,0)),"-")</f>
        <v>-</v>
      </c>
      <c r="H108" s="17" t="str">
        <f>IFERROR(IF(INDEX(Movimientos!$M$2:$M$1993,MATCH(A108&amp;"ENTRADA",Movimientos!$R$2:$R$1993,0))=0,"S/D",INDEX(Movimientos!$M$2:$M$1993,MATCH(A108&amp;"ENTRADA",Movimientos!$R$2:$R$1993,0))),"S/D")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2415</v>
      </c>
      <c r="B109" s="2" t="str">
        <f>IFERROR(INDEX(Movimientos!$C$2:$C$1993,MATCH(A109&amp;"ENTRADA",Movimientos!$R$2:$R$1993,0)),"-")</f>
        <v>-</v>
      </c>
      <c r="C109" s="2" t="str">
        <f>IFERROR(INDEX(Movimientos!$D$2:$D$1993,MATCH(A109&amp;"ENTRADA",Movimientos!$R$2:$R$1993,0)),"-")</f>
        <v>-</v>
      </c>
      <c r="D109" s="2" t="str">
        <f>IFERROR(INDEX(Movimientos!$E$2:$E$1993,MATCH(A109&amp;"ENTRADA",Movimientos!$R$2:$R$1993,0)),"-")</f>
        <v>-</v>
      </c>
      <c r="E109" s="2" t="str">
        <f>IFERROR(INDEX(Movimientos!$F$2:$F$1993,MATCH(A109&amp;"ENTRADA",Movimientos!$R$2:$R$1993,0)),"-")</f>
        <v>-</v>
      </c>
      <c r="F109" s="2" t="str">
        <f>IFERROR(INDEX(Movimientos!$G$2:$G$1993,MATCH(A109&amp;"ENTRADA",Movimientos!$R$2:$R$1993,0)),"-")</f>
        <v>-</v>
      </c>
      <c r="G109" s="2" t="str">
        <f>IFERROR(INDEX(Movimientos!$L$2:$L$1993,MATCH(A109&amp;"ENTRADA",Movimientos!$R$2:$R$1993,0)),"-")</f>
        <v>-</v>
      </c>
      <c r="H109" s="17" t="str">
        <f>IFERROR(IF(INDEX(Movimientos!$M$2:$M$1993,MATCH(A109&amp;"ENTRADA",Movimientos!$R$2:$R$1993,0))=0,"S/D",INDEX(Movimientos!$M$2:$M$1993,MATCH(A109&amp;"ENTRADA",Movimientos!$R$2:$R$1993,0))),"S/D")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2416</v>
      </c>
      <c r="B110" s="2" t="str">
        <f>IFERROR(INDEX(Movimientos!$C$2:$C$1993,MATCH(A110&amp;"ENTRADA",Movimientos!$R$2:$R$1993,0)),"-")</f>
        <v>-</v>
      </c>
      <c r="C110" s="2" t="str">
        <f>IFERROR(INDEX(Movimientos!$D$2:$D$1993,MATCH(A110&amp;"ENTRADA",Movimientos!$R$2:$R$1993,0)),"-")</f>
        <v>-</v>
      </c>
      <c r="D110" s="2" t="str">
        <f>IFERROR(INDEX(Movimientos!$E$2:$E$1993,MATCH(A110&amp;"ENTRADA",Movimientos!$R$2:$R$1993,0)),"-")</f>
        <v>-</v>
      </c>
      <c r="E110" s="2" t="str">
        <f>IFERROR(INDEX(Movimientos!$F$2:$F$1993,MATCH(A110&amp;"ENTRADA",Movimientos!$R$2:$R$1993,0)),"-")</f>
        <v>-</v>
      </c>
      <c r="F110" s="2" t="str">
        <f>IFERROR(INDEX(Movimientos!$G$2:$G$1993,MATCH(A110&amp;"ENTRADA",Movimientos!$R$2:$R$1993,0)),"-")</f>
        <v>-</v>
      </c>
      <c r="G110" s="2" t="str">
        <f>IFERROR(INDEX(Movimientos!$L$2:$L$1993,MATCH(A110&amp;"ENTRADA",Movimientos!$R$2:$R$1993,0)),"-")</f>
        <v>-</v>
      </c>
      <c r="H110" s="17" t="str">
        <f>IFERROR(IF(INDEX(Movimientos!$M$2:$M$1993,MATCH(A110&amp;"ENTRADA",Movimientos!$R$2:$R$1993,0))=0,"S/D",INDEX(Movimientos!$M$2:$M$1993,MATCH(A110&amp;"ENTRADA",Movimientos!$R$2:$R$1993,0))),"S/D")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2417</v>
      </c>
      <c r="B111" s="2" t="str">
        <f>IFERROR(INDEX(Movimientos!$C$2:$C$1993,MATCH(A111&amp;"ENTRADA",Movimientos!$R$2:$R$1993,0)),"-")</f>
        <v>-</v>
      </c>
      <c r="C111" s="2" t="str">
        <f>IFERROR(INDEX(Movimientos!$D$2:$D$1993,MATCH(A111&amp;"ENTRADA",Movimientos!$R$2:$R$1993,0)),"-")</f>
        <v>-</v>
      </c>
      <c r="D111" s="2" t="str">
        <f>IFERROR(INDEX(Movimientos!$E$2:$E$1993,MATCH(A111&amp;"ENTRADA",Movimientos!$R$2:$R$1993,0)),"-")</f>
        <v>-</v>
      </c>
      <c r="E111" s="2" t="str">
        <f>IFERROR(INDEX(Movimientos!$F$2:$F$1993,MATCH(A111&amp;"ENTRADA",Movimientos!$R$2:$R$1993,0)),"-")</f>
        <v>-</v>
      </c>
      <c r="F111" s="2" t="str">
        <f>IFERROR(INDEX(Movimientos!$G$2:$G$1993,MATCH(A111&amp;"ENTRADA",Movimientos!$R$2:$R$1993,0)),"-")</f>
        <v>-</v>
      </c>
      <c r="G111" s="2" t="str">
        <f>IFERROR(INDEX(Movimientos!$L$2:$L$1993,MATCH(A111&amp;"ENTRADA",Movimientos!$R$2:$R$1993,0)),"-")</f>
        <v>-</v>
      </c>
      <c r="H111" s="17" t="str">
        <f>IFERROR(IF(INDEX(Movimientos!$M$2:$M$1993,MATCH(A111&amp;"ENTRADA",Movimientos!$R$2:$R$1993,0))=0,"S/D",INDEX(Movimientos!$M$2:$M$1993,MATCH(A111&amp;"ENTRADA",Movimientos!$R$2:$R$1993,0))),"S/D")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2418</v>
      </c>
      <c r="B112" s="2" t="str">
        <f>IFERROR(INDEX(Movimientos!$C$2:$C$1993,MATCH(A112&amp;"ENTRADA",Movimientos!$R$2:$R$1993,0)),"-")</f>
        <v>-</v>
      </c>
      <c r="C112" s="2" t="str">
        <f>IFERROR(INDEX(Movimientos!$D$2:$D$1993,MATCH(A112&amp;"ENTRADA",Movimientos!$R$2:$R$1993,0)),"-")</f>
        <v>-</v>
      </c>
      <c r="D112" s="2" t="str">
        <f>IFERROR(INDEX(Movimientos!$E$2:$E$1993,MATCH(A112&amp;"ENTRADA",Movimientos!$R$2:$R$1993,0)),"-")</f>
        <v>-</v>
      </c>
      <c r="E112" s="2" t="str">
        <f>IFERROR(INDEX(Movimientos!$F$2:$F$1993,MATCH(A112&amp;"ENTRADA",Movimientos!$R$2:$R$1993,0)),"-")</f>
        <v>-</v>
      </c>
      <c r="F112" s="2" t="str">
        <f>IFERROR(INDEX(Movimientos!$G$2:$G$1993,MATCH(A112&amp;"ENTRADA",Movimientos!$R$2:$R$1993,0)),"-")</f>
        <v>-</v>
      </c>
      <c r="G112" s="2" t="str">
        <f>IFERROR(INDEX(Movimientos!$L$2:$L$1993,MATCH(A112&amp;"ENTRADA",Movimientos!$R$2:$R$1993,0)),"-")</f>
        <v>-</v>
      </c>
      <c r="H112" s="17" t="str">
        <f>IFERROR(IF(INDEX(Movimientos!$M$2:$M$1993,MATCH(A112&amp;"ENTRADA",Movimientos!$R$2:$R$1993,0))=0,"S/D",INDEX(Movimientos!$M$2:$M$1993,MATCH(A112&amp;"ENTRADA",Movimientos!$R$2:$R$1993,0))),"S/D")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2419</v>
      </c>
      <c r="B113" s="2" t="str">
        <f>IFERROR(INDEX(Movimientos!$C$2:$C$1993,MATCH(A113&amp;"ENTRADA",Movimientos!$R$2:$R$1993,0)),"-")</f>
        <v>-</v>
      </c>
      <c r="C113" s="2" t="str">
        <f>IFERROR(INDEX(Movimientos!$D$2:$D$1993,MATCH(A113&amp;"ENTRADA",Movimientos!$R$2:$R$1993,0)),"-")</f>
        <v>-</v>
      </c>
      <c r="D113" s="2" t="str">
        <f>IFERROR(INDEX(Movimientos!$E$2:$E$1993,MATCH(A113&amp;"ENTRADA",Movimientos!$R$2:$R$1993,0)),"-")</f>
        <v>-</v>
      </c>
      <c r="E113" s="2" t="str">
        <f>IFERROR(INDEX(Movimientos!$F$2:$F$1993,MATCH(A113&amp;"ENTRADA",Movimientos!$R$2:$R$1993,0)),"-")</f>
        <v>-</v>
      </c>
      <c r="F113" s="2" t="str">
        <f>IFERROR(INDEX(Movimientos!$G$2:$G$1993,MATCH(A113&amp;"ENTRADA",Movimientos!$R$2:$R$1993,0)),"-")</f>
        <v>-</v>
      </c>
      <c r="G113" s="2" t="str">
        <f>IFERROR(INDEX(Movimientos!$L$2:$L$1993,MATCH(A113&amp;"ENTRADA",Movimientos!$R$2:$R$1993,0)),"-")</f>
        <v>-</v>
      </c>
      <c r="H113" s="17" t="str">
        <f>IFERROR(IF(INDEX(Movimientos!$M$2:$M$1993,MATCH(A113&amp;"ENTRADA",Movimientos!$R$2:$R$1993,0))=0,"S/D",INDEX(Movimientos!$M$2:$M$1993,MATCH(A113&amp;"ENTRADA",Movimientos!$R$2:$R$1993,0))),"S/D")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2420</v>
      </c>
      <c r="B114" s="2" t="str">
        <f>IFERROR(INDEX(Movimientos!$C$2:$C$1993,MATCH(A114&amp;"ENTRADA",Movimientos!$R$2:$R$1993,0)),"-")</f>
        <v>-</v>
      </c>
      <c r="C114" s="2" t="str">
        <f>IFERROR(INDEX(Movimientos!$D$2:$D$1993,MATCH(A114&amp;"ENTRADA",Movimientos!$R$2:$R$1993,0)),"-")</f>
        <v>-</v>
      </c>
      <c r="D114" s="2" t="str">
        <f>IFERROR(INDEX(Movimientos!$E$2:$E$1993,MATCH(A114&amp;"ENTRADA",Movimientos!$R$2:$R$1993,0)),"-")</f>
        <v>-</v>
      </c>
      <c r="E114" s="2" t="str">
        <f>IFERROR(INDEX(Movimientos!$F$2:$F$1993,MATCH(A114&amp;"ENTRADA",Movimientos!$R$2:$R$1993,0)),"-")</f>
        <v>-</v>
      </c>
      <c r="F114" s="2" t="str">
        <f>IFERROR(INDEX(Movimientos!$G$2:$G$1993,MATCH(A114&amp;"ENTRADA",Movimientos!$R$2:$R$1993,0)),"-")</f>
        <v>-</v>
      </c>
      <c r="G114" s="2" t="str">
        <f>IFERROR(INDEX(Movimientos!$L$2:$L$1993,MATCH(A114&amp;"ENTRADA",Movimientos!$R$2:$R$1993,0)),"-")</f>
        <v>-</v>
      </c>
      <c r="H114" s="17" t="str">
        <f>IFERROR(IF(INDEX(Movimientos!$M$2:$M$1993,MATCH(A114&amp;"ENTRADA",Movimientos!$R$2:$R$1993,0))=0,"S/D",INDEX(Movimientos!$M$2:$M$1993,MATCH(A114&amp;"ENTRADA",Movimientos!$R$2:$R$1993,0))),"S/D")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2421</v>
      </c>
      <c r="B115" s="2" t="str">
        <f>IFERROR(INDEX(Movimientos!$C$2:$C$1993,MATCH(A115&amp;"ENTRADA",Movimientos!$R$2:$R$1993,0)),"-")</f>
        <v>-</v>
      </c>
      <c r="C115" s="2" t="str">
        <f>IFERROR(INDEX(Movimientos!$D$2:$D$1993,MATCH(A115&amp;"ENTRADA",Movimientos!$R$2:$R$1993,0)),"-")</f>
        <v>-</v>
      </c>
      <c r="D115" s="2" t="str">
        <f>IFERROR(INDEX(Movimientos!$E$2:$E$1993,MATCH(A115&amp;"ENTRADA",Movimientos!$R$2:$R$1993,0)),"-")</f>
        <v>-</v>
      </c>
      <c r="E115" s="2" t="str">
        <f>IFERROR(INDEX(Movimientos!$F$2:$F$1993,MATCH(A115&amp;"ENTRADA",Movimientos!$R$2:$R$1993,0)),"-")</f>
        <v>-</v>
      </c>
      <c r="F115" s="2" t="str">
        <f>IFERROR(INDEX(Movimientos!$G$2:$G$1993,MATCH(A115&amp;"ENTRADA",Movimientos!$R$2:$R$1993,0)),"-")</f>
        <v>-</v>
      </c>
      <c r="G115" s="2" t="str">
        <f>IFERROR(INDEX(Movimientos!$L$2:$L$1993,MATCH(A115&amp;"ENTRADA",Movimientos!$R$2:$R$1993,0)),"-")</f>
        <v>-</v>
      </c>
      <c r="H115" s="17" t="str">
        <f>IFERROR(IF(INDEX(Movimientos!$M$2:$M$1993,MATCH(A115&amp;"ENTRADA",Movimientos!$R$2:$R$1993,0))=0,"S/D",INDEX(Movimientos!$M$2:$M$1993,MATCH(A115&amp;"ENTRADA",Movimientos!$R$2:$R$1993,0))),"S/D")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2422</v>
      </c>
      <c r="B116" s="2" t="str">
        <f>IFERROR(INDEX(Movimientos!$C$2:$C$1993,MATCH(A116&amp;"ENTRADA",Movimientos!$R$2:$R$1993,0)),"-")</f>
        <v>-</v>
      </c>
      <c r="C116" s="2" t="str">
        <f>IFERROR(INDEX(Movimientos!$D$2:$D$1993,MATCH(A116&amp;"ENTRADA",Movimientos!$R$2:$R$1993,0)),"-")</f>
        <v>-</v>
      </c>
      <c r="D116" s="2" t="str">
        <f>IFERROR(INDEX(Movimientos!$E$2:$E$1993,MATCH(A116&amp;"ENTRADA",Movimientos!$R$2:$R$1993,0)),"-")</f>
        <v>-</v>
      </c>
      <c r="E116" s="2" t="str">
        <f>IFERROR(INDEX(Movimientos!$F$2:$F$1993,MATCH(A116&amp;"ENTRADA",Movimientos!$R$2:$R$1993,0)),"-")</f>
        <v>-</v>
      </c>
      <c r="F116" s="2" t="str">
        <f>IFERROR(INDEX(Movimientos!$G$2:$G$1993,MATCH(A116&amp;"ENTRADA",Movimientos!$R$2:$R$1993,0)),"-")</f>
        <v>-</v>
      </c>
      <c r="G116" s="2" t="str">
        <f>IFERROR(INDEX(Movimientos!$L$2:$L$1993,MATCH(A116&amp;"ENTRADA",Movimientos!$R$2:$R$1993,0)),"-")</f>
        <v>-</v>
      </c>
      <c r="H116" s="17" t="str">
        <f>IFERROR(IF(INDEX(Movimientos!$M$2:$M$1993,MATCH(A116&amp;"ENTRADA",Movimientos!$R$2:$R$1993,0))=0,"S/D",INDEX(Movimientos!$M$2:$M$1993,MATCH(A116&amp;"ENTRADA",Movimientos!$R$2:$R$1993,0))),"S/D")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2423</v>
      </c>
      <c r="B117" s="2" t="str">
        <f>IFERROR(INDEX(Movimientos!$C$2:$C$1993,MATCH(A117&amp;"ENTRADA",Movimientos!$R$2:$R$1993,0)),"-")</f>
        <v>-</v>
      </c>
      <c r="C117" s="2" t="str">
        <f>IFERROR(INDEX(Movimientos!$D$2:$D$1993,MATCH(A117&amp;"ENTRADA",Movimientos!$R$2:$R$1993,0)),"-")</f>
        <v>-</v>
      </c>
      <c r="D117" s="2" t="str">
        <f>IFERROR(INDEX(Movimientos!$E$2:$E$1993,MATCH(A117&amp;"ENTRADA",Movimientos!$R$2:$R$1993,0)),"-")</f>
        <v>-</v>
      </c>
      <c r="E117" s="2" t="str">
        <f>IFERROR(INDEX(Movimientos!$F$2:$F$1993,MATCH(A117&amp;"ENTRADA",Movimientos!$R$2:$R$1993,0)),"-")</f>
        <v>-</v>
      </c>
      <c r="F117" s="2" t="str">
        <f>IFERROR(INDEX(Movimientos!$G$2:$G$1993,MATCH(A117&amp;"ENTRADA",Movimientos!$R$2:$R$1993,0)),"-")</f>
        <v>-</v>
      </c>
      <c r="G117" s="2" t="str">
        <f>IFERROR(INDEX(Movimientos!$L$2:$L$1993,MATCH(A117&amp;"ENTRADA",Movimientos!$R$2:$R$1993,0)),"-")</f>
        <v>-</v>
      </c>
      <c r="H117" s="17" t="str">
        <f>IFERROR(IF(INDEX(Movimientos!$M$2:$M$1993,MATCH(A117&amp;"ENTRADA",Movimientos!$R$2:$R$1993,0))=0,"S/D",INDEX(Movimientos!$M$2:$M$1993,MATCH(A117&amp;"ENTRADA",Movimientos!$R$2:$R$1993,0))),"S/D")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2424</v>
      </c>
      <c r="B118" s="2" t="str">
        <f>IFERROR(INDEX(Movimientos!$C$2:$C$1993,MATCH(A118&amp;"ENTRADA",Movimientos!$R$2:$R$1993,0)),"-")</f>
        <v>-</v>
      </c>
      <c r="C118" s="2" t="str">
        <f>IFERROR(INDEX(Movimientos!$D$2:$D$1993,MATCH(A118&amp;"ENTRADA",Movimientos!$R$2:$R$1993,0)),"-")</f>
        <v>-</v>
      </c>
      <c r="D118" s="2" t="str">
        <f>IFERROR(INDEX(Movimientos!$E$2:$E$1993,MATCH(A118&amp;"ENTRADA",Movimientos!$R$2:$R$1993,0)),"-")</f>
        <v>-</v>
      </c>
      <c r="E118" s="2" t="str">
        <f>IFERROR(INDEX(Movimientos!$F$2:$F$1993,MATCH(A118&amp;"ENTRADA",Movimientos!$R$2:$R$1993,0)),"-")</f>
        <v>-</v>
      </c>
      <c r="F118" s="2" t="str">
        <f>IFERROR(INDEX(Movimientos!$G$2:$G$1993,MATCH(A118&amp;"ENTRADA",Movimientos!$R$2:$R$1993,0)),"-")</f>
        <v>-</v>
      </c>
      <c r="G118" s="2" t="str">
        <f>IFERROR(INDEX(Movimientos!$L$2:$L$1993,MATCH(A118&amp;"ENTRADA",Movimientos!$R$2:$R$1993,0)),"-")</f>
        <v>-</v>
      </c>
      <c r="H118" s="17" t="str">
        <f>IFERROR(IF(INDEX(Movimientos!$M$2:$M$1993,MATCH(A118&amp;"ENTRADA",Movimientos!$R$2:$R$1993,0))=0,"S/D",INDEX(Movimientos!$M$2:$M$1993,MATCH(A118&amp;"ENTRADA",Movimientos!$R$2:$R$1993,0))),"S/D")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2425</v>
      </c>
      <c r="B119" s="2" t="str">
        <f>IFERROR(INDEX(Movimientos!$C$2:$C$1993,MATCH(A119&amp;"ENTRADA",Movimientos!$R$2:$R$1993,0)),"-")</f>
        <v>-</v>
      </c>
      <c r="C119" s="2" t="str">
        <f>IFERROR(INDEX(Movimientos!$D$2:$D$1993,MATCH(A119&amp;"ENTRADA",Movimientos!$R$2:$R$1993,0)),"-")</f>
        <v>-</v>
      </c>
      <c r="D119" s="2" t="str">
        <f>IFERROR(INDEX(Movimientos!$E$2:$E$1993,MATCH(A119&amp;"ENTRADA",Movimientos!$R$2:$R$1993,0)),"-")</f>
        <v>-</v>
      </c>
      <c r="E119" s="2" t="str">
        <f>IFERROR(INDEX(Movimientos!$F$2:$F$1993,MATCH(A119&amp;"ENTRADA",Movimientos!$R$2:$R$1993,0)),"-")</f>
        <v>-</v>
      </c>
      <c r="F119" s="2" t="str">
        <f>IFERROR(INDEX(Movimientos!$G$2:$G$1993,MATCH(A119&amp;"ENTRADA",Movimientos!$R$2:$R$1993,0)),"-")</f>
        <v>-</v>
      </c>
      <c r="G119" s="2" t="str">
        <f>IFERROR(INDEX(Movimientos!$L$2:$L$1993,MATCH(A119&amp;"ENTRADA",Movimientos!$R$2:$R$1993,0)),"-")</f>
        <v>-</v>
      </c>
      <c r="H119" s="17" t="str">
        <f>IFERROR(IF(INDEX(Movimientos!$M$2:$M$1993,MATCH(A119&amp;"ENTRADA",Movimientos!$R$2:$R$1993,0))=0,"S/D",INDEX(Movimientos!$M$2:$M$1993,MATCH(A119&amp;"ENTRADA",Movimientos!$R$2:$R$1993,0))),"S/D")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2426</v>
      </c>
      <c r="B120" s="2" t="str">
        <f>IFERROR(INDEX(Movimientos!$C$2:$C$1993,MATCH(A120&amp;"ENTRADA",Movimientos!$R$2:$R$1993,0)),"-")</f>
        <v>-</v>
      </c>
      <c r="C120" s="2" t="str">
        <f>IFERROR(INDEX(Movimientos!$D$2:$D$1993,MATCH(A120&amp;"ENTRADA",Movimientos!$R$2:$R$1993,0)),"-")</f>
        <v>-</v>
      </c>
      <c r="D120" s="2" t="str">
        <f>IFERROR(INDEX(Movimientos!$E$2:$E$1993,MATCH(A120&amp;"ENTRADA",Movimientos!$R$2:$R$1993,0)),"-")</f>
        <v>-</v>
      </c>
      <c r="E120" s="2" t="str">
        <f>IFERROR(INDEX(Movimientos!$F$2:$F$1993,MATCH(A120&amp;"ENTRADA",Movimientos!$R$2:$R$1993,0)),"-")</f>
        <v>-</v>
      </c>
      <c r="F120" s="2" t="str">
        <f>IFERROR(INDEX(Movimientos!$G$2:$G$1993,MATCH(A120&amp;"ENTRADA",Movimientos!$R$2:$R$1993,0)),"-")</f>
        <v>-</v>
      </c>
      <c r="G120" s="2" t="str">
        <f>IFERROR(INDEX(Movimientos!$L$2:$L$1993,MATCH(A120&amp;"ENTRADA",Movimientos!$R$2:$R$1993,0)),"-")</f>
        <v>-</v>
      </c>
      <c r="H120" s="17" t="str">
        <f>IFERROR(IF(INDEX(Movimientos!$M$2:$M$1993,MATCH(A120&amp;"ENTRADA",Movimientos!$R$2:$R$1993,0))=0,"S/D",INDEX(Movimientos!$M$2:$M$1993,MATCH(A120&amp;"ENTRADA",Movimientos!$R$2:$R$1993,0))),"S/D")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2427</v>
      </c>
      <c r="B121" s="2" t="str">
        <f>IFERROR(INDEX(Movimientos!$C$2:$C$1993,MATCH(A121&amp;"ENTRADA",Movimientos!$R$2:$R$1993,0)),"-")</f>
        <v>-</v>
      </c>
      <c r="C121" s="2" t="str">
        <f>IFERROR(INDEX(Movimientos!$D$2:$D$1993,MATCH(A121&amp;"ENTRADA",Movimientos!$R$2:$R$1993,0)),"-")</f>
        <v>-</v>
      </c>
      <c r="D121" s="2" t="str">
        <f>IFERROR(INDEX(Movimientos!$E$2:$E$1993,MATCH(A121&amp;"ENTRADA",Movimientos!$R$2:$R$1993,0)),"-")</f>
        <v>-</v>
      </c>
      <c r="E121" s="2" t="str">
        <f>IFERROR(INDEX(Movimientos!$F$2:$F$1993,MATCH(A121&amp;"ENTRADA",Movimientos!$R$2:$R$1993,0)),"-")</f>
        <v>-</v>
      </c>
      <c r="F121" s="2" t="str">
        <f>IFERROR(INDEX(Movimientos!$G$2:$G$1993,MATCH(A121&amp;"ENTRADA",Movimientos!$R$2:$R$1993,0)),"-")</f>
        <v>-</v>
      </c>
      <c r="G121" s="2" t="str">
        <f>IFERROR(INDEX(Movimientos!$L$2:$L$1993,MATCH(A121&amp;"ENTRADA",Movimientos!$R$2:$R$1993,0)),"-")</f>
        <v>-</v>
      </c>
      <c r="H121" s="17" t="str">
        <f>IFERROR(IF(INDEX(Movimientos!$M$2:$M$1993,MATCH(A121&amp;"ENTRADA",Movimientos!$R$2:$R$1993,0))=0,"S/D",INDEX(Movimientos!$M$2:$M$1993,MATCH(A121&amp;"ENTRADA",Movimientos!$R$2:$R$1993,0))),"S/D")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2428</v>
      </c>
      <c r="B122" s="2" t="str">
        <f>IFERROR(INDEX(Movimientos!$C$2:$C$1993,MATCH(A122&amp;"ENTRADA",Movimientos!$R$2:$R$1993,0)),"-")</f>
        <v>-</v>
      </c>
      <c r="C122" s="2" t="str">
        <f>IFERROR(INDEX(Movimientos!$D$2:$D$1993,MATCH(A122&amp;"ENTRADA",Movimientos!$R$2:$R$1993,0)),"-")</f>
        <v>-</v>
      </c>
      <c r="D122" s="2" t="str">
        <f>IFERROR(INDEX(Movimientos!$E$2:$E$1993,MATCH(A122&amp;"ENTRADA",Movimientos!$R$2:$R$1993,0)),"-")</f>
        <v>-</v>
      </c>
      <c r="E122" s="2" t="str">
        <f>IFERROR(INDEX(Movimientos!$F$2:$F$1993,MATCH(A122&amp;"ENTRADA",Movimientos!$R$2:$R$1993,0)),"-")</f>
        <v>-</v>
      </c>
      <c r="F122" s="2" t="str">
        <f>IFERROR(INDEX(Movimientos!$G$2:$G$1993,MATCH(A122&amp;"ENTRADA",Movimientos!$R$2:$R$1993,0)),"-")</f>
        <v>-</v>
      </c>
      <c r="G122" s="2" t="str">
        <f>IFERROR(INDEX(Movimientos!$L$2:$L$1993,MATCH(A122&amp;"ENTRADA",Movimientos!$R$2:$R$1993,0)),"-")</f>
        <v>-</v>
      </c>
      <c r="H122" s="17" t="str">
        <f>IFERROR(IF(INDEX(Movimientos!$M$2:$M$1993,MATCH(A122&amp;"ENTRADA",Movimientos!$R$2:$R$1993,0))=0,"S/D",INDEX(Movimientos!$M$2:$M$1993,MATCH(A122&amp;"ENTRADA",Movimientos!$R$2:$R$1993,0))),"S/D")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2429</v>
      </c>
      <c r="B123" s="2" t="str">
        <f>IFERROR(INDEX(Movimientos!$C$2:$C$1993,MATCH(A123&amp;"ENTRADA",Movimientos!$R$2:$R$1993,0)),"-")</f>
        <v>-</v>
      </c>
      <c r="C123" s="2" t="str">
        <f>IFERROR(INDEX(Movimientos!$D$2:$D$1993,MATCH(A123&amp;"ENTRADA",Movimientos!$R$2:$R$1993,0)),"-")</f>
        <v>-</v>
      </c>
      <c r="D123" s="2" t="str">
        <f>IFERROR(INDEX(Movimientos!$E$2:$E$1993,MATCH(A123&amp;"ENTRADA",Movimientos!$R$2:$R$1993,0)),"-")</f>
        <v>-</v>
      </c>
      <c r="E123" s="2" t="str">
        <f>IFERROR(INDEX(Movimientos!$F$2:$F$1993,MATCH(A123&amp;"ENTRADA",Movimientos!$R$2:$R$1993,0)),"-")</f>
        <v>-</v>
      </c>
      <c r="F123" s="2" t="str">
        <f>IFERROR(INDEX(Movimientos!$G$2:$G$1993,MATCH(A123&amp;"ENTRADA",Movimientos!$R$2:$R$1993,0)),"-")</f>
        <v>-</v>
      </c>
      <c r="G123" s="2" t="str">
        <f>IFERROR(INDEX(Movimientos!$L$2:$L$1993,MATCH(A123&amp;"ENTRADA",Movimientos!$R$2:$R$1993,0)),"-")</f>
        <v>-</v>
      </c>
      <c r="H123" s="17" t="str">
        <f>IFERROR(IF(INDEX(Movimientos!$M$2:$M$1993,MATCH(A123&amp;"ENTRADA",Movimientos!$R$2:$R$1993,0))=0,"S/D",INDEX(Movimientos!$M$2:$M$1993,MATCH(A123&amp;"ENTRADA",Movimientos!$R$2:$R$1993,0))),"S/D")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2430</v>
      </c>
      <c r="B124" s="2" t="str">
        <f>IFERROR(INDEX(Movimientos!$C$2:$C$1993,MATCH(A124&amp;"ENTRADA",Movimientos!$R$2:$R$1993,0)),"-")</f>
        <v>-</v>
      </c>
      <c r="C124" s="2" t="str">
        <f>IFERROR(INDEX(Movimientos!$D$2:$D$1993,MATCH(A124&amp;"ENTRADA",Movimientos!$R$2:$R$1993,0)),"-")</f>
        <v>-</v>
      </c>
      <c r="D124" s="2" t="str">
        <f>IFERROR(INDEX(Movimientos!$E$2:$E$1993,MATCH(A124&amp;"ENTRADA",Movimientos!$R$2:$R$1993,0)),"-")</f>
        <v>-</v>
      </c>
      <c r="E124" s="2" t="str">
        <f>IFERROR(INDEX(Movimientos!$F$2:$F$1993,MATCH(A124&amp;"ENTRADA",Movimientos!$R$2:$R$1993,0)),"-")</f>
        <v>-</v>
      </c>
      <c r="F124" s="2" t="str">
        <f>IFERROR(INDEX(Movimientos!$G$2:$G$1993,MATCH(A124&amp;"ENTRADA",Movimientos!$R$2:$R$1993,0)),"-")</f>
        <v>-</v>
      </c>
      <c r="G124" s="2" t="str">
        <f>IFERROR(INDEX(Movimientos!$L$2:$L$1993,MATCH(A124&amp;"ENTRADA",Movimientos!$R$2:$R$1993,0)),"-")</f>
        <v>-</v>
      </c>
      <c r="H124" s="17" t="str">
        <f>IFERROR(IF(INDEX(Movimientos!$M$2:$M$1993,MATCH(A124&amp;"ENTRADA",Movimientos!$R$2:$R$1993,0))=0,"S/D",INDEX(Movimientos!$M$2:$M$1993,MATCH(A124&amp;"ENTRADA",Movimientos!$R$2:$R$1993,0))),"S/D")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2431</v>
      </c>
      <c r="B125" s="2" t="str">
        <f>IFERROR(INDEX(Movimientos!$C$2:$C$1993,MATCH(A125&amp;"ENTRADA",Movimientos!$R$2:$R$1993,0)),"-")</f>
        <v>-</v>
      </c>
      <c r="C125" s="2" t="str">
        <f>IFERROR(INDEX(Movimientos!$D$2:$D$1993,MATCH(A125&amp;"ENTRADA",Movimientos!$R$2:$R$1993,0)),"-")</f>
        <v>-</v>
      </c>
      <c r="D125" s="2" t="str">
        <f>IFERROR(INDEX(Movimientos!$E$2:$E$1993,MATCH(A125&amp;"ENTRADA",Movimientos!$R$2:$R$1993,0)),"-")</f>
        <v>-</v>
      </c>
      <c r="E125" s="2" t="str">
        <f>IFERROR(INDEX(Movimientos!$F$2:$F$1993,MATCH(A125&amp;"ENTRADA",Movimientos!$R$2:$R$1993,0)),"-")</f>
        <v>-</v>
      </c>
      <c r="F125" s="2" t="str">
        <f>IFERROR(INDEX(Movimientos!$G$2:$G$1993,MATCH(A125&amp;"ENTRADA",Movimientos!$R$2:$R$1993,0)),"-")</f>
        <v>-</v>
      </c>
      <c r="G125" s="2" t="str">
        <f>IFERROR(INDEX(Movimientos!$L$2:$L$1993,MATCH(A125&amp;"ENTRADA",Movimientos!$R$2:$R$1993,0)),"-")</f>
        <v>-</v>
      </c>
      <c r="H125" s="17" t="str">
        <f>IFERROR(IF(INDEX(Movimientos!$M$2:$M$1993,MATCH(A125&amp;"ENTRADA",Movimientos!$R$2:$R$1993,0))=0,"S/D",INDEX(Movimientos!$M$2:$M$1993,MATCH(A125&amp;"ENTRADA",Movimientos!$R$2:$R$1993,0))),"S/D")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2432</v>
      </c>
      <c r="B126" s="2" t="str">
        <f>IFERROR(INDEX(Movimientos!$C$2:$C$1993,MATCH(A126&amp;"ENTRADA",Movimientos!$R$2:$R$1993,0)),"-")</f>
        <v>-</v>
      </c>
      <c r="C126" s="2" t="str">
        <f>IFERROR(INDEX(Movimientos!$D$2:$D$1993,MATCH(A126&amp;"ENTRADA",Movimientos!$R$2:$R$1993,0)),"-")</f>
        <v>-</v>
      </c>
      <c r="D126" s="2" t="str">
        <f>IFERROR(INDEX(Movimientos!$E$2:$E$1993,MATCH(A126&amp;"ENTRADA",Movimientos!$R$2:$R$1993,0)),"-")</f>
        <v>-</v>
      </c>
      <c r="E126" s="2" t="str">
        <f>IFERROR(INDEX(Movimientos!$F$2:$F$1993,MATCH(A126&amp;"ENTRADA",Movimientos!$R$2:$R$1993,0)),"-")</f>
        <v>-</v>
      </c>
      <c r="F126" s="2" t="str">
        <f>IFERROR(INDEX(Movimientos!$G$2:$G$1993,MATCH(A126&amp;"ENTRADA",Movimientos!$R$2:$R$1993,0)),"-")</f>
        <v>-</v>
      </c>
      <c r="G126" s="2" t="str">
        <f>IFERROR(INDEX(Movimientos!$L$2:$L$1993,MATCH(A126&amp;"ENTRADA",Movimientos!$R$2:$R$1993,0)),"-")</f>
        <v>-</v>
      </c>
      <c r="H126" s="17" t="str">
        <f>IFERROR(IF(INDEX(Movimientos!$M$2:$M$1993,MATCH(A126&amp;"ENTRADA",Movimientos!$R$2:$R$1993,0))=0,"S/D",INDEX(Movimientos!$M$2:$M$1993,MATCH(A126&amp;"ENTRADA",Movimientos!$R$2:$R$1993,0))),"S/D")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2433</v>
      </c>
      <c r="B127" s="2" t="str">
        <f>IFERROR(INDEX(Movimientos!$C$2:$C$1993,MATCH(A127&amp;"ENTRADA",Movimientos!$R$2:$R$1993,0)),"-")</f>
        <v>-</v>
      </c>
      <c r="C127" s="2" t="str">
        <f>IFERROR(INDEX(Movimientos!$D$2:$D$1993,MATCH(A127&amp;"ENTRADA",Movimientos!$R$2:$R$1993,0)),"-")</f>
        <v>-</v>
      </c>
      <c r="D127" s="2" t="str">
        <f>IFERROR(INDEX(Movimientos!$E$2:$E$1993,MATCH(A127&amp;"ENTRADA",Movimientos!$R$2:$R$1993,0)),"-")</f>
        <v>-</v>
      </c>
      <c r="E127" s="2" t="str">
        <f>IFERROR(INDEX(Movimientos!$F$2:$F$1993,MATCH(A127&amp;"ENTRADA",Movimientos!$R$2:$R$1993,0)),"-")</f>
        <v>-</v>
      </c>
      <c r="F127" s="2" t="str">
        <f>IFERROR(INDEX(Movimientos!$G$2:$G$1993,MATCH(A127&amp;"ENTRADA",Movimientos!$R$2:$R$1993,0)),"-")</f>
        <v>-</v>
      </c>
      <c r="G127" s="2" t="str">
        <f>IFERROR(INDEX(Movimientos!$L$2:$L$1993,MATCH(A127&amp;"ENTRADA",Movimientos!$R$2:$R$1993,0)),"-")</f>
        <v>-</v>
      </c>
      <c r="H127" s="17" t="str">
        <f>IFERROR(IF(INDEX(Movimientos!$M$2:$M$1993,MATCH(A127&amp;"ENTRADA",Movimientos!$R$2:$R$1993,0))=0,"S/D",INDEX(Movimientos!$M$2:$M$1993,MATCH(A127&amp;"ENTRADA",Movimientos!$R$2:$R$1993,0))),"S/D")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2434</v>
      </c>
      <c r="B128" s="2" t="str">
        <f>IFERROR(INDEX(Movimientos!$C$2:$C$1993,MATCH(A128&amp;"ENTRADA",Movimientos!$R$2:$R$1993,0)),"-")</f>
        <v>-</v>
      </c>
      <c r="C128" s="2" t="str">
        <f>IFERROR(INDEX(Movimientos!$D$2:$D$1993,MATCH(A128&amp;"ENTRADA",Movimientos!$R$2:$R$1993,0)),"-")</f>
        <v>-</v>
      </c>
      <c r="D128" s="2" t="str">
        <f>IFERROR(INDEX(Movimientos!$E$2:$E$1993,MATCH(A128&amp;"ENTRADA",Movimientos!$R$2:$R$1993,0)),"-")</f>
        <v>-</v>
      </c>
      <c r="E128" s="2" t="str">
        <f>IFERROR(INDEX(Movimientos!$F$2:$F$1993,MATCH(A128&amp;"ENTRADA",Movimientos!$R$2:$R$1993,0)),"-")</f>
        <v>-</v>
      </c>
      <c r="F128" s="2" t="str">
        <f>IFERROR(INDEX(Movimientos!$G$2:$G$1993,MATCH(A128&amp;"ENTRADA",Movimientos!$R$2:$R$1993,0)),"-")</f>
        <v>-</v>
      </c>
      <c r="G128" s="2" t="str">
        <f>IFERROR(INDEX(Movimientos!$L$2:$L$1993,MATCH(A128&amp;"ENTRADA",Movimientos!$R$2:$R$1993,0)),"-")</f>
        <v>-</v>
      </c>
      <c r="H128" s="17" t="str">
        <f>IFERROR(IF(INDEX(Movimientos!$M$2:$M$1993,MATCH(A128&amp;"ENTRADA",Movimientos!$R$2:$R$1993,0))=0,"S/D",INDEX(Movimientos!$M$2:$M$1993,MATCH(A128&amp;"ENTRADA",Movimientos!$R$2:$R$1993,0))),"S/D")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2435</v>
      </c>
      <c r="B129" s="2" t="str">
        <f>IFERROR(INDEX(Movimientos!$C$2:$C$1993,MATCH(A129&amp;"ENTRADA",Movimientos!$R$2:$R$1993,0)),"-")</f>
        <v>-</v>
      </c>
      <c r="C129" s="2" t="str">
        <f>IFERROR(INDEX(Movimientos!$D$2:$D$1993,MATCH(A129&amp;"ENTRADA",Movimientos!$R$2:$R$1993,0)),"-")</f>
        <v>-</v>
      </c>
      <c r="D129" s="2" t="str">
        <f>IFERROR(INDEX(Movimientos!$E$2:$E$1993,MATCH(A129&amp;"ENTRADA",Movimientos!$R$2:$R$1993,0)),"-")</f>
        <v>-</v>
      </c>
      <c r="E129" s="2" t="str">
        <f>IFERROR(INDEX(Movimientos!$F$2:$F$1993,MATCH(A129&amp;"ENTRADA",Movimientos!$R$2:$R$1993,0)),"-")</f>
        <v>-</v>
      </c>
      <c r="F129" s="2" t="str">
        <f>IFERROR(INDEX(Movimientos!$G$2:$G$1993,MATCH(A129&amp;"ENTRADA",Movimientos!$R$2:$R$1993,0)),"-")</f>
        <v>-</v>
      </c>
      <c r="G129" s="2" t="str">
        <f>IFERROR(INDEX(Movimientos!$L$2:$L$1993,MATCH(A129&amp;"ENTRADA",Movimientos!$R$2:$R$1993,0)),"-")</f>
        <v>-</v>
      </c>
      <c r="H129" s="17" t="str">
        <f>IFERROR(IF(INDEX(Movimientos!$M$2:$M$1993,MATCH(A129&amp;"ENTRADA",Movimientos!$R$2:$R$1993,0))=0,"S/D",INDEX(Movimientos!$M$2:$M$1993,MATCH(A129&amp;"ENTRADA",Movimientos!$R$2:$R$1993,0))),"S/D")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2436</v>
      </c>
      <c r="B130" s="2" t="str">
        <f>IFERROR(INDEX(Movimientos!$C$2:$C$1993,MATCH(A130&amp;"ENTRADA",Movimientos!$R$2:$R$1993,0)),"-")</f>
        <v>-</v>
      </c>
      <c r="C130" s="2" t="str">
        <f>IFERROR(INDEX(Movimientos!$D$2:$D$1993,MATCH(A130&amp;"ENTRADA",Movimientos!$R$2:$R$1993,0)),"-")</f>
        <v>-</v>
      </c>
      <c r="D130" s="2" t="str">
        <f>IFERROR(INDEX(Movimientos!$E$2:$E$1993,MATCH(A130&amp;"ENTRADA",Movimientos!$R$2:$R$1993,0)),"-")</f>
        <v>-</v>
      </c>
      <c r="E130" s="2" t="str">
        <f>IFERROR(INDEX(Movimientos!$F$2:$F$1993,MATCH(A130&amp;"ENTRADA",Movimientos!$R$2:$R$1993,0)),"-")</f>
        <v>-</v>
      </c>
      <c r="F130" s="2" t="str">
        <f>IFERROR(INDEX(Movimientos!$G$2:$G$1993,MATCH(A130&amp;"ENTRADA",Movimientos!$R$2:$R$1993,0)),"-")</f>
        <v>-</v>
      </c>
      <c r="G130" s="2" t="str">
        <f>IFERROR(INDEX(Movimientos!$L$2:$L$1993,MATCH(A130&amp;"ENTRADA",Movimientos!$R$2:$R$1993,0)),"-")</f>
        <v>-</v>
      </c>
      <c r="H130" s="17" t="str">
        <f>IFERROR(IF(INDEX(Movimientos!$M$2:$M$1993,MATCH(A130&amp;"ENTRADA",Movimientos!$R$2:$R$1993,0))=0,"S/D",INDEX(Movimientos!$M$2:$M$1993,MATCH(A130&amp;"ENTRADA",Movimientos!$R$2:$R$1993,0))),"S/D")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2437</v>
      </c>
      <c r="B131" s="2" t="str">
        <f>IFERROR(INDEX(Movimientos!$C$2:$C$1993,MATCH(A131&amp;"ENTRADA",Movimientos!$R$2:$R$1993,0)),"-")</f>
        <v>-</v>
      </c>
      <c r="C131" s="2" t="str">
        <f>IFERROR(INDEX(Movimientos!$D$2:$D$1993,MATCH(A131&amp;"ENTRADA",Movimientos!$R$2:$R$1993,0)),"-")</f>
        <v>-</v>
      </c>
      <c r="D131" s="2" t="str">
        <f>IFERROR(INDEX(Movimientos!$E$2:$E$1993,MATCH(A131&amp;"ENTRADA",Movimientos!$R$2:$R$1993,0)),"-")</f>
        <v>-</v>
      </c>
      <c r="E131" s="2" t="str">
        <f>IFERROR(INDEX(Movimientos!$F$2:$F$1993,MATCH(A131&amp;"ENTRADA",Movimientos!$R$2:$R$1993,0)),"-")</f>
        <v>-</v>
      </c>
      <c r="F131" s="2" t="str">
        <f>IFERROR(INDEX(Movimientos!$G$2:$G$1993,MATCH(A131&amp;"ENTRADA",Movimientos!$R$2:$R$1993,0)),"-")</f>
        <v>-</v>
      </c>
      <c r="G131" s="2" t="str">
        <f>IFERROR(INDEX(Movimientos!$L$2:$L$1993,MATCH(A131&amp;"ENTRADA",Movimientos!$R$2:$R$1993,0)),"-")</f>
        <v>-</v>
      </c>
      <c r="H131" s="17" t="str">
        <f>IFERROR(IF(INDEX(Movimientos!$M$2:$M$1993,MATCH(A131&amp;"ENTRADA",Movimientos!$R$2:$R$1993,0))=0,"S/D",INDEX(Movimientos!$M$2:$M$1993,MATCH(A131&amp;"ENTRADA",Movimientos!$R$2:$R$1993,0))),"S/D")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2438</v>
      </c>
      <c r="B132" s="2" t="str">
        <f>IFERROR(INDEX(Movimientos!$C$2:$C$1993,MATCH(A132&amp;"ENTRADA",Movimientos!$R$2:$R$1993,0)),"-")</f>
        <v>-</v>
      </c>
      <c r="C132" s="2" t="str">
        <f>IFERROR(INDEX(Movimientos!$D$2:$D$1993,MATCH(A132&amp;"ENTRADA",Movimientos!$R$2:$R$1993,0)),"-")</f>
        <v>-</v>
      </c>
      <c r="D132" s="2" t="str">
        <f>IFERROR(INDEX(Movimientos!$E$2:$E$1993,MATCH(A132&amp;"ENTRADA",Movimientos!$R$2:$R$1993,0)),"-")</f>
        <v>-</v>
      </c>
      <c r="E132" s="2" t="str">
        <f>IFERROR(INDEX(Movimientos!$F$2:$F$1993,MATCH(A132&amp;"ENTRADA",Movimientos!$R$2:$R$1993,0)),"-")</f>
        <v>-</v>
      </c>
      <c r="F132" s="2" t="str">
        <f>IFERROR(INDEX(Movimientos!$G$2:$G$1993,MATCH(A132&amp;"ENTRADA",Movimientos!$R$2:$R$1993,0)),"-")</f>
        <v>-</v>
      </c>
      <c r="G132" s="2" t="str">
        <f>IFERROR(INDEX(Movimientos!$L$2:$L$1993,MATCH(A132&amp;"ENTRADA",Movimientos!$R$2:$R$1993,0)),"-")</f>
        <v>-</v>
      </c>
      <c r="H132" s="17" t="str">
        <f>IFERROR(IF(INDEX(Movimientos!$M$2:$M$1993,MATCH(A132&amp;"ENTRADA",Movimientos!$R$2:$R$1993,0))=0,"S/D",INDEX(Movimientos!$M$2:$M$1993,MATCH(A132&amp;"ENTRADA",Movimientos!$R$2:$R$1993,0))),"S/D")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2439</v>
      </c>
      <c r="B133" s="2" t="str">
        <f>IFERROR(INDEX(Movimientos!$C$2:$C$1993,MATCH(A133&amp;"ENTRADA",Movimientos!$R$2:$R$1993,0)),"-")</f>
        <v>-</v>
      </c>
      <c r="C133" s="2" t="str">
        <f>IFERROR(INDEX(Movimientos!$D$2:$D$1993,MATCH(A133&amp;"ENTRADA",Movimientos!$R$2:$R$1993,0)),"-")</f>
        <v>-</v>
      </c>
      <c r="D133" s="2" t="str">
        <f>IFERROR(INDEX(Movimientos!$E$2:$E$1993,MATCH(A133&amp;"ENTRADA",Movimientos!$R$2:$R$1993,0)),"-")</f>
        <v>-</v>
      </c>
      <c r="E133" s="2" t="str">
        <f>IFERROR(INDEX(Movimientos!$F$2:$F$1993,MATCH(A133&amp;"ENTRADA",Movimientos!$R$2:$R$1993,0)),"-")</f>
        <v>-</v>
      </c>
      <c r="F133" s="2" t="str">
        <f>IFERROR(INDEX(Movimientos!$G$2:$G$1993,MATCH(A133&amp;"ENTRADA",Movimientos!$R$2:$R$1993,0)),"-")</f>
        <v>-</v>
      </c>
      <c r="G133" s="2" t="str">
        <f>IFERROR(INDEX(Movimientos!$L$2:$L$1993,MATCH(A133&amp;"ENTRADA",Movimientos!$R$2:$R$1993,0)),"-")</f>
        <v>-</v>
      </c>
      <c r="H133" s="17" t="str">
        <f>IFERROR(IF(INDEX(Movimientos!$M$2:$M$1993,MATCH(A133&amp;"ENTRADA",Movimientos!$R$2:$R$1993,0))=0,"S/D",INDEX(Movimientos!$M$2:$M$1993,MATCH(A133&amp;"ENTRADA",Movimientos!$R$2:$R$1993,0))),"S/D")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2440</v>
      </c>
      <c r="B134" s="2" t="str">
        <f>IFERROR(INDEX(Movimientos!$C$2:$C$1993,MATCH(A134&amp;"ENTRADA",Movimientos!$R$2:$R$1993,0)),"-")</f>
        <v>-</v>
      </c>
      <c r="C134" s="2" t="str">
        <f>IFERROR(INDEX(Movimientos!$D$2:$D$1993,MATCH(A134&amp;"ENTRADA",Movimientos!$R$2:$R$1993,0)),"-")</f>
        <v>-</v>
      </c>
      <c r="D134" s="2" t="str">
        <f>IFERROR(INDEX(Movimientos!$E$2:$E$1993,MATCH(A134&amp;"ENTRADA",Movimientos!$R$2:$R$1993,0)),"-")</f>
        <v>-</v>
      </c>
      <c r="E134" s="2" t="str">
        <f>IFERROR(INDEX(Movimientos!$F$2:$F$1993,MATCH(A134&amp;"ENTRADA",Movimientos!$R$2:$R$1993,0)),"-")</f>
        <v>-</v>
      </c>
      <c r="F134" s="2" t="str">
        <f>IFERROR(INDEX(Movimientos!$G$2:$G$1993,MATCH(A134&amp;"ENTRADA",Movimientos!$R$2:$R$1993,0)),"-")</f>
        <v>-</v>
      </c>
      <c r="G134" s="2" t="str">
        <f>IFERROR(INDEX(Movimientos!$L$2:$L$1993,MATCH(A134&amp;"ENTRADA",Movimientos!$R$2:$R$1993,0)),"-")</f>
        <v>-</v>
      </c>
      <c r="H134" s="17" t="str">
        <f>IFERROR(IF(INDEX(Movimientos!$M$2:$M$1993,MATCH(A134&amp;"ENTRADA",Movimientos!$R$2:$R$1993,0))=0,"S/D",INDEX(Movimientos!$M$2:$M$1993,MATCH(A134&amp;"ENTRADA",Movimientos!$R$2:$R$1993,0))),"S/D")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2441</v>
      </c>
      <c r="B135" s="2" t="str">
        <f>IFERROR(INDEX(Movimientos!$C$2:$C$1993,MATCH(A135&amp;"ENTRADA",Movimientos!$R$2:$R$1993,0)),"-")</f>
        <v>-</v>
      </c>
      <c r="C135" s="2" t="str">
        <f>IFERROR(INDEX(Movimientos!$D$2:$D$1993,MATCH(A135&amp;"ENTRADA",Movimientos!$R$2:$R$1993,0)),"-")</f>
        <v>-</v>
      </c>
      <c r="D135" s="2" t="str">
        <f>IFERROR(INDEX(Movimientos!$E$2:$E$1993,MATCH(A135&amp;"ENTRADA",Movimientos!$R$2:$R$1993,0)),"-")</f>
        <v>-</v>
      </c>
      <c r="E135" s="2" t="str">
        <f>IFERROR(INDEX(Movimientos!$F$2:$F$1993,MATCH(A135&amp;"ENTRADA",Movimientos!$R$2:$R$1993,0)),"-")</f>
        <v>-</v>
      </c>
      <c r="F135" s="2" t="str">
        <f>IFERROR(INDEX(Movimientos!$G$2:$G$1993,MATCH(A135&amp;"ENTRADA",Movimientos!$R$2:$R$1993,0)),"-")</f>
        <v>-</v>
      </c>
      <c r="G135" s="2" t="str">
        <f>IFERROR(INDEX(Movimientos!$L$2:$L$1993,MATCH(A135&amp;"ENTRADA",Movimientos!$R$2:$R$1993,0)),"-")</f>
        <v>-</v>
      </c>
      <c r="H135" s="17" t="str">
        <f>IFERROR(IF(INDEX(Movimientos!$M$2:$M$1993,MATCH(A135&amp;"ENTRADA",Movimientos!$R$2:$R$1993,0))=0,"S/D",INDEX(Movimientos!$M$2:$M$1993,MATCH(A135&amp;"ENTRADA",Movimientos!$R$2:$R$1993,0))),"S/D")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2442</v>
      </c>
      <c r="B136" s="2" t="str">
        <f>IFERROR(INDEX(Movimientos!$C$2:$C$1993,MATCH(A136&amp;"ENTRADA",Movimientos!$R$2:$R$1993,0)),"-")</f>
        <v>-</v>
      </c>
      <c r="C136" s="2" t="str">
        <f>IFERROR(INDEX(Movimientos!$D$2:$D$1993,MATCH(A136&amp;"ENTRADA",Movimientos!$R$2:$R$1993,0)),"-")</f>
        <v>-</v>
      </c>
      <c r="D136" s="2" t="str">
        <f>IFERROR(INDEX(Movimientos!$E$2:$E$1993,MATCH(A136&amp;"ENTRADA",Movimientos!$R$2:$R$1993,0)),"-")</f>
        <v>-</v>
      </c>
      <c r="E136" s="2" t="str">
        <f>IFERROR(INDEX(Movimientos!$F$2:$F$1993,MATCH(A136&amp;"ENTRADA",Movimientos!$R$2:$R$1993,0)),"-")</f>
        <v>-</v>
      </c>
      <c r="F136" s="2" t="str">
        <f>IFERROR(INDEX(Movimientos!$G$2:$G$1993,MATCH(A136&amp;"ENTRADA",Movimientos!$R$2:$R$1993,0)),"-")</f>
        <v>-</v>
      </c>
      <c r="G136" s="2" t="str">
        <f>IFERROR(INDEX(Movimientos!$L$2:$L$1993,MATCH(A136&amp;"ENTRADA",Movimientos!$R$2:$R$1993,0)),"-")</f>
        <v>-</v>
      </c>
      <c r="H136" s="17" t="str">
        <f>IFERROR(IF(INDEX(Movimientos!$M$2:$M$1993,MATCH(A136&amp;"ENTRADA",Movimientos!$R$2:$R$1993,0))=0,"S/D",INDEX(Movimientos!$M$2:$M$1993,MATCH(A136&amp;"ENTRADA",Movimientos!$R$2:$R$1993,0))),"S/D")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2443</v>
      </c>
      <c r="B137" s="2" t="str">
        <f>IFERROR(INDEX(Movimientos!$C$2:$C$1993,MATCH(A137&amp;"ENTRADA",Movimientos!$R$2:$R$1993,0)),"-")</f>
        <v>-</v>
      </c>
      <c r="C137" s="2" t="str">
        <f>IFERROR(INDEX(Movimientos!$D$2:$D$1993,MATCH(A137&amp;"ENTRADA",Movimientos!$R$2:$R$1993,0)),"-")</f>
        <v>-</v>
      </c>
      <c r="D137" s="2" t="str">
        <f>IFERROR(INDEX(Movimientos!$E$2:$E$1993,MATCH(A137&amp;"ENTRADA",Movimientos!$R$2:$R$1993,0)),"-")</f>
        <v>-</v>
      </c>
      <c r="E137" s="2" t="str">
        <f>IFERROR(INDEX(Movimientos!$F$2:$F$1993,MATCH(A137&amp;"ENTRADA",Movimientos!$R$2:$R$1993,0)),"-")</f>
        <v>-</v>
      </c>
      <c r="F137" s="2" t="str">
        <f>IFERROR(INDEX(Movimientos!$G$2:$G$1993,MATCH(A137&amp;"ENTRADA",Movimientos!$R$2:$R$1993,0)),"-")</f>
        <v>-</v>
      </c>
      <c r="G137" s="2" t="str">
        <f>IFERROR(INDEX(Movimientos!$L$2:$L$1993,MATCH(A137&amp;"ENTRADA",Movimientos!$R$2:$R$1993,0)),"-")</f>
        <v>-</v>
      </c>
      <c r="H137" s="17" t="str">
        <f>IFERROR(IF(INDEX(Movimientos!$M$2:$M$1993,MATCH(A137&amp;"ENTRADA",Movimientos!$R$2:$R$1993,0))=0,"S/D",INDEX(Movimientos!$M$2:$M$1993,MATCH(A137&amp;"ENTRADA",Movimientos!$R$2:$R$1993,0))),"S/D")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2444</v>
      </c>
      <c r="B138" s="2" t="str">
        <f>IFERROR(INDEX(Movimientos!$C$2:$C$1993,MATCH(A138&amp;"ENTRADA",Movimientos!$R$2:$R$1993,0)),"-")</f>
        <v>-</v>
      </c>
      <c r="C138" s="2" t="str">
        <f>IFERROR(INDEX(Movimientos!$D$2:$D$1993,MATCH(A138&amp;"ENTRADA",Movimientos!$R$2:$R$1993,0)),"-")</f>
        <v>-</v>
      </c>
      <c r="D138" s="2" t="str">
        <f>IFERROR(INDEX(Movimientos!$E$2:$E$1993,MATCH(A138&amp;"ENTRADA",Movimientos!$R$2:$R$1993,0)),"-")</f>
        <v>-</v>
      </c>
      <c r="E138" s="2" t="str">
        <f>IFERROR(INDEX(Movimientos!$F$2:$F$1993,MATCH(A138&amp;"ENTRADA",Movimientos!$R$2:$R$1993,0)),"-")</f>
        <v>-</v>
      </c>
      <c r="F138" s="2" t="str">
        <f>IFERROR(INDEX(Movimientos!$G$2:$G$1993,MATCH(A138&amp;"ENTRADA",Movimientos!$R$2:$R$1993,0)),"-")</f>
        <v>-</v>
      </c>
      <c r="G138" s="2" t="str">
        <f>IFERROR(INDEX(Movimientos!$L$2:$L$1993,MATCH(A138&amp;"ENTRADA",Movimientos!$R$2:$R$1993,0)),"-")</f>
        <v>-</v>
      </c>
      <c r="H138" s="17" t="str">
        <f>IFERROR(IF(INDEX(Movimientos!$M$2:$M$1993,MATCH(A138&amp;"ENTRADA",Movimientos!$R$2:$R$1993,0))=0,"S/D",INDEX(Movimientos!$M$2:$M$1993,MATCH(A138&amp;"ENTRADA",Movimientos!$R$2:$R$1993,0))),"S/D")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2445</v>
      </c>
      <c r="B139" s="2" t="str">
        <f>IFERROR(INDEX(Movimientos!$C$2:$C$1993,MATCH(A139&amp;"ENTRADA",Movimientos!$R$2:$R$1993,0)),"-")</f>
        <v>-</v>
      </c>
      <c r="C139" s="2" t="str">
        <f>IFERROR(INDEX(Movimientos!$D$2:$D$1993,MATCH(A139&amp;"ENTRADA",Movimientos!$R$2:$R$1993,0)),"-")</f>
        <v>-</v>
      </c>
      <c r="D139" s="2" t="str">
        <f>IFERROR(INDEX(Movimientos!$E$2:$E$1993,MATCH(A139&amp;"ENTRADA",Movimientos!$R$2:$R$1993,0)),"-")</f>
        <v>-</v>
      </c>
      <c r="E139" s="2" t="str">
        <f>IFERROR(INDEX(Movimientos!$F$2:$F$1993,MATCH(A139&amp;"ENTRADA",Movimientos!$R$2:$R$1993,0)),"-")</f>
        <v>-</v>
      </c>
      <c r="F139" s="2" t="str">
        <f>IFERROR(INDEX(Movimientos!$G$2:$G$1993,MATCH(A139&amp;"ENTRADA",Movimientos!$R$2:$R$1993,0)),"-")</f>
        <v>-</v>
      </c>
      <c r="G139" s="2" t="str">
        <f>IFERROR(INDEX(Movimientos!$L$2:$L$1993,MATCH(A139&amp;"ENTRADA",Movimientos!$R$2:$R$1993,0)),"-")</f>
        <v>-</v>
      </c>
      <c r="H139" s="17" t="str">
        <f>IFERROR(IF(INDEX(Movimientos!$M$2:$M$1993,MATCH(A139&amp;"ENTRADA",Movimientos!$R$2:$R$1993,0))=0,"S/D",INDEX(Movimientos!$M$2:$M$1993,MATCH(A139&amp;"ENTRADA",Movimientos!$R$2:$R$1993,0))),"S/D")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2446</v>
      </c>
      <c r="B140" s="2" t="str">
        <f>IFERROR(INDEX(Movimientos!$C$2:$C$1993,MATCH(A140&amp;"ENTRADA",Movimientos!$R$2:$R$1993,0)),"-")</f>
        <v>-</v>
      </c>
      <c r="C140" s="2" t="str">
        <f>IFERROR(INDEX(Movimientos!$D$2:$D$1993,MATCH(A140&amp;"ENTRADA",Movimientos!$R$2:$R$1993,0)),"-")</f>
        <v>-</v>
      </c>
      <c r="D140" s="2" t="str">
        <f>IFERROR(INDEX(Movimientos!$E$2:$E$1993,MATCH(A140&amp;"ENTRADA",Movimientos!$R$2:$R$1993,0)),"-")</f>
        <v>-</v>
      </c>
      <c r="E140" s="2" t="str">
        <f>IFERROR(INDEX(Movimientos!$F$2:$F$1993,MATCH(A140&amp;"ENTRADA",Movimientos!$R$2:$R$1993,0)),"-")</f>
        <v>-</v>
      </c>
      <c r="F140" s="2" t="str">
        <f>IFERROR(INDEX(Movimientos!$G$2:$G$1993,MATCH(A140&amp;"ENTRADA",Movimientos!$R$2:$R$1993,0)),"-")</f>
        <v>-</v>
      </c>
      <c r="G140" s="2" t="str">
        <f>IFERROR(INDEX(Movimientos!$L$2:$L$1993,MATCH(A140&amp;"ENTRADA",Movimientos!$R$2:$R$1993,0)),"-")</f>
        <v>-</v>
      </c>
      <c r="H140" s="17" t="str">
        <f>IFERROR(IF(INDEX(Movimientos!$M$2:$M$1993,MATCH(A140&amp;"ENTRADA",Movimientos!$R$2:$R$1993,0))=0,"S/D",INDEX(Movimientos!$M$2:$M$1993,MATCH(A140&amp;"ENTRADA",Movimientos!$R$2:$R$1993,0))),"S/D")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2447</v>
      </c>
      <c r="B141" s="2" t="str">
        <f>IFERROR(INDEX(Movimientos!$C$2:$C$1993,MATCH(A141&amp;"ENTRADA",Movimientos!$R$2:$R$1993,0)),"-")</f>
        <v>-</v>
      </c>
      <c r="C141" s="2" t="str">
        <f>IFERROR(INDEX(Movimientos!$D$2:$D$1993,MATCH(A141&amp;"ENTRADA",Movimientos!$R$2:$R$1993,0)),"-")</f>
        <v>-</v>
      </c>
      <c r="D141" s="2" t="str">
        <f>IFERROR(INDEX(Movimientos!$E$2:$E$1993,MATCH(A141&amp;"ENTRADA",Movimientos!$R$2:$R$1993,0)),"-")</f>
        <v>-</v>
      </c>
      <c r="E141" s="2" t="str">
        <f>IFERROR(INDEX(Movimientos!$F$2:$F$1993,MATCH(A141&amp;"ENTRADA",Movimientos!$R$2:$R$1993,0)),"-")</f>
        <v>-</v>
      </c>
      <c r="F141" s="2" t="str">
        <f>IFERROR(INDEX(Movimientos!$G$2:$G$1993,MATCH(A141&amp;"ENTRADA",Movimientos!$R$2:$R$1993,0)),"-")</f>
        <v>-</v>
      </c>
      <c r="G141" s="2" t="str">
        <f>IFERROR(INDEX(Movimientos!$L$2:$L$1993,MATCH(A141&amp;"ENTRADA",Movimientos!$R$2:$R$1993,0)),"-")</f>
        <v>-</v>
      </c>
      <c r="H141" s="17" t="str">
        <f>IFERROR(IF(INDEX(Movimientos!$M$2:$M$1993,MATCH(A141&amp;"ENTRADA",Movimientos!$R$2:$R$1993,0))=0,"S/D",INDEX(Movimientos!$M$2:$M$1993,MATCH(A141&amp;"ENTRADA",Movimientos!$R$2:$R$1993,0))),"S/D")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2448</v>
      </c>
      <c r="B142" s="2" t="str">
        <f>IFERROR(INDEX(Movimientos!$C$2:$C$1993,MATCH(A142&amp;"ENTRADA",Movimientos!$R$2:$R$1993,0)),"-")</f>
        <v>-</v>
      </c>
      <c r="C142" s="2" t="str">
        <f>IFERROR(INDEX(Movimientos!$D$2:$D$1993,MATCH(A142&amp;"ENTRADA",Movimientos!$R$2:$R$1993,0)),"-")</f>
        <v>-</v>
      </c>
      <c r="D142" s="2" t="str">
        <f>IFERROR(INDEX(Movimientos!$E$2:$E$1993,MATCH(A142&amp;"ENTRADA",Movimientos!$R$2:$R$1993,0)),"-")</f>
        <v>-</v>
      </c>
      <c r="E142" s="2" t="str">
        <f>IFERROR(INDEX(Movimientos!$F$2:$F$1993,MATCH(A142&amp;"ENTRADA",Movimientos!$R$2:$R$1993,0)),"-")</f>
        <v>-</v>
      </c>
      <c r="F142" s="2" t="str">
        <f>IFERROR(INDEX(Movimientos!$G$2:$G$1993,MATCH(A142&amp;"ENTRADA",Movimientos!$R$2:$R$1993,0)),"-")</f>
        <v>-</v>
      </c>
      <c r="G142" s="2" t="str">
        <f>IFERROR(INDEX(Movimientos!$L$2:$L$1993,MATCH(A142&amp;"ENTRADA",Movimientos!$R$2:$R$1993,0)),"-")</f>
        <v>-</v>
      </c>
      <c r="H142" s="17" t="str">
        <f>IFERROR(IF(INDEX(Movimientos!$M$2:$M$1993,MATCH(A142&amp;"ENTRADA",Movimientos!$R$2:$R$1993,0))=0,"S/D",INDEX(Movimientos!$M$2:$M$1993,MATCH(A142&amp;"ENTRADA",Movimientos!$R$2:$R$1993,0))),"S/D")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2449</v>
      </c>
      <c r="B143" s="2" t="str">
        <f>IFERROR(INDEX(Movimientos!$C$2:$C$1993,MATCH(A143&amp;"ENTRADA",Movimientos!$R$2:$R$1993,0)),"-")</f>
        <v>-</v>
      </c>
      <c r="C143" s="2" t="str">
        <f>IFERROR(INDEX(Movimientos!$D$2:$D$1993,MATCH(A143&amp;"ENTRADA",Movimientos!$R$2:$R$1993,0)),"-")</f>
        <v>-</v>
      </c>
      <c r="D143" s="2" t="str">
        <f>IFERROR(INDEX(Movimientos!$E$2:$E$1993,MATCH(A143&amp;"ENTRADA",Movimientos!$R$2:$R$1993,0)),"-")</f>
        <v>-</v>
      </c>
      <c r="E143" s="2" t="str">
        <f>IFERROR(INDEX(Movimientos!$F$2:$F$1993,MATCH(A143&amp;"ENTRADA",Movimientos!$R$2:$R$1993,0)),"-")</f>
        <v>-</v>
      </c>
      <c r="F143" s="2" t="str">
        <f>IFERROR(INDEX(Movimientos!$G$2:$G$1993,MATCH(A143&amp;"ENTRADA",Movimientos!$R$2:$R$1993,0)),"-")</f>
        <v>-</v>
      </c>
      <c r="G143" s="2" t="str">
        <f>IFERROR(INDEX(Movimientos!$L$2:$L$1993,MATCH(A143&amp;"ENTRADA",Movimientos!$R$2:$R$1993,0)),"-")</f>
        <v>-</v>
      </c>
      <c r="H143" s="17" t="str">
        <f>IFERROR(IF(INDEX(Movimientos!$M$2:$M$1993,MATCH(A143&amp;"ENTRADA",Movimientos!$R$2:$R$1993,0))=0,"S/D",INDEX(Movimientos!$M$2:$M$1993,MATCH(A143&amp;"ENTRADA",Movimientos!$R$2:$R$1993,0))),"S/D")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2450</v>
      </c>
      <c r="B144" s="2" t="str">
        <f>IFERROR(INDEX(Movimientos!$C$2:$C$1993,MATCH(A144&amp;"ENTRADA",Movimientos!$R$2:$R$1993,0)),"-")</f>
        <v>-</v>
      </c>
      <c r="C144" s="2" t="str">
        <f>IFERROR(INDEX(Movimientos!$D$2:$D$1993,MATCH(A144&amp;"ENTRADA",Movimientos!$R$2:$R$1993,0)),"-")</f>
        <v>-</v>
      </c>
      <c r="D144" s="2" t="str">
        <f>IFERROR(INDEX(Movimientos!$E$2:$E$1993,MATCH(A144&amp;"ENTRADA",Movimientos!$R$2:$R$1993,0)),"-")</f>
        <v>-</v>
      </c>
      <c r="E144" s="2" t="str">
        <f>IFERROR(INDEX(Movimientos!$F$2:$F$1993,MATCH(A144&amp;"ENTRADA",Movimientos!$R$2:$R$1993,0)),"-")</f>
        <v>-</v>
      </c>
      <c r="F144" s="2" t="str">
        <f>IFERROR(INDEX(Movimientos!$G$2:$G$1993,MATCH(A144&amp;"ENTRADA",Movimientos!$R$2:$R$1993,0)),"-")</f>
        <v>-</v>
      </c>
      <c r="G144" s="2" t="str">
        <f>IFERROR(INDEX(Movimientos!$L$2:$L$1993,MATCH(A144&amp;"ENTRADA",Movimientos!$R$2:$R$1993,0)),"-")</f>
        <v>-</v>
      </c>
      <c r="H144" s="17" t="str">
        <f>IFERROR(IF(INDEX(Movimientos!$M$2:$M$1993,MATCH(A144&amp;"ENTRADA",Movimientos!$R$2:$R$1993,0))=0,"S/D",INDEX(Movimientos!$M$2:$M$1993,MATCH(A144&amp;"ENTRADA",Movimientos!$R$2:$R$1993,0))),"S/D")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2451</v>
      </c>
      <c r="B145" s="2" t="str">
        <f>IFERROR(INDEX(Movimientos!$C$2:$C$1993,MATCH(A145&amp;"ENTRADA",Movimientos!$R$2:$R$1993,0)),"-")</f>
        <v>-</v>
      </c>
      <c r="C145" s="2" t="str">
        <f>IFERROR(INDEX(Movimientos!$D$2:$D$1993,MATCH(A145&amp;"ENTRADA",Movimientos!$R$2:$R$1993,0)),"-")</f>
        <v>-</v>
      </c>
      <c r="D145" s="2" t="str">
        <f>IFERROR(INDEX(Movimientos!$E$2:$E$1993,MATCH(A145&amp;"ENTRADA",Movimientos!$R$2:$R$1993,0)),"-")</f>
        <v>-</v>
      </c>
      <c r="E145" s="2" t="str">
        <f>IFERROR(INDEX(Movimientos!$F$2:$F$1993,MATCH(A145&amp;"ENTRADA",Movimientos!$R$2:$R$1993,0)),"-")</f>
        <v>-</v>
      </c>
      <c r="F145" s="2" t="str">
        <f>IFERROR(INDEX(Movimientos!$G$2:$G$1993,MATCH(A145&amp;"ENTRADA",Movimientos!$R$2:$R$1993,0)),"-")</f>
        <v>-</v>
      </c>
      <c r="G145" s="2" t="str">
        <f>IFERROR(INDEX(Movimientos!$L$2:$L$1993,MATCH(A145&amp;"ENTRADA",Movimientos!$R$2:$R$1993,0)),"-")</f>
        <v>-</v>
      </c>
      <c r="H145" s="17" t="str">
        <f>IFERROR(IF(INDEX(Movimientos!$M$2:$M$1993,MATCH(A145&amp;"ENTRADA",Movimientos!$R$2:$R$1993,0))=0,"S/D",INDEX(Movimientos!$M$2:$M$1993,MATCH(A145&amp;"ENTRADA",Movimientos!$R$2:$R$1993,0))),"S/D")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2452</v>
      </c>
      <c r="B146" s="2" t="str">
        <f>IFERROR(INDEX(Movimientos!$C$2:$C$1993,MATCH(A146&amp;"ENTRADA",Movimientos!$R$2:$R$1993,0)),"-")</f>
        <v>-</v>
      </c>
      <c r="C146" s="2" t="str">
        <f>IFERROR(INDEX(Movimientos!$D$2:$D$1993,MATCH(A146&amp;"ENTRADA",Movimientos!$R$2:$R$1993,0)),"-")</f>
        <v>-</v>
      </c>
      <c r="D146" s="2" t="str">
        <f>IFERROR(INDEX(Movimientos!$E$2:$E$1993,MATCH(A146&amp;"ENTRADA",Movimientos!$R$2:$R$1993,0)),"-")</f>
        <v>-</v>
      </c>
      <c r="E146" s="2" t="str">
        <f>IFERROR(INDEX(Movimientos!$F$2:$F$1993,MATCH(A146&amp;"ENTRADA",Movimientos!$R$2:$R$1993,0)),"-")</f>
        <v>-</v>
      </c>
      <c r="F146" s="2" t="str">
        <f>IFERROR(INDEX(Movimientos!$G$2:$G$1993,MATCH(A146&amp;"ENTRADA",Movimientos!$R$2:$R$1993,0)),"-")</f>
        <v>-</v>
      </c>
      <c r="G146" s="2" t="str">
        <f>IFERROR(INDEX(Movimientos!$L$2:$L$1993,MATCH(A146&amp;"ENTRADA",Movimientos!$R$2:$R$1993,0)),"-")</f>
        <v>-</v>
      </c>
      <c r="H146" s="17" t="str">
        <f>IFERROR(IF(INDEX(Movimientos!$M$2:$M$1993,MATCH(A146&amp;"ENTRADA",Movimientos!$R$2:$R$1993,0))=0,"S/D",INDEX(Movimientos!$M$2:$M$1993,MATCH(A146&amp;"ENTRADA",Movimientos!$R$2:$R$1993,0))),"S/D")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2453</v>
      </c>
      <c r="B147" s="2" t="str">
        <f>IFERROR(INDEX(Movimientos!$C$2:$C$1993,MATCH(A147&amp;"ENTRADA",Movimientos!$R$2:$R$1993,0)),"-")</f>
        <v>-</v>
      </c>
      <c r="C147" s="2" t="str">
        <f>IFERROR(INDEX(Movimientos!$D$2:$D$1993,MATCH(A147&amp;"ENTRADA",Movimientos!$R$2:$R$1993,0)),"-")</f>
        <v>-</v>
      </c>
      <c r="D147" s="2" t="str">
        <f>IFERROR(INDEX(Movimientos!$E$2:$E$1993,MATCH(A147&amp;"ENTRADA",Movimientos!$R$2:$R$1993,0)),"-")</f>
        <v>-</v>
      </c>
      <c r="E147" s="2" t="str">
        <f>IFERROR(INDEX(Movimientos!$F$2:$F$1993,MATCH(A147&amp;"ENTRADA",Movimientos!$R$2:$R$1993,0)),"-")</f>
        <v>-</v>
      </c>
      <c r="F147" s="2" t="str">
        <f>IFERROR(INDEX(Movimientos!$G$2:$G$1993,MATCH(A147&amp;"ENTRADA",Movimientos!$R$2:$R$1993,0)),"-")</f>
        <v>-</v>
      </c>
      <c r="G147" s="2" t="str">
        <f>IFERROR(INDEX(Movimientos!$L$2:$L$1993,MATCH(A147&amp;"ENTRADA",Movimientos!$R$2:$R$1993,0)),"-")</f>
        <v>-</v>
      </c>
      <c r="H147" s="17" t="str">
        <f>IFERROR(IF(INDEX(Movimientos!$M$2:$M$1993,MATCH(A147&amp;"ENTRADA",Movimientos!$R$2:$R$1993,0))=0,"S/D",INDEX(Movimientos!$M$2:$M$1993,MATCH(A147&amp;"ENTRADA",Movimientos!$R$2:$R$1993,0))),"S/D")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2454</v>
      </c>
      <c r="B148" s="2" t="str">
        <f>IFERROR(INDEX(Movimientos!$C$2:$C$1993,MATCH(A148&amp;"ENTRADA",Movimientos!$R$2:$R$1993,0)),"-")</f>
        <v>-</v>
      </c>
      <c r="C148" s="2" t="str">
        <f>IFERROR(INDEX(Movimientos!$D$2:$D$1993,MATCH(A148&amp;"ENTRADA",Movimientos!$R$2:$R$1993,0)),"-")</f>
        <v>-</v>
      </c>
      <c r="D148" s="2" t="str">
        <f>IFERROR(INDEX(Movimientos!$E$2:$E$1993,MATCH(A148&amp;"ENTRADA",Movimientos!$R$2:$R$1993,0)),"-")</f>
        <v>-</v>
      </c>
      <c r="E148" s="2" t="str">
        <f>IFERROR(INDEX(Movimientos!$F$2:$F$1993,MATCH(A148&amp;"ENTRADA",Movimientos!$R$2:$R$1993,0)),"-")</f>
        <v>-</v>
      </c>
      <c r="F148" s="2" t="str">
        <f>IFERROR(INDEX(Movimientos!$G$2:$G$1993,MATCH(A148&amp;"ENTRADA",Movimientos!$R$2:$R$1993,0)),"-")</f>
        <v>-</v>
      </c>
      <c r="G148" s="2" t="str">
        <f>IFERROR(INDEX(Movimientos!$L$2:$L$1993,MATCH(A148&amp;"ENTRADA",Movimientos!$R$2:$R$1993,0)),"-")</f>
        <v>-</v>
      </c>
      <c r="H148" s="17" t="str">
        <f>IFERROR(IF(INDEX(Movimientos!$M$2:$M$1993,MATCH(A148&amp;"ENTRADA",Movimientos!$R$2:$R$1993,0))=0,"S/D",INDEX(Movimientos!$M$2:$M$1993,MATCH(A148&amp;"ENTRADA",Movimientos!$R$2:$R$1993,0))),"S/D")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2455</v>
      </c>
      <c r="B149" s="2" t="str">
        <f>IFERROR(INDEX(Movimientos!$C$2:$C$1993,MATCH(A149&amp;"ENTRADA",Movimientos!$R$2:$R$1993,0)),"-")</f>
        <v>-</v>
      </c>
      <c r="C149" s="2" t="str">
        <f>IFERROR(INDEX(Movimientos!$D$2:$D$1993,MATCH(A149&amp;"ENTRADA",Movimientos!$R$2:$R$1993,0)),"-")</f>
        <v>-</v>
      </c>
      <c r="D149" s="2" t="str">
        <f>IFERROR(INDEX(Movimientos!$E$2:$E$1993,MATCH(A149&amp;"ENTRADA",Movimientos!$R$2:$R$1993,0)),"-")</f>
        <v>-</v>
      </c>
      <c r="E149" s="2" t="str">
        <f>IFERROR(INDEX(Movimientos!$F$2:$F$1993,MATCH(A149&amp;"ENTRADA",Movimientos!$R$2:$R$1993,0)),"-")</f>
        <v>-</v>
      </c>
      <c r="F149" s="2" t="str">
        <f>IFERROR(INDEX(Movimientos!$G$2:$G$1993,MATCH(A149&amp;"ENTRADA",Movimientos!$R$2:$R$1993,0)),"-")</f>
        <v>-</v>
      </c>
      <c r="G149" s="2" t="str">
        <f>IFERROR(INDEX(Movimientos!$L$2:$L$1993,MATCH(A149&amp;"ENTRADA",Movimientos!$R$2:$R$1993,0)),"-")</f>
        <v>-</v>
      </c>
      <c r="H149" s="17" t="str">
        <f>IFERROR(IF(INDEX(Movimientos!$M$2:$M$1993,MATCH(A149&amp;"ENTRADA",Movimientos!$R$2:$R$1993,0))=0,"S/D",INDEX(Movimientos!$M$2:$M$1993,MATCH(A149&amp;"ENTRADA",Movimientos!$R$2:$R$1993,0))),"S/D")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2456</v>
      </c>
      <c r="B150" s="2" t="str">
        <f>IFERROR(INDEX(Movimientos!$C$2:$C$1993,MATCH(A150&amp;"ENTRADA",Movimientos!$R$2:$R$1993,0)),"-")</f>
        <v>-</v>
      </c>
      <c r="C150" s="2" t="str">
        <f>IFERROR(INDEX(Movimientos!$D$2:$D$1993,MATCH(A150&amp;"ENTRADA",Movimientos!$R$2:$R$1993,0)),"-")</f>
        <v>-</v>
      </c>
      <c r="D150" s="2" t="str">
        <f>IFERROR(INDEX(Movimientos!$E$2:$E$1993,MATCH(A150&amp;"ENTRADA",Movimientos!$R$2:$R$1993,0)),"-")</f>
        <v>-</v>
      </c>
      <c r="E150" s="2" t="str">
        <f>IFERROR(INDEX(Movimientos!$F$2:$F$1993,MATCH(A150&amp;"ENTRADA",Movimientos!$R$2:$R$1993,0)),"-")</f>
        <v>-</v>
      </c>
      <c r="F150" s="2" t="str">
        <f>IFERROR(INDEX(Movimientos!$G$2:$G$1993,MATCH(A150&amp;"ENTRADA",Movimientos!$R$2:$R$1993,0)),"-")</f>
        <v>-</v>
      </c>
      <c r="G150" s="2" t="str">
        <f>IFERROR(INDEX(Movimientos!$L$2:$L$1993,MATCH(A150&amp;"ENTRADA",Movimientos!$R$2:$R$1993,0)),"-")</f>
        <v>-</v>
      </c>
      <c r="H150" s="17" t="str">
        <f>IFERROR(IF(INDEX(Movimientos!$M$2:$M$1993,MATCH(A150&amp;"ENTRADA",Movimientos!$R$2:$R$1993,0))=0,"S/D",INDEX(Movimientos!$M$2:$M$1993,MATCH(A150&amp;"ENTRADA",Movimientos!$R$2:$R$1993,0))),"S/D")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2457</v>
      </c>
      <c r="B151" s="2" t="str">
        <f>IFERROR(INDEX(Movimientos!$C$2:$C$1993,MATCH(A151&amp;"ENTRADA",Movimientos!$R$2:$R$1993,0)),"-")</f>
        <v>-</v>
      </c>
      <c r="C151" s="2" t="str">
        <f>IFERROR(INDEX(Movimientos!$D$2:$D$1993,MATCH(A151&amp;"ENTRADA",Movimientos!$R$2:$R$1993,0)),"-")</f>
        <v>-</v>
      </c>
      <c r="D151" s="2" t="str">
        <f>IFERROR(INDEX(Movimientos!$E$2:$E$1993,MATCH(A151&amp;"ENTRADA",Movimientos!$R$2:$R$1993,0)),"-")</f>
        <v>-</v>
      </c>
      <c r="E151" s="2" t="str">
        <f>IFERROR(INDEX(Movimientos!$F$2:$F$1993,MATCH(A151&amp;"ENTRADA",Movimientos!$R$2:$R$1993,0)),"-")</f>
        <v>-</v>
      </c>
      <c r="F151" s="2" t="str">
        <f>IFERROR(INDEX(Movimientos!$G$2:$G$1993,MATCH(A151&amp;"ENTRADA",Movimientos!$R$2:$R$1993,0)),"-")</f>
        <v>-</v>
      </c>
      <c r="G151" s="2" t="str">
        <f>IFERROR(INDEX(Movimientos!$L$2:$L$1993,MATCH(A151&amp;"ENTRADA",Movimientos!$R$2:$R$1993,0)),"-")</f>
        <v>-</v>
      </c>
      <c r="H151" s="17" t="str">
        <f>IFERROR(IF(INDEX(Movimientos!$M$2:$M$1993,MATCH(A151&amp;"ENTRADA",Movimientos!$R$2:$R$1993,0))=0,"S/D",INDEX(Movimientos!$M$2:$M$1993,MATCH(A151&amp;"ENTRADA",Movimientos!$R$2:$R$1993,0))),"S/D")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2458</v>
      </c>
      <c r="B152" s="2" t="str">
        <f>IFERROR(INDEX(Movimientos!$C$2:$C$1993,MATCH(A152&amp;"ENTRADA",Movimientos!$R$2:$R$1993,0)),"-")</f>
        <v>-</v>
      </c>
      <c r="C152" s="2" t="str">
        <f>IFERROR(INDEX(Movimientos!$D$2:$D$1993,MATCH(A152&amp;"ENTRADA",Movimientos!$R$2:$R$1993,0)),"-")</f>
        <v>-</v>
      </c>
      <c r="D152" s="2" t="str">
        <f>IFERROR(INDEX(Movimientos!$E$2:$E$1993,MATCH(A152&amp;"ENTRADA",Movimientos!$R$2:$R$1993,0)),"-")</f>
        <v>-</v>
      </c>
      <c r="E152" s="2" t="str">
        <f>IFERROR(INDEX(Movimientos!$F$2:$F$1993,MATCH(A152&amp;"ENTRADA",Movimientos!$R$2:$R$1993,0)),"-")</f>
        <v>-</v>
      </c>
      <c r="F152" s="2" t="str">
        <f>IFERROR(INDEX(Movimientos!$G$2:$G$1993,MATCH(A152&amp;"ENTRADA",Movimientos!$R$2:$R$1993,0)),"-")</f>
        <v>-</v>
      </c>
      <c r="G152" s="2" t="str">
        <f>IFERROR(INDEX(Movimientos!$L$2:$L$1993,MATCH(A152&amp;"ENTRADA",Movimientos!$R$2:$R$1993,0)),"-")</f>
        <v>-</v>
      </c>
      <c r="H152" s="17" t="str">
        <f>IFERROR(IF(INDEX(Movimientos!$M$2:$M$1993,MATCH(A152&amp;"ENTRADA",Movimientos!$R$2:$R$1993,0))=0,"S/D",INDEX(Movimientos!$M$2:$M$1993,MATCH(A152&amp;"ENTRADA",Movimientos!$R$2:$R$1993,0))),"S/D")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2459</v>
      </c>
      <c r="B153" s="2" t="str">
        <f>IFERROR(INDEX(Movimientos!$C$2:$C$1993,MATCH(A153&amp;"ENTRADA",Movimientos!$R$2:$R$1993,0)),"-")</f>
        <v>-</v>
      </c>
      <c r="C153" s="2" t="str">
        <f>IFERROR(INDEX(Movimientos!$D$2:$D$1993,MATCH(A153&amp;"ENTRADA",Movimientos!$R$2:$R$1993,0)),"-")</f>
        <v>-</v>
      </c>
      <c r="D153" s="2" t="str">
        <f>IFERROR(INDEX(Movimientos!$E$2:$E$1993,MATCH(A153&amp;"ENTRADA",Movimientos!$R$2:$R$1993,0)),"-")</f>
        <v>-</v>
      </c>
      <c r="E153" s="2" t="str">
        <f>IFERROR(INDEX(Movimientos!$F$2:$F$1993,MATCH(A153&amp;"ENTRADA",Movimientos!$R$2:$R$1993,0)),"-")</f>
        <v>-</v>
      </c>
      <c r="F153" s="2" t="str">
        <f>IFERROR(INDEX(Movimientos!$G$2:$G$1993,MATCH(A153&amp;"ENTRADA",Movimientos!$R$2:$R$1993,0)),"-")</f>
        <v>-</v>
      </c>
      <c r="G153" s="2" t="str">
        <f>IFERROR(INDEX(Movimientos!$L$2:$L$1993,MATCH(A153&amp;"ENTRADA",Movimientos!$R$2:$R$1993,0)),"-")</f>
        <v>-</v>
      </c>
      <c r="H153" s="17" t="str">
        <f>IFERROR(IF(INDEX(Movimientos!$M$2:$M$1993,MATCH(A153&amp;"ENTRADA",Movimientos!$R$2:$R$1993,0))=0,"S/D",INDEX(Movimientos!$M$2:$M$1993,MATCH(A153&amp;"ENTRADA",Movimientos!$R$2:$R$1993,0))),"S/D")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2460</v>
      </c>
      <c r="B154" s="2" t="str">
        <f>IFERROR(INDEX(Movimientos!$C$2:$C$1993,MATCH(A154&amp;"ENTRADA",Movimientos!$R$2:$R$1993,0)),"-")</f>
        <v>-</v>
      </c>
      <c r="C154" s="2" t="str">
        <f>IFERROR(INDEX(Movimientos!$D$2:$D$1993,MATCH(A154&amp;"ENTRADA",Movimientos!$R$2:$R$1993,0)),"-")</f>
        <v>-</v>
      </c>
      <c r="D154" s="2" t="str">
        <f>IFERROR(INDEX(Movimientos!$E$2:$E$1993,MATCH(A154&amp;"ENTRADA",Movimientos!$R$2:$R$1993,0)),"-")</f>
        <v>-</v>
      </c>
      <c r="E154" s="2" t="str">
        <f>IFERROR(INDEX(Movimientos!$F$2:$F$1993,MATCH(A154&amp;"ENTRADA",Movimientos!$R$2:$R$1993,0)),"-")</f>
        <v>-</v>
      </c>
      <c r="F154" s="2" t="str">
        <f>IFERROR(INDEX(Movimientos!$G$2:$G$1993,MATCH(A154&amp;"ENTRADA",Movimientos!$R$2:$R$1993,0)),"-")</f>
        <v>-</v>
      </c>
      <c r="G154" s="2" t="str">
        <f>IFERROR(INDEX(Movimientos!$L$2:$L$1993,MATCH(A154&amp;"ENTRADA",Movimientos!$R$2:$R$1993,0)),"-")</f>
        <v>-</v>
      </c>
      <c r="H154" s="17" t="str">
        <f>IFERROR(IF(INDEX(Movimientos!$M$2:$M$1993,MATCH(A154&amp;"ENTRADA",Movimientos!$R$2:$R$1993,0))=0,"S/D",INDEX(Movimientos!$M$2:$M$1993,MATCH(A154&amp;"ENTRADA",Movimientos!$R$2:$R$1993,0))),"S/D")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2461</v>
      </c>
      <c r="B155" s="2" t="str">
        <f>IFERROR(INDEX(Movimientos!$C$2:$C$1993,MATCH(A155&amp;"ENTRADA",Movimientos!$R$2:$R$1993,0)),"-")</f>
        <v>-</v>
      </c>
      <c r="C155" s="2" t="str">
        <f>IFERROR(INDEX(Movimientos!$D$2:$D$1993,MATCH(A155&amp;"ENTRADA",Movimientos!$R$2:$R$1993,0)),"-")</f>
        <v>-</v>
      </c>
      <c r="D155" s="2" t="str">
        <f>IFERROR(INDEX(Movimientos!$E$2:$E$1993,MATCH(A155&amp;"ENTRADA",Movimientos!$R$2:$R$1993,0)),"-")</f>
        <v>-</v>
      </c>
      <c r="E155" s="2" t="str">
        <f>IFERROR(INDEX(Movimientos!$F$2:$F$1993,MATCH(A155&amp;"ENTRADA",Movimientos!$R$2:$R$1993,0)),"-")</f>
        <v>-</v>
      </c>
      <c r="F155" s="2" t="str">
        <f>IFERROR(INDEX(Movimientos!$G$2:$G$1993,MATCH(A155&amp;"ENTRADA",Movimientos!$R$2:$R$1993,0)),"-")</f>
        <v>-</v>
      </c>
      <c r="G155" s="2" t="str">
        <f>IFERROR(INDEX(Movimientos!$L$2:$L$1993,MATCH(A155&amp;"ENTRADA",Movimientos!$R$2:$R$1993,0)),"-")</f>
        <v>-</v>
      </c>
      <c r="H155" s="17" t="str">
        <f>IFERROR(IF(INDEX(Movimientos!$M$2:$M$1993,MATCH(A155&amp;"ENTRADA",Movimientos!$R$2:$R$1993,0))=0,"S/D",INDEX(Movimientos!$M$2:$M$1993,MATCH(A155&amp;"ENTRADA",Movimientos!$R$2:$R$1993,0))),"S/D")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2462</v>
      </c>
      <c r="B156" s="2" t="str">
        <f>IFERROR(INDEX(Movimientos!$C$2:$C$1993,MATCH(A156&amp;"ENTRADA",Movimientos!$R$2:$R$1993,0)),"-")</f>
        <v>-</v>
      </c>
      <c r="C156" s="2" t="str">
        <f>IFERROR(INDEX(Movimientos!$D$2:$D$1993,MATCH(A156&amp;"ENTRADA",Movimientos!$R$2:$R$1993,0)),"-")</f>
        <v>-</v>
      </c>
      <c r="D156" s="2" t="str">
        <f>IFERROR(INDEX(Movimientos!$E$2:$E$1993,MATCH(A156&amp;"ENTRADA",Movimientos!$R$2:$R$1993,0)),"-")</f>
        <v>-</v>
      </c>
      <c r="E156" s="2" t="str">
        <f>IFERROR(INDEX(Movimientos!$F$2:$F$1993,MATCH(A156&amp;"ENTRADA",Movimientos!$R$2:$R$1993,0)),"-")</f>
        <v>-</v>
      </c>
      <c r="F156" s="2" t="str">
        <f>IFERROR(INDEX(Movimientos!$G$2:$G$1993,MATCH(A156&amp;"ENTRADA",Movimientos!$R$2:$R$1993,0)),"-")</f>
        <v>-</v>
      </c>
      <c r="G156" s="2" t="str">
        <f>IFERROR(INDEX(Movimientos!$L$2:$L$1993,MATCH(A156&amp;"ENTRADA",Movimientos!$R$2:$R$1993,0)),"-")</f>
        <v>-</v>
      </c>
      <c r="H156" s="17" t="str">
        <f>IFERROR(IF(INDEX(Movimientos!$M$2:$M$1993,MATCH(A156&amp;"ENTRADA",Movimientos!$R$2:$R$1993,0))=0,"S/D",INDEX(Movimientos!$M$2:$M$1993,MATCH(A156&amp;"ENTRADA",Movimientos!$R$2:$R$1993,0))),"S/D")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2463</v>
      </c>
      <c r="B157" s="2" t="str">
        <f>IFERROR(INDEX(Movimientos!$C$2:$C$1993,MATCH(A157&amp;"ENTRADA",Movimientos!$R$2:$R$1993,0)),"-")</f>
        <v>-</v>
      </c>
      <c r="C157" s="2" t="str">
        <f>IFERROR(INDEX(Movimientos!$D$2:$D$1993,MATCH(A157&amp;"ENTRADA",Movimientos!$R$2:$R$1993,0)),"-")</f>
        <v>-</v>
      </c>
      <c r="D157" s="2" t="str">
        <f>IFERROR(INDEX(Movimientos!$E$2:$E$1993,MATCH(A157&amp;"ENTRADA",Movimientos!$R$2:$R$1993,0)),"-")</f>
        <v>-</v>
      </c>
      <c r="E157" s="2" t="str">
        <f>IFERROR(INDEX(Movimientos!$F$2:$F$1993,MATCH(A157&amp;"ENTRADA",Movimientos!$R$2:$R$1993,0)),"-")</f>
        <v>-</v>
      </c>
      <c r="F157" s="2" t="str">
        <f>IFERROR(INDEX(Movimientos!$G$2:$G$1993,MATCH(A157&amp;"ENTRADA",Movimientos!$R$2:$R$1993,0)),"-")</f>
        <v>-</v>
      </c>
      <c r="G157" s="2" t="str">
        <f>IFERROR(INDEX(Movimientos!$L$2:$L$1993,MATCH(A157&amp;"ENTRADA",Movimientos!$R$2:$R$1993,0)),"-")</f>
        <v>-</v>
      </c>
      <c r="H157" s="17" t="str">
        <f>IFERROR(IF(INDEX(Movimientos!$M$2:$M$1993,MATCH(A157&amp;"ENTRADA",Movimientos!$R$2:$R$1993,0))=0,"S/D",INDEX(Movimientos!$M$2:$M$1993,MATCH(A157&amp;"ENTRADA",Movimientos!$R$2:$R$1993,0))),"S/D")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2464</v>
      </c>
      <c r="B158" s="2" t="str">
        <f>IFERROR(INDEX(Movimientos!$C$2:$C$1993,MATCH(A158&amp;"ENTRADA",Movimientos!$R$2:$R$1993,0)),"-")</f>
        <v>-</v>
      </c>
      <c r="C158" s="2" t="str">
        <f>IFERROR(INDEX(Movimientos!$D$2:$D$1993,MATCH(A158&amp;"ENTRADA",Movimientos!$R$2:$R$1993,0)),"-")</f>
        <v>-</v>
      </c>
      <c r="D158" s="2" t="str">
        <f>IFERROR(INDEX(Movimientos!$E$2:$E$1993,MATCH(A158&amp;"ENTRADA",Movimientos!$R$2:$R$1993,0)),"-")</f>
        <v>-</v>
      </c>
      <c r="E158" s="2" t="str">
        <f>IFERROR(INDEX(Movimientos!$F$2:$F$1993,MATCH(A158&amp;"ENTRADA",Movimientos!$R$2:$R$1993,0)),"-")</f>
        <v>-</v>
      </c>
      <c r="F158" s="2" t="str">
        <f>IFERROR(INDEX(Movimientos!$G$2:$G$1993,MATCH(A158&amp;"ENTRADA",Movimientos!$R$2:$R$1993,0)),"-")</f>
        <v>-</v>
      </c>
      <c r="G158" s="2" t="str">
        <f>IFERROR(INDEX(Movimientos!$L$2:$L$1993,MATCH(A158&amp;"ENTRADA",Movimientos!$R$2:$R$1993,0)),"-")</f>
        <v>-</v>
      </c>
      <c r="H158" s="17" t="str">
        <f>IFERROR(IF(INDEX(Movimientos!$M$2:$M$1993,MATCH(A158&amp;"ENTRADA",Movimientos!$R$2:$R$1993,0))=0,"S/D",INDEX(Movimientos!$M$2:$M$1993,MATCH(A158&amp;"ENTRADA",Movimientos!$R$2:$R$1993,0))),"S/D")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2465</v>
      </c>
      <c r="B159" s="2" t="str">
        <f>IFERROR(INDEX(Movimientos!$C$2:$C$1993,MATCH(A159&amp;"ENTRADA",Movimientos!$R$2:$R$1993,0)),"-")</f>
        <v>-</v>
      </c>
      <c r="C159" s="2" t="str">
        <f>IFERROR(INDEX(Movimientos!$D$2:$D$1993,MATCH(A159&amp;"ENTRADA",Movimientos!$R$2:$R$1993,0)),"-")</f>
        <v>-</v>
      </c>
      <c r="D159" s="2" t="str">
        <f>IFERROR(INDEX(Movimientos!$E$2:$E$1993,MATCH(A159&amp;"ENTRADA",Movimientos!$R$2:$R$1993,0)),"-")</f>
        <v>-</v>
      </c>
      <c r="E159" s="2" t="str">
        <f>IFERROR(INDEX(Movimientos!$F$2:$F$1993,MATCH(A159&amp;"ENTRADA",Movimientos!$R$2:$R$1993,0)),"-")</f>
        <v>-</v>
      </c>
      <c r="F159" s="2" t="str">
        <f>IFERROR(INDEX(Movimientos!$G$2:$G$1993,MATCH(A159&amp;"ENTRADA",Movimientos!$R$2:$R$1993,0)),"-")</f>
        <v>-</v>
      </c>
      <c r="G159" s="2" t="str">
        <f>IFERROR(INDEX(Movimientos!$L$2:$L$1993,MATCH(A159&amp;"ENTRADA",Movimientos!$R$2:$R$1993,0)),"-")</f>
        <v>-</v>
      </c>
      <c r="H159" s="17" t="str">
        <f>IFERROR(IF(INDEX(Movimientos!$M$2:$M$1993,MATCH(A159&amp;"ENTRADA",Movimientos!$R$2:$R$1993,0))=0,"S/D",INDEX(Movimientos!$M$2:$M$1993,MATCH(A159&amp;"ENTRADA",Movimientos!$R$2:$R$1993,0))),"S/D")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2466</v>
      </c>
      <c r="B160" s="2" t="str">
        <f>IFERROR(INDEX(Movimientos!$C$2:$C$1993,MATCH(A160&amp;"ENTRADA",Movimientos!$R$2:$R$1993,0)),"-")</f>
        <v>-</v>
      </c>
      <c r="C160" s="2" t="str">
        <f>IFERROR(INDEX(Movimientos!$D$2:$D$1993,MATCH(A160&amp;"ENTRADA",Movimientos!$R$2:$R$1993,0)),"-")</f>
        <v>-</v>
      </c>
      <c r="D160" s="2" t="str">
        <f>IFERROR(INDEX(Movimientos!$E$2:$E$1993,MATCH(A160&amp;"ENTRADA",Movimientos!$R$2:$R$1993,0)),"-")</f>
        <v>-</v>
      </c>
      <c r="E160" s="2" t="str">
        <f>IFERROR(INDEX(Movimientos!$F$2:$F$1993,MATCH(A160&amp;"ENTRADA",Movimientos!$R$2:$R$1993,0)),"-")</f>
        <v>-</v>
      </c>
      <c r="F160" s="2" t="str">
        <f>IFERROR(INDEX(Movimientos!$G$2:$G$1993,MATCH(A160&amp;"ENTRADA",Movimientos!$R$2:$R$1993,0)),"-")</f>
        <v>-</v>
      </c>
      <c r="G160" s="2" t="str">
        <f>IFERROR(INDEX(Movimientos!$L$2:$L$1993,MATCH(A160&amp;"ENTRADA",Movimientos!$R$2:$R$1993,0)),"-")</f>
        <v>-</v>
      </c>
      <c r="H160" s="17" t="str">
        <f>IFERROR(IF(INDEX(Movimientos!$M$2:$M$1993,MATCH(A160&amp;"ENTRADA",Movimientos!$R$2:$R$1993,0))=0,"S/D",INDEX(Movimientos!$M$2:$M$1993,MATCH(A160&amp;"ENTRADA",Movimientos!$R$2:$R$1993,0))),"S/D")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2467</v>
      </c>
      <c r="B161" s="2" t="str">
        <f>IFERROR(INDEX(Movimientos!$C$2:$C$1993,MATCH(A161&amp;"ENTRADA",Movimientos!$R$2:$R$1993,0)),"-")</f>
        <v>-</v>
      </c>
      <c r="C161" s="2" t="str">
        <f>IFERROR(INDEX(Movimientos!$D$2:$D$1993,MATCH(A161&amp;"ENTRADA",Movimientos!$R$2:$R$1993,0)),"-")</f>
        <v>-</v>
      </c>
      <c r="D161" s="2" t="str">
        <f>IFERROR(INDEX(Movimientos!$E$2:$E$1993,MATCH(A161&amp;"ENTRADA",Movimientos!$R$2:$R$1993,0)),"-")</f>
        <v>-</v>
      </c>
      <c r="E161" s="2" t="str">
        <f>IFERROR(INDEX(Movimientos!$F$2:$F$1993,MATCH(A161&amp;"ENTRADA",Movimientos!$R$2:$R$1993,0)),"-")</f>
        <v>-</v>
      </c>
      <c r="F161" s="2" t="str">
        <f>IFERROR(INDEX(Movimientos!$G$2:$G$1993,MATCH(A161&amp;"ENTRADA",Movimientos!$R$2:$R$1993,0)),"-")</f>
        <v>-</v>
      </c>
      <c r="G161" s="2" t="str">
        <f>IFERROR(INDEX(Movimientos!$L$2:$L$1993,MATCH(A161&amp;"ENTRADA",Movimientos!$R$2:$R$1993,0)),"-")</f>
        <v>-</v>
      </c>
      <c r="H161" s="17" t="str">
        <f>IFERROR(IF(INDEX(Movimientos!$M$2:$M$1993,MATCH(A161&amp;"ENTRADA",Movimientos!$R$2:$R$1993,0))=0,"S/D",INDEX(Movimientos!$M$2:$M$1993,MATCH(A161&amp;"ENTRADA",Movimientos!$R$2:$R$1993,0))),"S/D")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2468</v>
      </c>
      <c r="B162" s="2" t="str">
        <f>IFERROR(INDEX(Movimientos!$C$2:$C$1993,MATCH(A162&amp;"ENTRADA",Movimientos!$R$2:$R$1993,0)),"-")</f>
        <v>-</v>
      </c>
      <c r="C162" s="2" t="str">
        <f>IFERROR(INDEX(Movimientos!$D$2:$D$1993,MATCH(A162&amp;"ENTRADA",Movimientos!$R$2:$R$1993,0)),"-")</f>
        <v>-</v>
      </c>
      <c r="D162" s="2" t="str">
        <f>IFERROR(INDEX(Movimientos!$E$2:$E$1993,MATCH(A162&amp;"ENTRADA",Movimientos!$R$2:$R$1993,0)),"-")</f>
        <v>-</v>
      </c>
      <c r="E162" s="2" t="str">
        <f>IFERROR(INDEX(Movimientos!$F$2:$F$1993,MATCH(A162&amp;"ENTRADA",Movimientos!$R$2:$R$1993,0)),"-")</f>
        <v>-</v>
      </c>
      <c r="F162" s="2" t="str">
        <f>IFERROR(INDEX(Movimientos!$G$2:$G$1993,MATCH(A162&amp;"ENTRADA",Movimientos!$R$2:$R$1993,0)),"-")</f>
        <v>-</v>
      </c>
      <c r="G162" s="2" t="str">
        <f>IFERROR(INDEX(Movimientos!$L$2:$L$1993,MATCH(A162&amp;"ENTRADA",Movimientos!$R$2:$R$1993,0)),"-")</f>
        <v>-</v>
      </c>
      <c r="H162" s="17" t="str">
        <f>IFERROR(IF(INDEX(Movimientos!$M$2:$M$1993,MATCH(A162&amp;"ENTRADA",Movimientos!$R$2:$R$1993,0))=0,"S/D",INDEX(Movimientos!$M$2:$M$1993,MATCH(A162&amp;"ENTRADA",Movimientos!$R$2:$R$1993,0))),"S/D")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2469</v>
      </c>
      <c r="B163" s="2" t="str">
        <f>IFERROR(INDEX(Movimientos!$C$2:$C$1993,MATCH(A163&amp;"ENTRADA",Movimientos!$R$2:$R$1993,0)),"-")</f>
        <v>-</v>
      </c>
      <c r="C163" s="2" t="str">
        <f>IFERROR(INDEX(Movimientos!$D$2:$D$1993,MATCH(A163&amp;"ENTRADA",Movimientos!$R$2:$R$1993,0)),"-")</f>
        <v>-</v>
      </c>
      <c r="D163" s="2" t="str">
        <f>IFERROR(INDEX(Movimientos!$E$2:$E$1993,MATCH(A163&amp;"ENTRADA",Movimientos!$R$2:$R$1993,0)),"-")</f>
        <v>-</v>
      </c>
      <c r="E163" s="2" t="str">
        <f>IFERROR(INDEX(Movimientos!$F$2:$F$1993,MATCH(A163&amp;"ENTRADA",Movimientos!$R$2:$R$1993,0)),"-")</f>
        <v>-</v>
      </c>
      <c r="F163" s="2" t="str">
        <f>IFERROR(INDEX(Movimientos!$G$2:$G$1993,MATCH(A163&amp;"ENTRADA",Movimientos!$R$2:$R$1993,0)),"-")</f>
        <v>-</v>
      </c>
      <c r="G163" s="2" t="str">
        <f>IFERROR(INDEX(Movimientos!$L$2:$L$1993,MATCH(A163&amp;"ENTRADA",Movimientos!$R$2:$R$1993,0)),"-")</f>
        <v>-</v>
      </c>
      <c r="H163" s="17" t="str">
        <f>IFERROR(IF(INDEX(Movimientos!$M$2:$M$1993,MATCH(A163&amp;"ENTRADA",Movimientos!$R$2:$R$1993,0))=0,"S/D",INDEX(Movimientos!$M$2:$M$1993,MATCH(A163&amp;"ENTRADA",Movimientos!$R$2:$R$1993,0))),"S/D")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2470</v>
      </c>
      <c r="B164" s="2" t="str">
        <f>IFERROR(INDEX(Movimientos!$C$2:$C$1993,MATCH(A164&amp;"ENTRADA",Movimientos!$R$2:$R$1993,0)),"-")</f>
        <v>-</v>
      </c>
      <c r="C164" s="2" t="str">
        <f>IFERROR(INDEX(Movimientos!$D$2:$D$1993,MATCH(A164&amp;"ENTRADA",Movimientos!$R$2:$R$1993,0)),"-")</f>
        <v>-</v>
      </c>
      <c r="D164" s="2" t="str">
        <f>IFERROR(INDEX(Movimientos!$E$2:$E$1993,MATCH(A164&amp;"ENTRADA",Movimientos!$R$2:$R$1993,0)),"-")</f>
        <v>-</v>
      </c>
      <c r="E164" s="2" t="str">
        <f>IFERROR(INDEX(Movimientos!$F$2:$F$1993,MATCH(A164&amp;"ENTRADA",Movimientos!$R$2:$R$1993,0)),"-")</f>
        <v>-</v>
      </c>
      <c r="F164" s="2" t="str">
        <f>IFERROR(INDEX(Movimientos!$G$2:$G$1993,MATCH(A164&amp;"ENTRADA",Movimientos!$R$2:$R$1993,0)),"-")</f>
        <v>-</v>
      </c>
      <c r="G164" s="2" t="str">
        <f>IFERROR(INDEX(Movimientos!$L$2:$L$1993,MATCH(A164&amp;"ENTRADA",Movimientos!$R$2:$R$1993,0)),"-")</f>
        <v>-</v>
      </c>
      <c r="H164" s="17" t="str">
        <f>IFERROR(IF(INDEX(Movimientos!$M$2:$M$1993,MATCH(A164&amp;"ENTRADA",Movimientos!$R$2:$R$1993,0))=0,"S/D",INDEX(Movimientos!$M$2:$M$1993,MATCH(A164&amp;"ENTRADA",Movimientos!$R$2:$R$1993,0))),"S/D")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2471</v>
      </c>
      <c r="B165" s="2" t="str">
        <f>IFERROR(INDEX(Movimientos!$C$2:$C$1993,MATCH(A165&amp;"ENTRADA",Movimientos!$R$2:$R$1993,0)),"-")</f>
        <v>-</v>
      </c>
      <c r="C165" s="2" t="str">
        <f>IFERROR(INDEX(Movimientos!$D$2:$D$1993,MATCH(A165&amp;"ENTRADA",Movimientos!$R$2:$R$1993,0)),"-")</f>
        <v>-</v>
      </c>
      <c r="D165" s="2" t="str">
        <f>IFERROR(INDEX(Movimientos!$E$2:$E$1993,MATCH(A165&amp;"ENTRADA",Movimientos!$R$2:$R$1993,0)),"-")</f>
        <v>-</v>
      </c>
      <c r="E165" s="2" t="str">
        <f>IFERROR(INDEX(Movimientos!$F$2:$F$1993,MATCH(A165&amp;"ENTRADA",Movimientos!$R$2:$R$1993,0)),"-")</f>
        <v>-</v>
      </c>
      <c r="F165" s="2" t="str">
        <f>IFERROR(INDEX(Movimientos!$G$2:$G$1993,MATCH(A165&amp;"ENTRADA",Movimientos!$R$2:$R$1993,0)),"-")</f>
        <v>-</v>
      </c>
      <c r="G165" s="2" t="str">
        <f>IFERROR(INDEX(Movimientos!$L$2:$L$1993,MATCH(A165&amp;"ENTRADA",Movimientos!$R$2:$R$1993,0)),"-")</f>
        <v>-</v>
      </c>
      <c r="H165" s="17" t="str">
        <f>IFERROR(IF(INDEX(Movimientos!$M$2:$M$1993,MATCH(A165&amp;"ENTRADA",Movimientos!$R$2:$R$1993,0))=0,"S/D",INDEX(Movimientos!$M$2:$M$1993,MATCH(A165&amp;"ENTRADA",Movimientos!$R$2:$R$1993,0))),"S/D")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2472</v>
      </c>
      <c r="B166" s="2" t="str">
        <f>IFERROR(INDEX(Movimientos!$C$2:$C$1993,MATCH(A166&amp;"ENTRADA",Movimientos!$R$2:$R$1993,0)),"-")</f>
        <v>-</v>
      </c>
      <c r="C166" s="2" t="str">
        <f>IFERROR(INDEX(Movimientos!$D$2:$D$1993,MATCH(A166&amp;"ENTRADA",Movimientos!$R$2:$R$1993,0)),"-")</f>
        <v>-</v>
      </c>
      <c r="D166" s="2" t="str">
        <f>IFERROR(INDEX(Movimientos!$E$2:$E$1993,MATCH(A166&amp;"ENTRADA",Movimientos!$R$2:$R$1993,0)),"-")</f>
        <v>-</v>
      </c>
      <c r="E166" s="2" t="str">
        <f>IFERROR(INDEX(Movimientos!$F$2:$F$1993,MATCH(A166&amp;"ENTRADA",Movimientos!$R$2:$R$1993,0)),"-")</f>
        <v>-</v>
      </c>
      <c r="F166" s="2" t="str">
        <f>IFERROR(INDEX(Movimientos!$G$2:$G$1993,MATCH(A166&amp;"ENTRADA",Movimientos!$R$2:$R$1993,0)),"-")</f>
        <v>-</v>
      </c>
      <c r="G166" s="2" t="str">
        <f>IFERROR(INDEX(Movimientos!$L$2:$L$1993,MATCH(A166&amp;"ENTRADA",Movimientos!$R$2:$R$1993,0)),"-")</f>
        <v>-</v>
      </c>
      <c r="H166" s="17" t="str">
        <f>IFERROR(IF(INDEX(Movimientos!$M$2:$M$1993,MATCH(A166&amp;"ENTRADA",Movimientos!$R$2:$R$1993,0))=0,"S/D",INDEX(Movimientos!$M$2:$M$1993,MATCH(A166&amp;"ENTRADA",Movimientos!$R$2:$R$1993,0))),"S/D")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2473</v>
      </c>
      <c r="B167" s="2" t="str">
        <f>IFERROR(INDEX(Movimientos!$C$2:$C$1993,MATCH(A167&amp;"ENTRADA",Movimientos!$R$2:$R$1993,0)),"-")</f>
        <v>-</v>
      </c>
      <c r="C167" s="2" t="str">
        <f>IFERROR(INDEX(Movimientos!$D$2:$D$1993,MATCH(A167&amp;"ENTRADA",Movimientos!$R$2:$R$1993,0)),"-")</f>
        <v>-</v>
      </c>
      <c r="D167" s="2" t="str">
        <f>IFERROR(INDEX(Movimientos!$E$2:$E$1993,MATCH(A167&amp;"ENTRADA",Movimientos!$R$2:$R$1993,0)),"-")</f>
        <v>-</v>
      </c>
      <c r="E167" s="2" t="str">
        <f>IFERROR(INDEX(Movimientos!$F$2:$F$1993,MATCH(A167&amp;"ENTRADA",Movimientos!$R$2:$R$1993,0)),"-")</f>
        <v>-</v>
      </c>
      <c r="F167" s="2" t="str">
        <f>IFERROR(INDEX(Movimientos!$G$2:$G$1993,MATCH(A167&amp;"ENTRADA",Movimientos!$R$2:$R$1993,0)),"-")</f>
        <v>-</v>
      </c>
      <c r="G167" s="2" t="str">
        <f>IFERROR(INDEX(Movimientos!$L$2:$L$1993,MATCH(A167&amp;"ENTRADA",Movimientos!$R$2:$R$1993,0)),"-")</f>
        <v>-</v>
      </c>
      <c r="H167" s="17" t="str">
        <f>IFERROR(IF(INDEX(Movimientos!$M$2:$M$1993,MATCH(A167&amp;"ENTRADA",Movimientos!$R$2:$R$1993,0))=0,"S/D",INDEX(Movimientos!$M$2:$M$1993,MATCH(A167&amp;"ENTRADA",Movimientos!$R$2:$R$1993,0))),"S/D")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2474</v>
      </c>
      <c r="B168" s="2" t="str">
        <f>IFERROR(INDEX(Movimientos!$C$2:$C$1993,MATCH(A168&amp;"ENTRADA",Movimientos!$R$2:$R$1993,0)),"-")</f>
        <v>-</v>
      </c>
      <c r="C168" s="2" t="str">
        <f>IFERROR(INDEX(Movimientos!$D$2:$D$1993,MATCH(A168&amp;"ENTRADA",Movimientos!$R$2:$R$1993,0)),"-")</f>
        <v>-</v>
      </c>
      <c r="D168" s="2" t="str">
        <f>IFERROR(INDEX(Movimientos!$E$2:$E$1993,MATCH(A168&amp;"ENTRADA",Movimientos!$R$2:$R$1993,0)),"-")</f>
        <v>-</v>
      </c>
      <c r="E168" s="2" t="str">
        <f>IFERROR(INDEX(Movimientos!$F$2:$F$1993,MATCH(A168&amp;"ENTRADA",Movimientos!$R$2:$R$1993,0)),"-")</f>
        <v>-</v>
      </c>
      <c r="F168" s="2" t="str">
        <f>IFERROR(INDEX(Movimientos!$G$2:$G$1993,MATCH(A168&amp;"ENTRADA",Movimientos!$R$2:$R$1993,0)),"-")</f>
        <v>-</v>
      </c>
      <c r="G168" s="2" t="str">
        <f>IFERROR(INDEX(Movimientos!$L$2:$L$1993,MATCH(A168&amp;"ENTRADA",Movimientos!$R$2:$R$1993,0)),"-")</f>
        <v>-</v>
      </c>
      <c r="H168" s="17" t="str">
        <f>IFERROR(IF(INDEX(Movimientos!$M$2:$M$1993,MATCH(A168&amp;"ENTRADA",Movimientos!$R$2:$R$1993,0))=0,"S/D",INDEX(Movimientos!$M$2:$M$1993,MATCH(A168&amp;"ENTRADA",Movimientos!$R$2:$R$1993,0))),"S/D")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2475</v>
      </c>
      <c r="B169" s="2" t="str">
        <f>IFERROR(INDEX(Movimientos!$C$2:$C$1993,MATCH(A169&amp;"ENTRADA",Movimientos!$R$2:$R$1993,0)),"-")</f>
        <v>-</v>
      </c>
      <c r="C169" s="2" t="str">
        <f>IFERROR(INDEX(Movimientos!$D$2:$D$1993,MATCH(A169&amp;"ENTRADA",Movimientos!$R$2:$R$1993,0)),"-")</f>
        <v>-</v>
      </c>
      <c r="D169" s="2" t="str">
        <f>IFERROR(INDEX(Movimientos!$E$2:$E$1993,MATCH(A169&amp;"ENTRADA",Movimientos!$R$2:$R$1993,0)),"-")</f>
        <v>-</v>
      </c>
      <c r="E169" s="2" t="str">
        <f>IFERROR(INDEX(Movimientos!$F$2:$F$1993,MATCH(A169&amp;"ENTRADA",Movimientos!$R$2:$R$1993,0)),"-")</f>
        <v>-</v>
      </c>
      <c r="F169" s="2" t="str">
        <f>IFERROR(INDEX(Movimientos!$G$2:$G$1993,MATCH(A169&amp;"ENTRADA",Movimientos!$R$2:$R$1993,0)),"-")</f>
        <v>-</v>
      </c>
      <c r="G169" s="2" t="str">
        <f>IFERROR(INDEX(Movimientos!$L$2:$L$1993,MATCH(A169&amp;"ENTRADA",Movimientos!$R$2:$R$1993,0)),"-")</f>
        <v>-</v>
      </c>
      <c r="H169" s="17" t="str">
        <f>IFERROR(IF(INDEX(Movimientos!$M$2:$M$1993,MATCH(A169&amp;"ENTRADA",Movimientos!$R$2:$R$1993,0))=0,"S/D",INDEX(Movimientos!$M$2:$M$1993,MATCH(A169&amp;"ENTRADA",Movimientos!$R$2:$R$1993,0))),"S/D")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2476</v>
      </c>
      <c r="B170" s="2" t="str">
        <f>IFERROR(INDEX(Movimientos!$C$2:$C$1993,MATCH(A170&amp;"ENTRADA",Movimientos!$R$2:$R$1993,0)),"-")</f>
        <v>-</v>
      </c>
      <c r="C170" s="2" t="str">
        <f>IFERROR(INDEX(Movimientos!$D$2:$D$1993,MATCH(A170&amp;"ENTRADA",Movimientos!$R$2:$R$1993,0)),"-")</f>
        <v>-</v>
      </c>
      <c r="D170" s="2" t="str">
        <f>IFERROR(INDEX(Movimientos!$E$2:$E$1993,MATCH(A170&amp;"ENTRADA",Movimientos!$R$2:$R$1993,0)),"-")</f>
        <v>-</v>
      </c>
      <c r="E170" s="2" t="str">
        <f>IFERROR(INDEX(Movimientos!$F$2:$F$1993,MATCH(A170&amp;"ENTRADA",Movimientos!$R$2:$R$1993,0)),"-")</f>
        <v>-</v>
      </c>
      <c r="F170" s="2" t="str">
        <f>IFERROR(INDEX(Movimientos!$G$2:$G$1993,MATCH(A170&amp;"ENTRADA",Movimientos!$R$2:$R$1993,0)),"-")</f>
        <v>-</v>
      </c>
      <c r="G170" s="2" t="str">
        <f>IFERROR(INDEX(Movimientos!$L$2:$L$1993,MATCH(A170&amp;"ENTRADA",Movimientos!$R$2:$R$1993,0)),"-")</f>
        <v>-</v>
      </c>
      <c r="H170" s="17" t="str">
        <f>IFERROR(IF(INDEX(Movimientos!$M$2:$M$1993,MATCH(A170&amp;"ENTRADA",Movimientos!$R$2:$R$1993,0))=0,"S/D",INDEX(Movimientos!$M$2:$M$1993,MATCH(A170&amp;"ENTRADA",Movimientos!$R$2:$R$1993,0))),"S/D")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2477</v>
      </c>
      <c r="B171" s="2" t="str">
        <f>IFERROR(INDEX(Movimientos!$C$2:$C$1993,MATCH(A171&amp;"ENTRADA",Movimientos!$R$2:$R$1993,0)),"-")</f>
        <v>-</v>
      </c>
      <c r="C171" s="2" t="str">
        <f>IFERROR(INDEX(Movimientos!$D$2:$D$1993,MATCH(A171&amp;"ENTRADA",Movimientos!$R$2:$R$1993,0)),"-")</f>
        <v>-</v>
      </c>
      <c r="D171" s="2" t="str">
        <f>IFERROR(INDEX(Movimientos!$E$2:$E$1993,MATCH(A171&amp;"ENTRADA",Movimientos!$R$2:$R$1993,0)),"-")</f>
        <v>-</v>
      </c>
      <c r="E171" s="2" t="str">
        <f>IFERROR(INDEX(Movimientos!$F$2:$F$1993,MATCH(A171&amp;"ENTRADA",Movimientos!$R$2:$R$1993,0)),"-")</f>
        <v>-</v>
      </c>
      <c r="F171" s="2" t="str">
        <f>IFERROR(INDEX(Movimientos!$G$2:$G$1993,MATCH(A171&amp;"ENTRADA",Movimientos!$R$2:$R$1993,0)),"-")</f>
        <v>-</v>
      </c>
      <c r="G171" s="2" t="str">
        <f>IFERROR(INDEX(Movimientos!$L$2:$L$1993,MATCH(A171&amp;"ENTRADA",Movimientos!$R$2:$R$1993,0)),"-")</f>
        <v>-</v>
      </c>
      <c r="H171" s="17" t="str">
        <f>IFERROR(IF(INDEX(Movimientos!$M$2:$M$1993,MATCH(A171&amp;"ENTRADA",Movimientos!$R$2:$R$1993,0))=0,"S/D",INDEX(Movimientos!$M$2:$M$1993,MATCH(A171&amp;"ENTRADA",Movimientos!$R$2:$R$1993,0))),"S/D")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2478</v>
      </c>
      <c r="B172" s="2" t="str">
        <f>IFERROR(INDEX(Movimientos!$C$2:$C$1993,MATCH(A172&amp;"ENTRADA",Movimientos!$R$2:$R$1993,0)),"-")</f>
        <v>-</v>
      </c>
      <c r="C172" s="2" t="str">
        <f>IFERROR(INDEX(Movimientos!$D$2:$D$1993,MATCH(A172&amp;"ENTRADA",Movimientos!$R$2:$R$1993,0)),"-")</f>
        <v>-</v>
      </c>
      <c r="D172" s="2" t="str">
        <f>IFERROR(INDEX(Movimientos!$E$2:$E$1993,MATCH(A172&amp;"ENTRADA",Movimientos!$R$2:$R$1993,0)),"-")</f>
        <v>-</v>
      </c>
      <c r="E172" s="2" t="str">
        <f>IFERROR(INDEX(Movimientos!$F$2:$F$1993,MATCH(A172&amp;"ENTRADA",Movimientos!$R$2:$R$1993,0)),"-")</f>
        <v>-</v>
      </c>
      <c r="F172" s="2" t="str">
        <f>IFERROR(INDEX(Movimientos!$G$2:$G$1993,MATCH(A172&amp;"ENTRADA",Movimientos!$R$2:$R$1993,0)),"-")</f>
        <v>-</v>
      </c>
      <c r="G172" s="2" t="str">
        <f>IFERROR(INDEX(Movimientos!$L$2:$L$1993,MATCH(A172&amp;"ENTRADA",Movimientos!$R$2:$R$1993,0)),"-")</f>
        <v>-</v>
      </c>
      <c r="H172" s="17" t="str">
        <f>IFERROR(IF(INDEX(Movimientos!$M$2:$M$1993,MATCH(A172&amp;"ENTRADA",Movimientos!$R$2:$R$1993,0))=0,"S/D",INDEX(Movimientos!$M$2:$M$1993,MATCH(A172&amp;"ENTRADA",Movimientos!$R$2:$R$1993,0))),"S/D")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2479</v>
      </c>
      <c r="B173" s="2" t="str">
        <f>IFERROR(INDEX(Movimientos!$C$2:$C$1993,MATCH(A173&amp;"ENTRADA",Movimientos!$R$2:$R$1993,0)),"-")</f>
        <v>-</v>
      </c>
      <c r="C173" s="2" t="str">
        <f>IFERROR(INDEX(Movimientos!$D$2:$D$1993,MATCH(A173&amp;"ENTRADA",Movimientos!$R$2:$R$1993,0)),"-")</f>
        <v>-</v>
      </c>
      <c r="D173" s="2" t="str">
        <f>IFERROR(INDEX(Movimientos!$E$2:$E$1993,MATCH(A173&amp;"ENTRADA",Movimientos!$R$2:$R$1993,0)),"-")</f>
        <v>-</v>
      </c>
      <c r="E173" s="2" t="str">
        <f>IFERROR(INDEX(Movimientos!$F$2:$F$1993,MATCH(A173&amp;"ENTRADA",Movimientos!$R$2:$R$1993,0)),"-")</f>
        <v>-</v>
      </c>
      <c r="F173" s="2" t="str">
        <f>IFERROR(INDEX(Movimientos!$G$2:$G$1993,MATCH(A173&amp;"ENTRADA",Movimientos!$R$2:$R$1993,0)),"-")</f>
        <v>-</v>
      </c>
      <c r="G173" s="2" t="str">
        <f>IFERROR(INDEX(Movimientos!$L$2:$L$1993,MATCH(A173&amp;"ENTRADA",Movimientos!$R$2:$R$1993,0)),"-")</f>
        <v>-</v>
      </c>
      <c r="H173" s="17" t="str">
        <f>IFERROR(IF(INDEX(Movimientos!$M$2:$M$1993,MATCH(A173&amp;"ENTRADA",Movimientos!$R$2:$R$1993,0))=0,"S/D",INDEX(Movimientos!$M$2:$M$1993,MATCH(A173&amp;"ENTRADA",Movimientos!$R$2:$R$1993,0))),"S/D")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2480</v>
      </c>
      <c r="B174" s="2" t="str">
        <f>IFERROR(INDEX(Movimientos!$C$2:$C$1993,MATCH(A174&amp;"ENTRADA",Movimientos!$R$2:$R$1993,0)),"-")</f>
        <v>-</v>
      </c>
      <c r="C174" s="2" t="str">
        <f>IFERROR(INDEX(Movimientos!$D$2:$D$1993,MATCH(A174&amp;"ENTRADA",Movimientos!$R$2:$R$1993,0)),"-")</f>
        <v>-</v>
      </c>
      <c r="D174" s="2" t="str">
        <f>IFERROR(INDEX(Movimientos!$E$2:$E$1993,MATCH(A174&amp;"ENTRADA",Movimientos!$R$2:$R$1993,0)),"-")</f>
        <v>-</v>
      </c>
      <c r="E174" s="2" t="str">
        <f>IFERROR(INDEX(Movimientos!$F$2:$F$1993,MATCH(A174&amp;"ENTRADA",Movimientos!$R$2:$R$1993,0)),"-")</f>
        <v>-</v>
      </c>
      <c r="F174" s="2" t="str">
        <f>IFERROR(INDEX(Movimientos!$G$2:$G$1993,MATCH(A174&amp;"ENTRADA",Movimientos!$R$2:$R$1993,0)),"-")</f>
        <v>-</v>
      </c>
      <c r="G174" s="2" t="str">
        <f>IFERROR(INDEX(Movimientos!$L$2:$L$1993,MATCH(A174&amp;"ENTRADA",Movimientos!$R$2:$R$1993,0)),"-")</f>
        <v>-</v>
      </c>
      <c r="H174" s="17" t="str">
        <f>IFERROR(IF(INDEX(Movimientos!$M$2:$M$1993,MATCH(A174&amp;"ENTRADA",Movimientos!$R$2:$R$1993,0))=0,"S/D",INDEX(Movimientos!$M$2:$M$1993,MATCH(A174&amp;"ENTRADA",Movimientos!$R$2:$R$1993,0))),"S/D")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2481</v>
      </c>
      <c r="B175" s="2" t="str">
        <f>IFERROR(INDEX(Movimientos!$C$2:$C$1993,MATCH(A175&amp;"ENTRADA",Movimientos!$R$2:$R$1993,0)),"-")</f>
        <v>-</v>
      </c>
      <c r="C175" s="2" t="str">
        <f>IFERROR(INDEX(Movimientos!$D$2:$D$1993,MATCH(A175&amp;"ENTRADA",Movimientos!$R$2:$R$1993,0)),"-")</f>
        <v>-</v>
      </c>
      <c r="D175" s="2" t="str">
        <f>IFERROR(INDEX(Movimientos!$E$2:$E$1993,MATCH(A175&amp;"ENTRADA",Movimientos!$R$2:$R$1993,0)),"-")</f>
        <v>-</v>
      </c>
      <c r="E175" s="2" t="str">
        <f>IFERROR(INDEX(Movimientos!$F$2:$F$1993,MATCH(A175&amp;"ENTRADA",Movimientos!$R$2:$R$1993,0)),"-")</f>
        <v>-</v>
      </c>
      <c r="F175" s="2" t="str">
        <f>IFERROR(INDEX(Movimientos!$G$2:$G$1993,MATCH(A175&amp;"ENTRADA",Movimientos!$R$2:$R$1993,0)),"-")</f>
        <v>-</v>
      </c>
      <c r="G175" s="2" t="str">
        <f>IFERROR(INDEX(Movimientos!$L$2:$L$1993,MATCH(A175&amp;"ENTRADA",Movimientos!$R$2:$R$1993,0)),"-")</f>
        <v>-</v>
      </c>
      <c r="H175" s="17" t="str">
        <f>IFERROR(IF(INDEX(Movimientos!$M$2:$M$1993,MATCH(A175&amp;"ENTRADA",Movimientos!$R$2:$R$1993,0))=0,"S/D",INDEX(Movimientos!$M$2:$M$1993,MATCH(A175&amp;"ENTRADA",Movimientos!$R$2:$R$1993,0))),"S/D")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2482</v>
      </c>
      <c r="B176" s="2" t="str">
        <f>IFERROR(INDEX(Movimientos!$C$2:$C$1993,MATCH(A176&amp;"ENTRADA",Movimientos!$R$2:$R$1993,0)),"-")</f>
        <v>-</v>
      </c>
      <c r="C176" s="2" t="str">
        <f>IFERROR(INDEX(Movimientos!$D$2:$D$1993,MATCH(A176&amp;"ENTRADA",Movimientos!$R$2:$R$1993,0)),"-")</f>
        <v>-</v>
      </c>
      <c r="D176" s="2" t="str">
        <f>IFERROR(INDEX(Movimientos!$E$2:$E$1993,MATCH(A176&amp;"ENTRADA",Movimientos!$R$2:$R$1993,0)),"-")</f>
        <v>-</v>
      </c>
      <c r="E176" s="2" t="str">
        <f>IFERROR(INDEX(Movimientos!$F$2:$F$1993,MATCH(A176&amp;"ENTRADA",Movimientos!$R$2:$R$1993,0)),"-")</f>
        <v>-</v>
      </c>
      <c r="F176" s="2" t="str">
        <f>IFERROR(INDEX(Movimientos!$G$2:$G$1993,MATCH(A176&amp;"ENTRADA",Movimientos!$R$2:$R$1993,0)),"-")</f>
        <v>-</v>
      </c>
      <c r="G176" s="2" t="str">
        <f>IFERROR(INDEX(Movimientos!$L$2:$L$1993,MATCH(A176&amp;"ENTRADA",Movimientos!$R$2:$R$1993,0)),"-")</f>
        <v>-</v>
      </c>
      <c r="H176" s="17" t="str">
        <f>IFERROR(IF(INDEX(Movimientos!$M$2:$M$1993,MATCH(A176&amp;"ENTRADA",Movimientos!$R$2:$R$1993,0))=0,"S/D",INDEX(Movimientos!$M$2:$M$1993,MATCH(A176&amp;"ENTRADA",Movimientos!$R$2:$R$1993,0))),"S/D")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2483</v>
      </c>
      <c r="B177" s="2" t="str">
        <f>IFERROR(INDEX(Movimientos!$C$2:$C$1993,MATCH(A177&amp;"ENTRADA",Movimientos!$R$2:$R$1993,0)),"-")</f>
        <v>-</v>
      </c>
      <c r="C177" s="2" t="str">
        <f>IFERROR(INDEX(Movimientos!$D$2:$D$1993,MATCH(A177&amp;"ENTRADA",Movimientos!$R$2:$R$1993,0)),"-")</f>
        <v>-</v>
      </c>
      <c r="D177" s="2" t="str">
        <f>IFERROR(INDEX(Movimientos!$E$2:$E$1993,MATCH(A177&amp;"ENTRADA",Movimientos!$R$2:$R$1993,0)),"-")</f>
        <v>-</v>
      </c>
      <c r="E177" s="2" t="str">
        <f>IFERROR(INDEX(Movimientos!$F$2:$F$1993,MATCH(A177&amp;"ENTRADA",Movimientos!$R$2:$R$1993,0)),"-")</f>
        <v>-</v>
      </c>
      <c r="F177" s="2" t="str">
        <f>IFERROR(INDEX(Movimientos!$G$2:$G$1993,MATCH(A177&amp;"ENTRADA",Movimientos!$R$2:$R$1993,0)),"-")</f>
        <v>-</v>
      </c>
      <c r="G177" s="2" t="str">
        <f>IFERROR(INDEX(Movimientos!$L$2:$L$1993,MATCH(A177&amp;"ENTRADA",Movimientos!$R$2:$R$1993,0)),"-")</f>
        <v>-</v>
      </c>
      <c r="H177" s="17" t="str">
        <f>IFERROR(IF(INDEX(Movimientos!$M$2:$M$1993,MATCH(A177&amp;"ENTRADA",Movimientos!$R$2:$R$1993,0))=0,"S/D",INDEX(Movimientos!$M$2:$M$1993,MATCH(A177&amp;"ENTRADA",Movimientos!$R$2:$R$1993,0))),"S/D")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2484</v>
      </c>
      <c r="B178" s="2" t="str">
        <f>IFERROR(INDEX(Movimientos!$C$2:$C$1993,MATCH(A178&amp;"ENTRADA",Movimientos!$R$2:$R$1993,0)),"-")</f>
        <v>-</v>
      </c>
      <c r="C178" s="2" t="str">
        <f>IFERROR(INDEX(Movimientos!$D$2:$D$1993,MATCH(A178&amp;"ENTRADA",Movimientos!$R$2:$R$1993,0)),"-")</f>
        <v>-</v>
      </c>
      <c r="D178" s="2" t="str">
        <f>IFERROR(INDEX(Movimientos!$E$2:$E$1993,MATCH(A178&amp;"ENTRADA",Movimientos!$R$2:$R$1993,0)),"-")</f>
        <v>-</v>
      </c>
      <c r="E178" s="2" t="str">
        <f>IFERROR(INDEX(Movimientos!$F$2:$F$1993,MATCH(A178&amp;"ENTRADA",Movimientos!$R$2:$R$1993,0)),"-")</f>
        <v>-</v>
      </c>
      <c r="F178" s="2" t="str">
        <f>IFERROR(INDEX(Movimientos!$G$2:$G$1993,MATCH(A178&amp;"ENTRADA",Movimientos!$R$2:$R$1993,0)),"-")</f>
        <v>-</v>
      </c>
      <c r="G178" s="2" t="str">
        <f>IFERROR(INDEX(Movimientos!$L$2:$L$1993,MATCH(A178&amp;"ENTRADA",Movimientos!$R$2:$R$1993,0)),"-")</f>
        <v>-</v>
      </c>
      <c r="H178" s="17" t="str">
        <f>IFERROR(IF(INDEX(Movimientos!$M$2:$M$1993,MATCH(A178&amp;"ENTRADA",Movimientos!$R$2:$R$1993,0))=0,"S/D",INDEX(Movimientos!$M$2:$M$1993,MATCH(A178&amp;"ENTRADA",Movimientos!$R$2:$R$1993,0))),"S/D")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2485</v>
      </c>
      <c r="B179" s="2" t="str">
        <f>IFERROR(INDEX(Movimientos!$C$2:$C$1993,MATCH(A179&amp;"ENTRADA",Movimientos!$R$2:$R$1993,0)),"-")</f>
        <v>-</v>
      </c>
      <c r="C179" s="2" t="str">
        <f>IFERROR(INDEX(Movimientos!$D$2:$D$1993,MATCH(A179&amp;"ENTRADA",Movimientos!$R$2:$R$1993,0)),"-")</f>
        <v>-</v>
      </c>
      <c r="D179" s="2" t="str">
        <f>IFERROR(INDEX(Movimientos!$E$2:$E$1993,MATCH(A179&amp;"ENTRADA",Movimientos!$R$2:$R$1993,0)),"-")</f>
        <v>-</v>
      </c>
      <c r="E179" s="2" t="str">
        <f>IFERROR(INDEX(Movimientos!$F$2:$F$1993,MATCH(A179&amp;"ENTRADA",Movimientos!$R$2:$R$1993,0)),"-")</f>
        <v>-</v>
      </c>
      <c r="F179" s="2" t="str">
        <f>IFERROR(INDEX(Movimientos!$G$2:$G$1993,MATCH(A179&amp;"ENTRADA",Movimientos!$R$2:$R$1993,0)),"-")</f>
        <v>-</v>
      </c>
      <c r="G179" s="2" t="str">
        <f>IFERROR(INDEX(Movimientos!$L$2:$L$1993,MATCH(A179&amp;"ENTRADA",Movimientos!$R$2:$R$1993,0)),"-")</f>
        <v>-</v>
      </c>
      <c r="H179" s="17" t="str">
        <f>IFERROR(IF(INDEX(Movimientos!$M$2:$M$1993,MATCH(A179&amp;"ENTRADA",Movimientos!$R$2:$R$1993,0))=0,"S/D",INDEX(Movimientos!$M$2:$M$1993,MATCH(A179&amp;"ENTRADA",Movimientos!$R$2:$R$1993,0))),"S/D")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2486</v>
      </c>
      <c r="B180" s="2" t="str">
        <f>IFERROR(INDEX(Movimientos!$C$2:$C$1993,MATCH(A180&amp;"ENTRADA",Movimientos!$R$2:$R$1993,0)),"-")</f>
        <v>-</v>
      </c>
      <c r="C180" s="2" t="str">
        <f>IFERROR(INDEX(Movimientos!$D$2:$D$1993,MATCH(A180&amp;"ENTRADA",Movimientos!$R$2:$R$1993,0)),"-")</f>
        <v>-</v>
      </c>
      <c r="D180" s="2" t="str">
        <f>IFERROR(INDEX(Movimientos!$E$2:$E$1993,MATCH(A180&amp;"ENTRADA",Movimientos!$R$2:$R$1993,0)),"-")</f>
        <v>-</v>
      </c>
      <c r="E180" s="2" t="str">
        <f>IFERROR(INDEX(Movimientos!$F$2:$F$1993,MATCH(A180&amp;"ENTRADA",Movimientos!$R$2:$R$1993,0)),"-")</f>
        <v>-</v>
      </c>
      <c r="F180" s="2" t="str">
        <f>IFERROR(INDEX(Movimientos!$G$2:$G$1993,MATCH(A180&amp;"ENTRADA",Movimientos!$R$2:$R$1993,0)),"-")</f>
        <v>-</v>
      </c>
      <c r="G180" s="2" t="str">
        <f>IFERROR(INDEX(Movimientos!$L$2:$L$1993,MATCH(A180&amp;"ENTRADA",Movimientos!$R$2:$R$1993,0)),"-")</f>
        <v>-</v>
      </c>
      <c r="H180" s="17" t="str">
        <f>IFERROR(IF(INDEX(Movimientos!$M$2:$M$1993,MATCH(A180&amp;"ENTRADA",Movimientos!$R$2:$R$1993,0))=0,"S/D",INDEX(Movimientos!$M$2:$M$1993,MATCH(A180&amp;"ENTRADA",Movimientos!$R$2:$R$1993,0))),"S/D")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2487</v>
      </c>
      <c r="B181" s="2" t="str">
        <f>IFERROR(INDEX(Movimientos!$C$2:$C$1993,MATCH(A181&amp;"ENTRADA",Movimientos!$R$2:$R$1993,0)),"-")</f>
        <v>-</v>
      </c>
      <c r="C181" s="2" t="str">
        <f>IFERROR(INDEX(Movimientos!$D$2:$D$1993,MATCH(A181&amp;"ENTRADA",Movimientos!$R$2:$R$1993,0)),"-")</f>
        <v>-</v>
      </c>
      <c r="D181" s="2" t="str">
        <f>IFERROR(INDEX(Movimientos!$E$2:$E$1993,MATCH(A181&amp;"ENTRADA",Movimientos!$R$2:$R$1993,0)),"-")</f>
        <v>-</v>
      </c>
      <c r="E181" s="2" t="str">
        <f>IFERROR(INDEX(Movimientos!$F$2:$F$1993,MATCH(A181&amp;"ENTRADA",Movimientos!$R$2:$R$1993,0)),"-")</f>
        <v>-</v>
      </c>
      <c r="F181" s="2" t="str">
        <f>IFERROR(INDEX(Movimientos!$G$2:$G$1993,MATCH(A181&amp;"ENTRADA",Movimientos!$R$2:$R$1993,0)),"-")</f>
        <v>-</v>
      </c>
      <c r="G181" s="2" t="str">
        <f>IFERROR(INDEX(Movimientos!$L$2:$L$1993,MATCH(A181&amp;"ENTRADA",Movimientos!$R$2:$R$1993,0)),"-")</f>
        <v>-</v>
      </c>
      <c r="H181" s="17" t="str">
        <f>IFERROR(IF(INDEX(Movimientos!$M$2:$M$1993,MATCH(A181&amp;"ENTRADA",Movimientos!$R$2:$R$1993,0))=0,"S/D",INDEX(Movimientos!$M$2:$M$1993,MATCH(A181&amp;"ENTRADA",Movimientos!$R$2:$R$1993,0))),"S/D")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2488</v>
      </c>
      <c r="B182" s="2" t="str">
        <f>IFERROR(INDEX(Movimientos!$C$2:$C$1993,MATCH(A182&amp;"ENTRADA",Movimientos!$R$2:$R$1993,0)),"-")</f>
        <v>-</v>
      </c>
      <c r="C182" s="2" t="str">
        <f>IFERROR(INDEX(Movimientos!$D$2:$D$1993,MATCH(A182&amp;"ENTRADA",Movimientos!$R$2:$R$1993,0)),"-")</f>
        <v>-</v>
      </c>
      <c r="D182" s="2" t="str">
        <f>IFERROR(INDEX(Movimientos!$E$2:$E$1993,MATCH(A182&amp;"ENTRADA",Movimientos!$R$2:$R$1993,0)),"-")</f>
        <v>-</v>
      </c>
      <c r="E182" s="2" t="str">
        <f>IFERROR(INDEX(Movimientos!$F$2:$F$1993,MATCH(A182&amp;"ENTRADA",Movimientos!$R$2:$R$1993,0)),"-")</f>
        <v>-</v>
      </c>
      <c r="F182" s="2" t="str">
        <f>IFERROR(INDEX(Movimientos!$G$2:$G$1993,MATCH(A182&amp;"ENTRADA",Movimientos!$R$2:$R$1993,0)),"-")</f>
        <v>-</v>
      </c>
      <c r="G182" s="2" t="str">
        <f>IFERROR(INDEX(Movimientos!$L$2:$L$1993,MATCH(A182&amp;"ENTRADA",Movimientos!$R$2:$R$1993,0)),"-")</f>
        <v>-</v>
      </c>
      <c r="H182" s="17" t="str">
        <f>IFERROR(IF(INDEX(Movimientos!$M$2:$M$1993,MATCH(A182&amp;"ENTRADA",Movimientos!$R$2:$R$1993,0))=0,"S/D",INDEX(Movimientos!$M$2:$M$1993,MATCH(A182&amp;"ENTRADA",Movimientos!$R$2:$R$1993,0))),"S/D")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2489</v>
      </c>
      <c r="B183" s="2" t="str">
        <f>IFERROR(INDEX(Movimientos!$C$2:$C$1993,MATCH(A183&amp;"ENTRADA",Movimientos!$R$2:$R$1993,0)),"-")</f>
        <v>-</v>
      </c>
      <c r="C183" s="2" t="str">
        <f>IFERROR(INDEX(Movimientos!$D$2:$D$1993,MATCH(A183&amp;"ENTRADA",Movimientos!$R$2:$R$1993,0)),"-")</f>
        <v>-</v>
      </c>
      <c r="D183" s="2" t="str">
        <f>IFERROR(INDEX(Movimientos!$E$2:$E$1993,MATCH(A183&amp;"ENTRADA",Movimientos!$R$2:$R$1993,0)),"-")</f>
        <v>-</v>
      </c>
      <c r="E183" s="2" t="str">
        <f>IFERROR(INDEX(Movimientos!$F$2:$F$1993,MATCH(A183&amp;"ENTRADA",Movimientos!$R$2:$R$1993,0)),"-")</f>
        <v>-</v>
      </c>
      <c r="F183" s="2" t="str">
        <f>IFERROR(INDEX(Movimientos!$G$2:$G$1993,MATCH(A183&amp;"ENTRADA",Movimientos!$R$2:$R$1993,0)),"-")</f>
        <v>-</v>
      </c>
      <c r="G183" s="2" t="str">
        <f>IFERROR(INDEX(Movimientos!$L$2:$L$1993,MATCH(A183&amp;"ENTRADA",Movimientos!$R$2:$R$1993,0)),"-")</f>
        <v>-</v>
      </c>
      <c r="H183" s="17" t="str">
        <f>IFERROR(IF(INDEX(Movimientos!$M$2:$M$1993,MATCH(A183&amp;"ENTRADA",Movimientos!$R$2:$R$1993,0))=0,"S/D",INDEX(Movimientos!$M$2:$M$1993,MATCH(A183&amp;"ENTRADA",Movimientos!$R$2:$R$1993,0))),"S/D")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2490</v>
      </c>
      <c r="B184" s="2" t="str">
        <f>IFERROR(INDEX(Movimientos!$C$2:$C$1993,MATCH(A184&amp;"ENTRADA",Movimientos!$R$2:$R$1993,0)),"-")</f>
        <v>-</v>
      </c>
      <c r="C184" s="2" t="str">
        <f>IFERROR(INDEX(Movimientos!$D$2:$D$1993,MATCH(A184&amp;"ENTRADA",Movimientos!$R$2:$R$1993,0)),"-")</f>
        <v>-</v>
      </c>
      <c r="D184" s="2" t="str">
        <f>IFERROR(INDEX(Movimientos!$E$2:$E$1993,MATCH(A184&amp;"ENTRADA",Movimientos!$R$2:$R$1993,0)),"-")</f>
        <v>-</v>
      </c>
      <c r="E184" s="2" t="str">
        <f>IFERROR(INDEX(Movimientos!$F$2:$F$1993,MATCH(A184&amp;"ENTRADA",Movimientos!$R$2:$R$1993,0)),"-")</f>
        <v>-</v>
      </c>
      <c r="F184" s="2" t="str">
        <f>IFERROR(INDEX(Movimientos!$G$2:$G$1993,MATCH(A184&amp;"ENTRADA",Movimientos!$R$2:$R$1993,0)),"-")</f>
        <v>-</v>
      </c>
      <c r="G184" s="2" t="str">
        <f>IFERROR(INDEX(Movimientos!$L$2:$L$1993,MATCH(A184&amp;"ENTRADA",Movimientos!$R$2:$R$1993,0)),"-")</f>
        <v>-</v>
      </c>
      <c r="H184" s="17" t="str">
        <f>IFERROR(IF(INDEX(Movimientos!$M$2:$M$1993,MATCH(A184&amp;"ENTRADA",Movimientos!$R$2:$R$1993,0))=0,"S/D",INDEX(Movimientos!$M$2:$M$1993,MATCH(A184&amp;"ENTRADA",Movimientos!$R$2:$R$1993,0))),"S/D")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2491</v>
      </c>
      <c r="B185" s="2" t="str">
        <f>IFERROR(INDEX(Movimientos!$C$2:$C$1993,MATCH(A185&amp;"ENTRADA",Movimientos!$R$2:$R$1993,0)),"-")</f>
        <v>-</v>
      </c>
      <c r="C185" s="2" t="str">
        <f>IFERROR(INDEX(Movimientos!$D$2:$D$1993,MATCH(A185&amp;"ENTRADA",Movimientos!$R$2:$R$1993,0)),"-")</f>
        <v>-</v>
      </c>
      <c r="D185" s="2" t="str">
        <f>IFERROR(INDEX(Movimientos!$E$2:$E$1993,MATCH(A185&amp;"ENTRADA",Movimientos!$R$2:$R$1993,0)),"-")</f>
        <v>-</v>
      </c>
      <c r="E185" s="2" t="str">
        <f>IFERROR(INDEX(Movimientos!$F$2:$F$1993,MATCH(A185&amp;"ENTRADA",Movimientos!$R$2:$R$1993,0)),"-")</f>
        <v>-</v>
      </c>
      <c r="F185" s="2" t="str">
        <f>IFERROR(INDEX(Movimientos!$G$2:$G$1993,MATCH(A185&amp;"ENTRADA",Movimientos!$R$2:$R$1993,0)),"-")</f>
        <v>-</v>
      </c>
      <c r="G185" s="2" t="str">
        <f>IFERROR(INDEX(Movimientos!$L$2:$L$1993,MATCH(A185&amp;"ENTRADA",Movimientos!$R$2:$R$1993,0)),"-")</f>
        <v>-</v>
      </c>
      <c r="H185" s="17" t="str">
        <f>IFERROR(IF(INDEX(Movimientos!$M$2:$M$1993,MATCH(A185&amp;"ENTRADA",Movimientos!$R$2:$R$1993,0))=0,"S/D",INDEX(Movimientos!$M$2:$M$1993,MATCH(A185&amp;"ENTRADA",Movimientos!$R$2:$R$1993,0))),"S/D")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2492</v>
      </c>
      <c r="B186" s="2" t="str">
        <f>IFERROR(INDEX(Movimientos!$C$2:$C$1993,MATCH(A186&amp;"ENTRADA",Movimientos!$R$2:$R$1993,0)),"-")</f>
        <v>-</v>
      </c>
      <c r="C186" s="2" t="str">
        <f>IFERROR(INDEX(Movimientos!$D$2:$D$1993,MATCH(A186&amp;"ENTRADA",Movimientos!$R$2:$R$1993,0)),"-")</f>
        <v>-</v>
      </c>
      <c r="D186" s="2" t="str">
        <f>IFERROR(INDEX(Movimientos!$E$2:$E$1993,MATCH(A186&amp;"ENTRADA",Movimientos!$R$2:$R$1993,0)),"-")</f>
        <v>-</v>
      </c>
      <c r="E186" s="2" t="str">
        <f>IFERROR(INDEX(Movimientos!$F$2:$F$1993,MATCH(A186&amp;"ENTRADA",Movimientos!$R$2:$R$1993,0)),"-")</f>
        <v>-</v>
      </c>
      <c r="F186" s="2" t="str">
        <f>IFERROR(INDEX(Movimientos!$G$2:$G$1993,MATCH(A186&amp;"ENTRADA",Movimientos!$R$2:$R$1993,0)),"-")</f>
        <v>-</v>
      </c>
      <c r="G186" s="2" t="str">
        <f>IFERROR(INDEX(Movimientos!$L$2:$L$1993,MATCH(A186&amp;"ENTRADA",Movimientos!$R$2:$R$1993,0)),"-")</f>
        <v>-</v>
      </c>
      <c r="H186" s="17" t="str">
        <f>IFERROR(IF(INDEX(Movimientos!$M$2:$M$1993,MATCH(A186&amp;"ENTRADA",Movimientos!$R$2:$R$1993,0))=0,"S/D",INDEX(Movimientos!$M$2:$M$1993,MATCH(A186&amp;"ENTRADA",Movimientos!$R$2:$R$1993,0))),"S/D")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2493</v>
      </c>
      <c r="B187" s="2" t="str">
        <f>IFERROR(INDEX(Movimientos!$C$2:$C$1993,MATCH(A187&amp;"ENTRADA",Movimientos!$R$2:$R$1993,0)),"-")</f>
        <v>-</v>
      </c>
      <c r="C187" s="2" t="str">
        <f>IFERROR(INDEX(Movimientos!$D$2:$D$1993,MATCH(A187&amp;"ENTRADA",Movimientos!$R$2:$R$1993,0)),"-")</f>
        <v>-</v>
      </c>
      <c r="D187" s="2" t="str">
        <f>IFERROR(INDEX(Movimientos!$E$2:$E$1993,MATCH(A187&amp;"ENTRADA",Movimientos!$R$2:$R$1993,0)),"-")</f>
        <v>-</v>
      </c>
      <c r="E187" s="2" t="str">
        <f>IFERROR(INDEX(Movimientos!$F$2:$F$1993,MATCH(A187&amp;"ENTRADA",Movimientos!$R$2:$R$1993,0)),"-")</f>
        <v>-</v>
      </c>
      <c r="F187" s="2" t="str">
        <f>IFERROR(INDEX(Movimientos!$G$2:$G$1993,MATCH(A187&amp;"ENTRADA",Movimientos!$R$2:$R$1993,0)),"-")</f>
        <v>-</v>
      </c>
      <c r="G187" s="2" t="str">
        <f>IFERROR(INDEX(Movimientos!$L$2:$L$1993,MATCH(A187&amp;"ENTRADA",Movimientos!$R$2:$R$1993,0)),"-")</f>
        <v>-</v>
      </c>
      <c r="H187" s="17" t="str">
        <f>IFERROR(IF(INDEX(Movimientos!$M$2:$M$1993,MATCH(A187&amp;"ENTRADA",Movimientos!$R$2:$R$1993,0))=0,"S/D",INDEX(Movimientos!$M$2:$M$1993,MATCH(A187&amp;"ENTRADA",Movimientos!$R$2:$R$1993,0))),"S/D")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2494</v>
      </c>
      <c r="B188" s="2" t="str">
        <f>IFERROR(INDEX(Movimientos!$C$2:$C$1993,MATCH(A188&amp;"ENTRADA",Movimientos!$R$2:$R$1993,0)),"-")</f>
        <v>-</v>
      </c>
      <c r="C188" s="2" t="str">
        <f>IFERROR(INDEX(Movimientos!$D$2:$D$1993,MATCH(A188&amp;"ENTRADA",Movimientos!$R$2:$R$1993,0)),"-")</f>
        <v>-</v>
      </c>
      <c r="D188" s="2" t="str">
        <f>IFERROR(INDEX(Movimientos!$E$2:$E$1993,MATCH(A188&amp;"ENTRADA",Movimientos!$R$2:$R$1993,0)),"-")</f>
        <v>-</v>
      </c>
      <c r="E188" s="2" t="str">
        <f>IFERROR(INDEX(Movimientos!$F$2:$F$1993,MATCH(A188&amp;"ENTRADA",Movimientos!$R$2:$R$1993,0)),"-")</f>
        <v>-</v>
      </c>
      <c r="F188" s="2" t="str">
        <f>IFERROR(INDEX(Movimientos!$G$2:$G$1993,MATCH(A188&amp;"ENTRADA",Movimientos!$R$2:$R$1993,0)),"-")</f>
        <v>-</v>
      </c>
      <c r="G188" s="2" t="str">
        <f>IFERROR(INDEX(Movimientos!$L$2:$L$1993,MATCH(A188&amp;"ENTRADA",Movimientos!$R$2:$R$1993,0)),"-")</f>
        <v>-</v>
      </c>
      <c r="H188" s="17" t="str">
        <f>IFERROR(IF(INDEX(Movimientos!$M$2:$M$1993,MATCH(A188&amp;"ENTRADA",Movimientos!$R$2:$R$1993,0))=0,"S/D",INDEX(Movimientos!$M$2:$M$1993,MATCH(A188&amp;"ENTRADA",Movimientos!$R$2:$R$1993,0))),"S/D")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2495</v>
      </c>
      <c r="B189" s="2" t="str">
        <f>IFERROR(INDEX(Movimientos!$C$2:$C$1993,MATCH(A189&amp;"ENTRADA",Movimientos!$R$2:$R$1993,0)),"-")</f>
        <v>-</v>
      </c>
      <c r="C189" s="2" t="str">
        <f>IFERROR(INDEX(Movimientos!$D$2:$D$1993,MATCH(A189&amp;"ENTRADA",Movimientos!$R$2:$R$1993,0)),"-")</f>
        <v>-</v>
      </c>
      <c r="D189" s="2" t="str">
        <f>IFERROR(INDEX(Movimientos!$E$2:$E$1993,MATCH(A189&amp;"ENTRADA",Movimientos!$R$2:$R$1993,0)),"-")</f>
        <v>-</v>
      </c>
      <c r="E189" s="2" t="str">
        <f>IFERROR(INDEX(Movimientos!$F$2:$F$1993,MATCH(A189&amp;"ENTRADA",Movimientos!$R$2:$R$1993,0)),"-")</f>
        <v>-</v>
      </c>
      <c r="F189" s="2" t="str">
        <f>IFERROR(INDEX(Movimientos!$G$2:$G$1993,MATCH(A189&amp;"ENTRADA",Movimientos!$R$2:$R$1993,0)),"-")</f>
        <v>-</v>
      </c>
      <c r="G189" s="2" t="str">
        <f>IFERROR(INDEX(Movimientos!$L$2:$L$1993,MATCH(A189&amp;"ENTRADA",Movimientos!$R$2:$R$1993,0)),"-")</f>
        <v>-</v>
      </c>
      <c r="H189" s="17" t="str">
        <f>IFERROR(IF(INDEX(Movimientos!$M$2:$M$1993,MATCH(A189&amp;"ENTRADA",Movimientos!$R$2:$R$1993,0))=0,"S/D",INDEX(Movimientos!$M$2:$M$1993,MATCH(A189&amp;"ENTRADA",Movimientos!$R$2:$R$1993,0))),"S/D")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2496</v>
      </c>
      <c r="B190" s="2" t="str">
        <f>IFERROR(INDEX(Movimientos!$C$2:$C$1993,MATCH(A190&amp;"ENTRADA",Movimientos!$R$2:$R$1993,0)),"-")</f>
        <v>-</v>
      </c>
      <c r="C190" s="2" t="str">
        <f>IFERROR(INDEX(Movimientos!$D$2:$D$1993,MATCH(A190&amp;"ENTRADA",Movimientos!$R$2:$R$1993,0)),"-")</f>
        <v>-</v>
      </c>
      <c r="D190" s="2" t="str">
        <f>IFERROR(INDEX(Movimientos!$E$2:$E$1993,MATCH(A190&amp;"ENTRADA",Movimientos!$R$2:$R$1993,0)),"-")</f>
        <v>-</v>
      </c>
      <c r="E190" s="2" t="str">
        <f>IFERROR(INDEX(Movimientos!$F$2:$F$1993,MATCH(A190&amp;"ENTRADA",Movimientos!$R$2:$R$1993,0)),"-")</f>
        <v>-</v>
      </c>
      <c r="F190" s="2" t="str">
        <f>IFERROR(INDEX(Movimientos!$G$2:$G$1993,MATCH(A190&amp;"ENTRADA",Movimientos!$R$2:$R$1993,0)),"-")</f>
        <v>-</v>
      </c>
      <c r="G190" s="2" t="str">
        <f>IFERROR(INDEX(Movimientos!$L$2:$L$1993,MATCH(A190&amp;"ENTRADA",Movimientos!$R$2:$R$1993,0)),"-")</f>
        <v>-</v>
      </c>
      <c r="H190" s="17" t="str">
        <f>IFERROR(IF(INDEX(Movimientos!$M$2:$M$1993,MATCH(A190&amp;"ENTRADA",Movimientos!$R$2:$R$1993,0))=0,"S/D",INDEX(Movimientos!$M$2:$M$1993,MATCH(A190&amp;"ENTRADA",Movimientos!$R$2:$R$1993,0))),"S/D")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2497</v>
      </c>
      <c r="B191" s="2" t="str">
        <f>IFERROR(INDEX(Movimientos!$C$2:$C$1993,MATCH(A191&amp;"ENTRADA",Movimientos!$R$2:$R$1993,0)),"-")</f>
        <v>-</v>
      </c>
      <c r="C191" s="2" t="str">
        <f>IFERROR(INDEX(Movimientos!$D$2:$D$1993,MATCH(A191&amp;"ENTRADA",Movimientos!$R$2:$R$1993,0)),"-")</f>
        <v>-</v>
      </c>
      <c r="D191" s="2" t="str">
        <f>IFERROR(INDEX(Movimientos!$E$2:$E$1993,MATCH(A191&amp;"ENTRADA",Movimientos!$R$2:$R$1993,0)),"-")</f>
        <v>-</v>
      </c>
      <c r="E191" s="2" t="str">
        <f>IFERROR(INDEX(Movimientos!$F$2:$F$1993,MATCH(A191&amp;"ENTRADA",Movimientos!$R$2:$R$1993,0)),"-")</f>
        <v>-</v>
      </c>
      <c r="F191" s="2" t="str">
        <f>IFERROR(INDEX(Movimientos!$G$2:$G$1993,MATCH(A191&amp;"ENTRADA",Movimientos!$R$2:$R$1993,0)),"-")</f>
        <v>-</v>
      </c>
      <c r="G191" s="2" t="str">
        <f>IFERROR(INDEX(Movimientos!$L$2:$L$1993,MATCH(A191&amp;"ENTRADA",Movimientos!$R$2:$R$1993,0)),"-")</f>
        <v>-</v>
      </c>
      <c r="H191" s="17" t="str">
        <f>IFERROR(IF(INDEX(Movimientos!$M$2:$M$1993,MATCH(A191&amp;"ENTRADA",Movimientos!$R$2:$R$1993,0))=0,"S/D",INDEX(Movimientos!$M$2:$M$1993,MATCH(A191&amp;"ENTRADA",Movimientos!$R$2:$R$1993,0))),"S/D")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2498</v>
      </c>
      <c r="B192" s="2" t="str">
        <f>IFERROR(INDEX(Movimientos!$C$2:$C$1993,MATCH(A192&amp;"ENTRADA",Movimientos!$R$2:$R$1993,0)),"-")</f>
        <v>-</v>
      </c>
      <c r="C192" s="2" t="str">
        <f>IFERROR(INDEX(Movimientos!$D$2:$D$1993,MATCH(A192&amp;"ENTRADA",Movimientos!$R$2:$R$1993,0)),"-")</f>
        <v>-</v>
      </c>
      <c r="D192" s="2" t="str">
        <f>IFERROR(INDEX(Movimientos!$E$2:$E$1993,MATCH(A192&amp;"ENTRADA",Movimientos!$R$2:$R$1993,0)),"-")</f>
        <v>-</v>
      </c>
      <c r="E192" s="2" t="str">
        <f>IFERROR(INDEX(Movimientos!$F$2:$F$1993,MATCH(A192&amp;"ENTRADA",Movimientos!$R$2:$R$1993,0)),"-")</f>
        <v>-</v>
      </c>
      <c r="F192" s="2" t="str">
        <f>IFERROR(INDEX(Movimientos!$G$2:$G$1993,MATCH(A192&amp;"ENTRADA",Movimientos!$R$2:$R$1993,0)),"-")</f>
        <v>-</v>
      </c>
      <c r="G192" s="2" t="str">
        <f>IFERROR(INDEX(Movimientos!$L$2:$L$1993,MATCH(A192&amp;"ENTRADA",Movimientos!$R$2:$R$1993,0)),"-")</f>
        <v>-</v>
      </c>
      <c r="H192" s="17" t="str">
        <f>IFERROR(IF(INDEX(Movimientos!$M$2:$M$1993,MATCH(A192&amp;"ENTRADA",Movimientos!$R$2:$R$1993,0))=0,"S/D",INDEX(Movimientos!$M$2:$M$1993,MATCH(A192&amp;"ENTRADA",Movimientos!$R$2:$R$1993,0))),"S/D")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2499</v>
      </c>
      <c r="B193" s="2" t="str">
        <f>IFERROR(INDEX(Movimientos!$C$2:$C$1993,MATCH(A193&amp;"ENTRADA",Movimientos!$R$2:$R$1993,0)),"-")</f>
        <v>-</v>
      </c>
      <c r="C193" s="2" t="str">
        <f>IFERROR(INDEX(Movimientos!$D$2:$D$1993,MATCH(A193&amp;"ENTRADA",Movimientos!$R$2:$R$1993,0)),"-")</f>
        <v>-</v>
      </c>
      <c r="D193" s="2" t="str">
        <f>IFERROR(INDEX(Movimientos!$E$2:$E$1993,MATCH(A193&amp;"ENTRADA",Movimientos!$R$2:$R$1993,0)),"-")</f>
        <v>-</v>
      </c>
      <c r="E193" s="2" t="str">
        <f>IFERROR(INDEX(Movimientos!$F$2:$F$1993,MATCH(A193&amp;"ENTRADA",Movimientos!$R$2:$R$1993,0)),"-")</f>
        <v>-</v>
      </c>
      <c r="F193" s="2" t="str">
        <f>IFERROR(INDEX(Movimientos!$G$2:$G$1993,MATCH(A193&amp;"ENTRADA",Movimientos!$R$2:$R$1993,0)),"-")</f>
        <v>-</v>
      </c>
      <c r="G193" s="2" t="str">
        <f>IFERROR(INDEX(Movimientos!$L$2:$L$1993,MATCH(A193&amp;"ENTRADA",Movimientos!$R$2:$R$1993,0)),"-")</f>
        <v>-</v>
      </c>
      <c r="H193" s="17" t="str">
        <f>IFERROR(IF(INDEX(Movimientos!$M$2:$M$1993,MATCH(A193&amp;"ENTRADA",Movimientos!$R$2:$R$1993,0))=0,"S/D",INDEX(Movimientos!$M$2:$M$1993,MATCH(A193&amp;"ENTRADA",Movimientos!$R$2:$R$1993,0))),"S/D")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2500</v>
      </c>
      <c r="B194" s="2" t="str">
        <f>IFERROR(INDEX(Movimientos!$C$2:$C$1993,MATCH(A194&amp;"ENTRADA",Movimientos!$R$2:$R$1993,0)),"-")</f>
        <v>-</v>
      </c>
      <c r="C194" s="2" t="str">
        <f>IFERROR(INDEX(Movimientos!$D$2:$D$1993,MATCH(A194&amp;"ENTRADA",Movimientos!$R$2:$R$1993,0)),"-")</f>
        <v>-</v>
      </c>
      <c r="D194" s="2" t="str">
        <f>IFERROR(INDEX(Movimientos!$E$2:$E$1993,MATCH(A194&amp;"ENTRADA",Movimientos!$R$2:$R$1993,0)),"-")</f>
        <v>-</v>
      </c>
      <c r="E194" s="2" t="str">
        <f>IFERROR(INDEX(Movimientos!$F$2:$F$1993,MATCH(A194&amp;"ENTRADA",Movimientos!$R$2:$R$1993,0)),"-")</f>
        <v>-</v>
      </c>
      <c r="F194" s="2" t="str">
        <f>IFERROR(INDEX(Movimientos!$G$2:$G$1993,MATCH(A194&amp;"ENTRADA",Movimientos!$R$2:$R$1993,0)),"-")</f>
        <v>-</v>
      </c>
      <c r="G194" s="2" t="str">
        <f>IFERROR(INDEX(Movimientos!$L$2:$L$1993,MATCH(A194&amp;"ENTRADA",Movimientos!$R$2:$R$1993,0)),"-")</f>
        <v>-</v>
      </c>
      <c r="H194" s="17" t="str">
        <f>IFERROR(IF(INDEX(Movimientos!$M$2:$M$1993,MATCH(A194&amp;"ENTRADA",Movimientos!$R$2:$R$1993,0))=0,"S/D",INDEX(Movimientos!$M$2:$M$1993,MATCH(A194&amp;"ENTRADA",Movimientos!$R$2:$R$1993,0))),"S/D")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2501</v>
      </c>
      <c r="B195" s="2" t="str">
        <f>IFERROR(INDEX(Movimientos!$C$2:$C$1993,MATCH(A195&amp;"ENTRADA",Movimientos!$R$2:$R$1993,0)),"-")</f>
        <v>-</v>
      </c>
      <c r="C195" s="2" t="str">
        <f>IFERROR(INDEX(Movimientos!$D$2:$D$1993,MATCH(A195&amp;"ENTRADA",Movimientos!$R$2:$R$1993,0)),"-")</f>
        <v>-</v>
      </c>
      <c r="D195" s="2" t="str">
        <f>IFERROR(INDEX(Movimientos!$E$2:$E$1993,MATCH(A195&amp;"ENTRADA",Movimientos!$R$2:$R$1993,0)),"-")</f>
        <v>-</v>
      </c>
      <c r="E195" s="2" t="str">
        <f>IFERROR(INDEX(Movimientos!$F$2:$F$1993,MATCH(A195&amp;"ENTRADA",Movimientos!$R$2:$R$1993,0)),"-")</f>
        <v>-</v>
      </c>
      <c r="F195" s="2" t="str">
        <f>IFERROR(INDEX(Movimientos!$G$2:$G$1993,MATCH(A195&amp;"ENTRADA",Movimientos!$R$2:$R$1993,0)),"-")</f>
        <v>-</v>
      </c>
      <c r="G195" s="2" t="str">
        <f>IFERROR(INDEX(Movimientos!$L$2:$L$1993,MATCH(A195&amp;"ENTRADA",Movimientos!$R$2:$R$1993,0)),"-")</f>
        <v>-</v>
      </c>
      <c r="H195" s="17" t="str">
        <f>IFERROR(IF(INDEX(Movimientos!$M$2:$M$1993,MATCH(A195&amp;"ENTRADA",Movimientos!$R$2:$R$1993,0))=0,"S/D",INDEX(Movimientos!$M$2:$M$1993,MATCH(A195&amp;"ENTRADA",Movimientos!$R$2:$R$1993,0))),"S/D")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2502</v>
      </c>
      <c r="B196" s="2" t="str">
        <f>IFERROR(INDEX(Movimientos!$C$2:$C$1993,MATCH(A196&amp;"ENTRADA",Movimientos!$R$2:$R$1993,0)),"-")</f>
        <v>-</v>
      </c>
      <c r="C196" s="2" t="str">
        <f>IFERROR(INDEX(Movimientos!$D$2:$D$1993,MATCH(A196&amp;"ENTRADA",Movimientos!$R$2:$R$1993,0)),"-")</f>
        <v>-</v>
      </c>
      <c r="D196" s="2" t="str">
        <f>IFERROR(INDEX(Movimientos!$E$2:$E$1993,MATCH(A196&amp;"ENTRADA",Movimientos!$R$2:$R$1993,0)),"-")</f>
        <v>-</v>
      </c>
      <c r="E196" s="2" t="str">
        <f>IFERROR(INDEX(Movimientos!$F$2:$F$1993,MATCH(A196&amp;"ENTRADA",Movimientos!$R$2:$R$1993,0)),"-")</f>
        <v>-</v>
      </c>
      <c r="F196" s="2" t="str">
        <f>IFERROR(INDEX(Movimientos!$G$2:$G$1993,MATCH(A196&amp;"ENTRADA",Movimientos!$R$2:$R$1993,0)),"-")</f>
        <v>-</v>
      </c>
      <c r="G196" s="2" t="str">
        <f>IFERROR(INDEX(Movimientos!$L$2:$L$1993,MATCH(A196&amp;"ENTRADA",Movimientos!$R$2:$R$1993,0)),"-")</f>
        <v>-</v>
      </c>
      <c r="H196" s="17" t="str">
        <f>IFERROR(IF(INDEX(Movimientos!$M$2:$M$1993,MATCH(A196&amp;"ENTRADA",Movimientos!$R$2:$R$1993,0))=0,"S/D",INDEX(Movimientos!$M$2:$M$1993,MATCH(A196&amp;"ENTRADA",Movimientos!$R$2:$R$1993,0))),"S/D")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2503</v>
      </c>
      <c r="B197" s="2" t="str">
        <f>IFERROR(INDEX(Movimientos!$C$2:$C$1993,MATCH(A197&amp;"ENTRADA",Movimientos!$R$2:$R$1993,0)),"-")</f>
        <v>-</v>
      </c>
      <c r="C197" s="2" t="str">
        <f>IFERROR(INDEX(Movimientos!$D$2:$D$1993,MATCH(A197&amp;"ENTRADA",Movimientos!$R$2:$R$1993,0)),"-")</f>
        <v>-</v>
      </c>
      <c r="D197" s="2" t="str">
        <f>IFERROR(INDEX(Movimientos!$E$2:$E$1993,MATCH(A197&amp;"ENTRADA",Movimientos!$R$2:$R$1993,0)),"-")</f>
        <v>-</v>
      </c>
      <c r="E197" s="2" t="str">
        <f>IFERROR(INDEX(Movimientos!$F$2:$F$1993,MATCH(A197&amp;"ENTRADA",Movimientos!$R$2:$R$1993,0)),"-")</f>
        <v>-</v>
      </c>
      <c r="F197" s="2" t="str">
        <f>IFERROR(INDEX(Movimientos!$G$2:$G$1993,MATCH(A197&amp;"ENTRADA",Movimientos!$R$2:$R$1993,0)),"-")</f>
        <v>-</v>
      </c>
      <c r="G197" s="2" t="str">
        <f>IFERROR(INDEX(Movimientos!$L$2:$L$1993,MATCH(A197&amp;"ENTRADA",Movimientos!$R$2:$R$1993,0)),"-")</f>
        <v>-</v>
      </c>
      <c r="H197" s="17" t="str">
        <f>IFERROR(IF(INDEX(Movimientos!$M$2:$M$1993,MATCH(A197&amp;"ENTRADA",Movimientos!$R$2:$R$1993,0))=0,"S/D",INDEX(Movimientos!$M$2:$M$1993,MATCH(A197&amp;"ENTRADA",Movimientos!$R$2:$R$1993,0))),"S/D")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2504</v>
      </c>
      <c r="B198" s="2" t="str">
        <f>IFERROR(INDEX(Movimientos!$C$2:$C$1993,MATCH(A198&amp;"ENTRADA",Movimientos!$R$2:$R$1993,0)),"-")</f>
        <v>-</v>
      </c>
      <c r="C198" s="2" t="str">
        <f>IFERROR(INDEX(Movimientos!$D$2:$D$1993,MATCH(A198&amp;"ENTRADA",Movimientos!$R$2:$R$1993,0)),"-")</f>
        <v>-</v>
      </c>
      <c r="D198" s="2" t="str">
        <f>IFERROR(INDEX(Movimientos!$E$2:$E$1993,MATCH(A198&amp;"ENTRADA",Movimientos!$R$2:$R$1993,0)),"-")</f>
        <v>-</v>
      </c>
      <c r="E198" s="2" t="str">
        <f>IFERROR(INDEX(Movimientos!$F$2:$F$1993,MATCH(A198&amp;"ENTRADA",Movimientos!$R$2:$R$1993,0)),"-")</f>
        <v>-</v>
      </c>
      <c r="F198" s="2" t="str">
        <f>IFERROR(INDEX(Movimientos!$G$2:$G$1993,MATCH(A198&amp;"ENTRADA",Movimientos!$R$2:$R$1993,0)),"-")</f>
        <v>-</v>
      </c>
      <c r="G198" s="2" t="str">
        <f>IFERROR(INDEX(Movimientos!$L$2:$L$1993,MATCH(A198&amp;"ENTRADA",Movimientos!$R$2:$R$1993,0)),"-")</f>
        <v>-</v>
      </c>
      <c r="H198" s="17" t="str">
        <f>IFERROR(IF(INDEX(Movimientos!$M$2:$M$1993,MATCH(A198&amp;"ENTRADA",Movimientos!$R$2:$R$1993,0))=0,"S/D",INDEX(Movimientos!$M$2:$M$1993,MATCH(A198&amp;"ENTRADA",Movimientos!$R$2:$R$1993,0))),"S/D")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2505</v>
      </c>
      <c r="B199" s="2" t="str">
        <f>IFERROR(INDEX(Movimientos!$C$2:$C$1993,MATCH(A199&amp;"ENTRADA",Movimientos!$R$2:$R$1993,0)),"-")</f>
        <v>-</v>
      </c>
      <c r="C199" s="2" t="str">
        <f>IFERROR(INDEX(Movimientos!$D$2:$D$1993,MATCH(A199&amp;"ENTRADA",Movimientos!$R$2:$R$1993,0)),"-")</f>
        <v>-</v>
      </c>
      <c r="D199" s="2" t="str">
        <f>IFERROR(INDEX(Movimientos!$E$2:$E$1993,MATCH(A199&amp;"ENTRADA",Movimientos!$R$2:$R$1993,0)),"-")</f>
        <v>-</v>
      </c>
      <c r="E199" s="2" t="str">
        <f>IFERROR(INDEX(Movimientos!$F$2:$F$1993,MATCH(A199&amp;"ENTRADA",Movimientos!$R$2:$R$1993,0)),"-")</f>
        <v>-</v>
      </c>
      <c r="F199" s="2" t="str">
        <f>IFERROR(INDEX(Movimientos!$G$2:$G$1993,MATCH(A199&amp;"ENTRADA",Movimientos!$R$2:$R$1993,0)),"-")</f>
        <v>-</v>
      </c>
      <c r="G199" s="2" t="str">
        <f>IFERROR(INDEX(Movimientos!$L$2:$L$1993,MATCH(A199&amp;"ENTRADA",Movimientos!$R$2:$R$1993,0)),"-")</f>
        <v>-</v>
      </c>
      <c r="H199" s="17" t="str">
        <f>IFERROR(IF(INDEX(Movimientos!$M$2:$M$1993,MATCH(A199&amp;"ENTRADA",Movimientos!$R$2:$R$1993,0))=0,"S/D",INDEX(Movimientos!$M$2:$M$1993,MATCH(A199&amp;"ENTRADA",Movimientos!$R$2:$R$1993,0))),"S/D")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2506</v>
      </c>
      <c r="B200" s="2" t="str">
        <f>IFERROR(INDEX(Movimientos!$C$2:$C$1993,MATCH(A200&amp;"ENTRADA",Movimientos!$R$2:$R$1993,0)),"-")</f>
        <v>-</v>
      </c>
      <c r="C200" s="2" t="str">
        <f>IFERROR(INDEX(Movimientos!$D$2:$D$1993,MATCH(A200&amp;"ENTRADA",Movimientos!$R$2:$R$1993,0)),"-")</f>
        <v>-</v>
      </c>
      <c r="D200" s="2" t="str">
        <f>IFERROR(INDEX(Movimientos!$E$2:$E$1993,MATCH(A200&amp;"ENTRADA",Movimientos!$R$2:$R$1993,0)),"-")</f>
        <v>-</v>
      </c>
      <c r="E200" s="2" t="str">
        <f>IFERROR(INDEX(Movimientos!$F$2:$F$1993,MATCH(A200&amp;"ENTRADA",Movimientos!$R$2:$R$1993,0)),"-")</f>
        <v>-</v>
      </c>
      <c r="F200" s="2" t="str">
        <f>IFERROR(INDEX(Movimientos!$G$2:$G$1993,MATCH(A200&amp;"ENTRADA",Movimientos!$R$2:$R$1993,0)),"-")</f>
        <v>-</v>
      </c>
      <c r="G200" s="2" t="str">
        <f>IFERROR(INDEX(Movimientos!$L$2:$L$1993,MATCH(A200&amp;"ENTRADA",Movimientos!$R$2:$R$1993,0)),"-")</f>
        <v>-</v>
      </c>
      <c r="H200" s="17" t="str">
        <f>IFERROR(IF(INDEX(Movimientos!$M$2:$M$1993,MATCH(A200&amp;"ENTRADA",Movimientos!$R$2:$R$1993,0))=0,"S/D",INDEX(Movimientos!$M$2:$M$1993,MATCH(A200&amp;"ENTRADA",Movimientos!$R$2:$R$1993,0))),"S/D")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2507</v>
      </c>
      <c r="B201" s="2" t="str">
        <f>IFERROR(INDEX(Movimientos!$C$2:$C$1993,MATCH(A201&amp;"ENTRADA",Movimientos!$R$2:$R$1993,0)),"-")</f>
        <v>-</v>
      </c>
      <c r="C201" s="2" t="str">
        <f>IFERROR(INDEX(Movimientos!$D$2:$D$1993,MATCH(A201&amp;"ENTRADA",Movimientos!$R$2:$R$1993,0)),"-")</f>
        <v>-</v>
      </c>
      <c r="D201" s="2" t="str">
        <f>IFERROR(INDEX(Movimientos!$E$2:$E$1993,MATCH(A201&amp;"ENTRADA",Movimientos!$R$2:$R$1993,0)),"-")</f>
        <v>-</v>
      </c>
      <c r="E201" s="2" t="str">
        <f>IFERROR(INDEX(Movimientos!$F$2:$F$1993,MATCH(A201&amp;"ENTRADA",Movimientos!$R$2:$R$1993,0)),"-")</f>
        <v>-</v>
      </c>
      <c r="F201" s="2" t="str">
        <f>IFERROR(INDEX(Movimientos!$G$2:$G$1993,MATCH(A201&amp;"ENTRADA",Movimientos!$R$2:$R$1993,0)),"-")</f>
        <v>-</v>
      </c>
      <c r="G201" s="2" t="str">
        <f>IFERROR(INDEX(Movimientos!$L$2:$L$1993,MATCH(A201&amp;"ENTRADA",Movimientos!$R$2:$R$1993,0)),"-")</f>
        <v>-</v>
      </c>
      <c r="H201" s="17" t="str">
        <f>IFERROR(IF(INDEX(Movimientos!$M$2:$M$1993,MATCH(A201&amp;"ENTRADA",Movimientos!$R$2:$R$1993,0))=0,"S/D",INDEX(Movimientos!$M$2:$M$1993,MATCH(A201&amp;"ENTRADA",Movimientos!$R$2:$R$1993,0))),"S/D")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2508</v>
      </c>
      <c r="B202" s="2" t="str">
        <f>IFERROR(INDEX(Movimientos!$C$2:$C$1993,MATCH(A202&amp;"ENTRADA",Movimientos!$R$2:$R$1993,0)),"-")</f>
        <v>-</v>
      </c>
      <c r="C202" s="2" t="str">
        <f>IFERROR(INDEX(Movimientos!$D$2:$D$1993,MATCH(A202&amp;"ENTRADA",Movimientos!$R$2:$R$1993,0)),"-")</f>
        <v>-</v>
      </c>
      <c r="D202" s="2" t="str">
        <f>IFERROR(INDEX(Movimientos!$E$2:$E$1993,MATCH(A202&amp;"ENTRADA",Movimientos!$R$2:$R$1993,0)),"-")</f>
        <v>-</v>
      </c>
      <c r="E202" s="2" t="str">
        <f>IFERROR(INDEX(Movimientos!$F$2:$F$1993,MATCH(A202&amp;"ENTRADA",Movimientos!$R$2:$R$1993,0)),"-")</f>
        <v>-</v>
      </c>
      <c r="F202" s="2" t="str">
        <f>IFERROR(INDEX(Movimientos!$G$2:$G$1993,MATCH(A202&amp;"ENTRADA",Movimientos!$R$2:$R$1993,0)),"-")</f>
        <v>-</v>
      </c>
      <c r="G202" s="2" t="str">
        <f>IFERROR(INDEX(Movimientos!$L$2:$L$1993,MATCH(A202&amp;"ENTRADA",Movimientos!$R$2:$R$1993,0)),"-")</f>
        <v>-</v>
      </c>
      <c r="H202" s="17" t="str">
        <f>IFERROR(IF(INDEX(Movimientos!$M$2:$M$1993,MATCH(A202&amp;"ENTRADA",Movimientos!$R$2:$R$1993,0))=0,"S/D",INDEX(Movimientos!$M$2:$M$1993,MATCH(A202&amp;"ENTRADA",Movimientos!$R$2:$R$1993,0))),"S/D")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2509</v>
      </c>
      <c r="B203" s="2" t="str">
        <f>IFERROR(INDEX(Movimientos!$C$2:$C$1993,MATCH(A203&amp;"ENTRADA",Movimientos!$R$2:$R$1993,0)),"-")</f>
        <v>-</v>
      </c>
      <c r="C203" s="2" t="str">
        <f>IFERROR(INDEX(Movimientos!$D$2:$D$1993,MATCH(A203&amp;"ENTRADA",Movimientos!$R$2:$R$1993,0)),"-")</f>
        <v>-</v>
      </c>
      <c r="D203" s="2" t="str">
        <f>IFERROR(INDEX(Movimientos!$E$2:$E$1993,MATCH(A203&amp;"ENTRADA",Movimientos!$R$2:$R$1993,0)),"-")</f>
        <v>-</v>
      </c>
      <c r="E203" s="2" t="str">
        <f>IFERROR(INDEX(Movimientos!$F$2:$F$1993,MATCH(A203&amp;"ENTRADA",Movimientos!$R$2:$R$1993,0)),"-")</f>
        <v>-</v>
      </c>
      <c r="F203" s="2" t="str">
        <f>IFERROR(INDEX(Movimientos!$G$2:$G$1993,MATCH(A203&amp;"ENTRADA",Movimientos!$R$2:$R$1993,0)),"-")</f>
        <v>-</v>
      </c>
      <c r="G203" s="2" t="str">
        <f>IFERROR(INDEX(Movimientos!$L$2:$L$1993,MATCH(A203&amp;"ENTRADA",Movimientos!$R$2:$R$1993,0)),"-")</f>
        <v>-</v>
      </c>
      <c r="H203" s="17" t="str">
        <f>IFERROR(IF(INDEX(Movimientos!$M$2:$M$1993,MATCH(A203&amp;"ENTRADA",Movimientos!$R$2:$R$1993,0))=0,"S/D",INDEX(Movimientos!$M$2:$M$1993,MATCH(A203&amp;"ENTRADA",Movimientos!$R$2:$R$1993,0))),"S/D")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2510</v>
      </c>
      <c r="B204" s="2" t="str">
        <f>IFERROR(INDEX(Movimientos!$C$2:$C$1993,MATCH(A204&amp;"ENTRADA",Movimientos!$R$2:$R$1993,0)),"-")</f>
        <v>-</v>
      </c>
      <c r="C204" s="2" t="str">
        <f>IFERROR(INDEX(Movimientos!$D$2:$D$1993,MATCH(A204&amp;"ENTRADA",Movimientos!$R$2:$R$1993,0)),"-")</f>
        <v>-</v>
      </c>
      <c r="D204" s="2" t="str">
        <f>IFERROR(INDEX(Movimientos!$E$2:$E$1993,MATCH(A204&amp;"ENTRADA",Movimientos!$R$2:$R$1993,0)),"-")</f>
        <v>-</v>
      </c>
      <c r="E204" s="2" t="str">
        <f>IFERROR(INDEX(Movimientos!$F$2:$F$1993,MATCH(A204&amp;"ENTRADA",Movimientos!$R$2:$R$1993,0)),"-")</f>
        <v>-</v>
      </c>
      <c r="F204" s="2" t="str">
        <f>IFERROR(INDEX(Movimientos!$G$2:$G$1993,MATCH(A204&amp;"ENTRADA",Movimientos!$R$2:$R$1993,0)),"-")</f>
        <v>-</v>
      </c>
      <c r="G204" s="2" t="str">
        <f>IFERROR(INDEX(Movimientos!$L$2:$L$1993,MATCH(A204&amp;"ENTRADA",Movimientos!$R$2:$R$1993,0)),"-")</f>
        <v>-</v>
      </c>
      <c r="H204" s="17" t="str">
        <f>IFERROR(IF(INDEX(Movimientos!$M$2:$M$1993,MATCH(A204&amp;"ENTRADA",Movimientos!$R$2:$R$1993,0))=0,"S/D",INDEX(Movimientos!$M$2:$M$1993,MATCH(A204&amp;"ENTRADA",Movimientos!$R$2:$R$1993,0))),"S/D")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2511</v>
      </c>
      <c r="B205" s="2" t="str">
        <f>IFERROR(INDEX(Movimientos!$C$2:$C$1993,MATCH(A205&amp;"ENTRADA",Movimientos!$R$2:$R$1993,0)),"-")</f>
        <v>-</v>
      </c>
      <c r="C205" s="2" t="str">
        <f>IFERROR(INDEX(Movimientos!$D$2:$D$1993,MATCH(A205&amp;"ENTRADA",Movimientos!$R$2:$R$1993,0)),"-")</f>
        <v>-</v>
      </c>
      <c r="D205" s="2" t="str">
        <f>IFERROR(INDEX(Movimientos!$E$2:$E$1993,MATCH(A205&amp;"ENTRADA",Movimientos!$R$2:$R$1993,0)),"-")</f>
        <v>-</v>
      </c>
      <c r="E205" s="2" t="str">
        <f>IFERROR(INDEX(Movimientos!$F$2:$F$1993,MATCH(A205&amp;"ENTRADA",Movimientos!$R$2:$R$1993,0)),"-")</f>
        <v>-</v>
      </c>
      <c r="F205" s="2" t="str">
        <f>IFERROR(INDEX(Movimientos!$G$2:$G$1993,MATCH(A205&amp;"ENTRADA",Movimientos!$R$2:$R$1993,0)),"-")</f>
        <v>-</v>
      </c>
      <c r="G205" s="2" t="str">
        <f>IFERROR(INDEX(Movimientos!$L$2:$L$1993,MATCH(A205&amp;"ENTRADA",Movimientos!$R$2:$R$1993,0)),"-")</f>
        <v>-</v>
      </c>
      <c r="H205" s="17" t="str">
        <f>IFERROR(IF(INDEX(Movimientos!$M$2:$M$1993,MATCH(A205&amp;"ENTRADA",Movimientos!$R$2:$R$1993,0))=0,"S/D",INDEX(Movimientos!$M$2:$M$1993,MATCH(A205&amp;"ENTRADA",Movimientos!$R$2:$R$1993,0))),"S/D")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2512</v>
      </c>
      <c r="B206" s="2" t="str">
        <f>IFERROR(INDEX(Movimientos!$C$2:$C$1993,MATCH(A206&amp;"ENTRADA",Movimientos!$R$2:$R$1993,0)),"-")</f>
        <v>-</v>
      </c>
      <c r="C206" s="2" t="str">
        <f>IFERROR(INDEX(Movimientos!$D$2:$D$1993,MATCH(A206&amp;"ENTRADA",Movimientos!$R$2:$R$1993,0)),"-")</f>
        <v>-</v>
      </c>
      <c r="D206" s="2" t="str">
        <f>IFERROR(INDEX(Movimientos!$E$2:$E$1993,MATCH(A206&amp;"ENTRADA",Movimientos!$R$2:$R$1993,0)),"-")</f>
        <v>-</v>
      </c>
      <c r="E206" s="2" t="str">
        <f>IFERROR(INDEX(Movimientos!$F$2:$F$1993,MATCH(A206&amp;"ENTRADA",Movimientos!$R$2:$R$1993,0)),"-")</f>
        <v>-</v>
      </c>
      <c r="F206" s="2" t="str">
        <f>IFERROR(INDEX(Movimientos!$G$2:$G$1993,MATCH(A206&amp;"ENTRADA",Movimientos!$R$2:$R$1993,0)),"-")</f>
        <v>-</v>
      </c>
      <c r="G206" s="2" t="str">
        <f>IFERROR(INDEX(Movimientos!$L$2:$L$1993,MATCH(A206&amp;"ENTRADA",Movimientos!$R$2:$R$1993,0)),"-")</f>
        <v>-</v>
      </c>
      <c r="H206" s="17" t="str">
        <f>IFERROR(IF(INDEX(Movimientos!$M$2:$M$1993,MATCH(A206&amp;"ENTRADA",Movimientos!$R$2:$R$1993,0))=0,"S/D",INDEX(Movimientos!$M$2:$M$1993,MATCH(A206&amp;"ENTRADA",Movimientos!$R$2:$R$1993,0))),"S/D")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2513</v>
      </c>
      <c r="B207" s="2" t="str">
        <f>IFERROR(INDEX(Movimientos!$C$2:$C$1993,MATCH(A207&amp;"ENTRADA",Movimientos!$R$2:$R$1993,0)),"-")</f>
        <v>-</v>
      </c>
      <c r="C207" s="2" t="str">
        <f>IFERROR(INDEX(Movimientos!$D$2:$D$1993,MATCH(A207&amp;"ENTRADA",Movimientos!$R$2:$R$1993,0)),"-")</f>
        <v>-</v>
      </c>
      <c r="D207" s="2" t="str">
        <f>IFERROR(INDEX(Movimientos!$E$2:$E$1993,MATCH(A207&amp;"ENTRADA",Movimientos!$R$2:$R$1993,0)),"-")</f>
        <v>-</v>
      </c>
      <c r="E207" s="2" t="str">
        <f>IFERROR(INDEX(Movimientos!$F$2:$F$1993,MATCH(A207&amp;"ENTRADA",Movimientos!$R$2:$R$1993,0)),"-")</f>
        <v>-</v>
      </c>
      <c r="F207" s="2" t="str">
        <f>IFERROR(INDEX(Movimientos!$G$2:$G$1993,MATCH(A207&amp;"ENTRADA",Movimientos!$R$2:$R$1993,0)),"-")</f>
        <v>-</v>
      </c>
      <c r="G207" s="2" t="str">
        <f>IFERROR(INDEX(Movimientos!$L$2:$L$1993,MATCH(A207&amp;"ENTRADA",Movimientos!$R$2:$R$1993,0)),"-")</f>
        <v>-</v>
      </c>
      <c r="H207" s="17" t="str">
        <f>IFERROR(IF(INDEX(Movimientos!$M$2:$M$1993,MATCH(A207&amp;"ENTRADA",Movimientos!$R$2:$R$1993,0))=0,"S/D",INDEX(Movimientos!$M$2:$M$1993,MATCH(A207&amp;"ENTRADA",Movimientos!$R$2:$R$1993,0))),"S/D")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2514</v>
      </c>
      <c r="B208" s="2" t="str">
        <f>IFERROR(INDEX(Movimientos!$C$2:$C$1993,MATCH(A208&amp;"ENTRADA",Movimientos!$R$2:$R$1993,0)),"-")</f>
        <v>-</v>
      </c>
      <c r="C208" s="2" t="str">
        <f>IFERROR(INDEX(Movimientos!$D$2:$D$1993,MATCH(A208&amp;"ENTRADA",Movimientos!$R$2:$R$1993,0)),"-")</f>
        <v>-</v>
      </c>
      <c r="D208" s="2" t="str">
        <f>IFERROR(INDEX(Movimientos!$E$2:$E$1993,MATCH(A208&amp;"ENTRADA",Movimientos!$R$2:$R$1993,0)),"-")</f>
        <v>-</v>
      </c>
      <c r="E208" s="2" t="str">
        <f>IFERROR(INDEX(Movimientos!$F$2:$F$1993,MATCH(A208&amp;"ENTRADA",Movimientos!$R$2:$R$1993,0)),"-")</f>
        <v>-</v>
      </c>
      <c r="F208" s="2" t="str">
        <f>IFERROR(INDEX(Movimientos!$G$2:$G$1993,MATCH(A208&amp;"ENTRADA",Movimientos!$R$2:$R$1993,0)),"-")</f>
        <v>-</v>
      </c>
      <c r="G208" s="2" t="str">
        <f>IFERROR(INDEX(Movimientos!$L$2:$L$1993,MATCH(A208&amp;"ENTRADA",Movimientos!$R$2:$R$1993,0)),"-")</f>
        <v>-</v>
      </c>
      <c r="H208" s="17" t="str">
        <f>IFERROR(IF(INDEX(Movimientos!$M$2:$M$1993,MATCH(A208&amp;"ENTRADA",Movimientos!$R$2:$R$1993,0))=0,"S/D",INDEX(Movimientos!$M$2:$M$1993,MATCH(A208&amp;"ENTRADA",Movimientos!$R$2:$R$1993,0))),"S/D")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2515</v>
      </c>
      <c r="B209" s="2" t="str">
        <f>IFERROR(INDEX(Movimientos!$C$2:$C$1993,MATCH(A209&amp;"ENTRADA",Movimientos!$R$2:$R$1993,0)),"-")</f>
        <v>-</v>
      </c>
      <c r="C209" s="2" t="str">
        <f>IFERROR(INDEX(Movimientos!$D$2:$D$1993,MATCH(A209&amp;"ENTRADA",Movimientos!$R$2:$R$1993,0)),"-")</f>
        <v>-</v>
      </c>
      <c r="D209" s="2" t="str">
        <f>IFERROR(INDEX(Movimientos!$E$2:$E$1993,MATCH(A209&amp;"ENTRADA",Movimientos!$R$2:$R$1993,0)),"-")</f>
        <v>-</v>
      </c>
      <c r="E209" s="2" t="str">
        <f>IFERROR(INDEX(Movimientos!$F$2:$F$1993,MATCH(A209&amp;"ENTRADA",Movimientos!$R$2:$R$1993,0)),"-")</f>
        <v>-</v>
      </c>
      <c r="F209" s="2" t="str">
        <f>IFERROR(INDEX(Movimientos!$G$2:$G$1993,MATCH(A209&amp;"ENTRADA",Movimientos!$R$2:$R$1993,0)),"-")</f>
        <v>-</v>
      </c>
      <c r="G209" s="2" t="str">
        <f>IFERROR(INDEX(Movimientos!$L$2:$L$1993,MATCH(A209&amp;"ENTRADA",Movimientos!$R$2:$R$1993,0)),"-")</f>
        <v>-</v>
      </c>
      <c r="H209" s="17" t="str">
        <f>IFERROR(IF(INDEX(Movimientos!$M$2:$M$1993,MATCH(A209&amp;"ENTRADA",Movimientos!$R$2:$R$1993,0))=0,"S/D",INDEX(Movimientos!$M$2:$M$1993,MATCH(A209&amp;"ENTRADA",Movimientos!$R$2:$R$1993,0))),"S/D")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2516</v>
      </c>
      <c r="B210" s="2" t="str">
        <f>IFERROR(INDEX(Movimientos!$C$2:$C$1993,MATCH(A210&amp;"ENTRADA",Movimientos!$R$2:$R$1993,0)),"-")</f>
        <v>-</v>
      </c>
      <c r="C210" s="2" t="str">
        <f>IFERROR(INDEX(Movimientos!$D$2:$D$1993,MATCH(A210&amp;"ENTRADA",Movimientos!$R$2:$R$1993,0)),"-")</f>
        <v>-</v>
      </c>
      <c r="D210" s="2" t="str">
        <f>IFERROR(INDEX(Movimientos!$E$2:$E$1993,MATCH(A210&amp;"ENTRADA",Movimientos!$R$2:$R$1993,0)),"-")</f>
        <v>-</v>
      </c>
      <c r="E210" s="2" t="str">
        <f>IFERROR(INDEX(Movimientos!$F$2:$F$1993,MATCH(A210&amp;"ENTRADA",Movimientos!$R$2:$R$1993,0)),"-")</f>
        <v>-</v>
      </c>
      <c r="F210" s="2" t="str">
        <f>IFERROR(INDEX(Movimientos!$G$2:$G$1993,MATCH(A210&amp;"ENTRADA",Movimientos!$R$2:$R$1993,0)),"-")</f>
        <v>-</v>
      </c>
      <c r="G210" s="2" t="str">
        <f>IFERROR(INDEX(Movimientos!$L$2:$L$1993,MATCH(A210&amp;"ENTRADA",Movimientos!$R$2:$R$1993,0)),"-")</f>
        <v>-</v>
      </c>
      <c r="H210" s="17" t="str">
        <f>IFERROR(IF(INDEX(Movimientos!$M$2:$M$1993,MATCH(A210&amp;"ENTRADA",Movimientos!$R$2:$R$1993,0))=0,"S/D",INDEX(Movimientos!$M$2:$M$1993,MATCH(A210&amp;"ENTRADA",Movimientos!$R$2:$R$1993,0))),"S/D")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2517</v>
      </c>
      <c r="B211" s="2" t="str">
        <f>IFERROR(INDEX(Movimientos!$C$2:$C$1993,MATCH(A211&amp;"ENTRADA",Movimientos!$R$2:$R$1993,0)),"-")</f>
        <v>-</v>
      </c>
      <c r="C211" s="2" t="str">
        <f>IFERROR(INDEX(Movimientos!$D$2:$D$1993,MATCH(A211&amp;"ENTRADA",Movimientos!$R$2:$R$1993,0)),"-")</f>
        <v>-</v>
      </c>
      <c r="D211" s="2" t="str">
        <f>IFERROR(INDEX(Movimientos!$E$2:$E$1993,MATCH(A211&amp;"ENTRADA",Movimientos!$R$2:$R$1993,0)),"-")</f>
        <v>-</v>
      </c>
      <c r="E211" s="2" t="str">
        <f>IFERROR(INDEX(Movimientos!$F$2:$F$1993,MATCH(A211&amp;"ENTRADA",Movimientos!$R$2:$R$1993,0)),"-")</f>
        <v>-</v>
      </c>
      <c r="F211" s="2" t="str">
        <f>IFERROR(INDEX(Movimientos!$G$2:$G$1993,MATCH(A211&amp;"ENTRADA",Movimientos!$R$2:$R$1993,0)),"-")</f>
        <v>-</v>
      </c>
      <c r="G211" s="2" t="str">
        <f>IFERROR(INDEX(Movimientos!$L$2:$L$1993,MATCH(A211&amp;"ENTRADA",Movimientos!$R$2:$R$1993,0)),"-")</f>
        <v>-</v>
      </c>
      <c r="H211" s="17" t="str">
        <f>IFERROR(IF(INDEX(Movimientos!$M$2:$M$1993,MATCH(A211&amp;"ENTRADA",Movimientos!$R$2:$R$1993,0))=0,"S/D",INDEX(Movimientos!$M$2:$M$1993,MATCH(A211&amp;"ENTRADA",Movimientos!$R$2:$R$1993,0))),"S/D")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2518</v>
      </c>
      <c r="B212" s="2" t="str">
        <f>IFERROR(INDEX(Movimientos!$C$2:$C$1993,MATCH(A212&amp;"ENTRADA",Movimientos!$R$2:$R$1993,0)),"-")</f>
        <v>-</v>
      </c>
      <c r="C212" s="2" t="str">
        <f>IFERROR(INDEX(Movimientos!$D$2:$D$1993,MATCH(A212&amp;"ENTRADA",Movimientos!$R$2:$R$1993,0)),"-")</f>
        <v>-</v>
      </c>
      <c r="D212" s="2" t="str">
        <f>IFERROR(INDEX(Movimientos!$E$2:$E$1993,MATCH(A212&amp;"ENTRADA",Movimientos!$R$2:$R$1993,0)),"-")</f>
        <v>-</v>
      </c>
      <c r="E212" s="2" t="str">
        <f>IFERROR(INDEX(Movimientos!$F$2:$F$1993,MATCH(A212&amp;"ENTRADA",Movimientos!$R$2:$R$1993,0)),"-")</f>
        <v>-</v>
      </c>
      <c r="F212" s="2" t="str">
        <f>IFERROR(INDEX(Movimientos!$G$2:$G$1993,MATCH(A212&amp;"ENTRADA",Movimientos!$R$2:$R$1993,0)),"-")</f>
        <v>-</v>
      </c>
      <c r="G212" s="2" t="str">
        <f>IFERROR(INDEX(Movimientos!$L$2:$L$1993,MATCH(A212&amp;"ENTRADA",Movimientos!$R$2:$R$1993,0)),"-")</f>
        <v>-</v>
      </c>
      <c r="H212" s="17" t="str">
        <f>IFERROR(IF(INDEX(Movimientos!$M$2:$M$1993,MATCH(A212&amp;"ENTRADA",Movimientos!$R$2:$R$1993,0))=0,"S/D",INDEX(Movimientos!$M$2:$M$1993,MATCH(A212&amp;"ENTRADA",Movimientos!$R$2:$R$1993,0))),"S/D")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2519</v>
      </c>
      <c r="B213" s="2" t="str">
        <f>IFERROR(INDEX(Movimientos!$C$2:$C$1993,MATCH(A213&amp;"ENTRADA",Movimientos!$R$2:$R$1993,0)),"-")</f>
        <v>-</v>
      </c>
      <c r="C213" s="2" t="str">
        <f>IFERROR(INDEX(Movimientos!$D$2:$D$1993,MATCH(A213&amp;"ENTRADA",Movimientos!$R$2:$R$1993,0)),"-")</f>
        <v>-</v>
      </c>
      <c r="D213" s="2" t="str">
        <f>IFERROR(INDEX(Movimientos!$E$2:$E$1993,MATCH(A213&amp;"ENTRADA",Movimientos!$R$2:$R$1993,0)),"-")</f>
        <v>-</v>
      </c>
      <c r="E213" s="2" t="str">
        <f>IFERROR(INDEX(Movimientos!$F$2:$F$1993,MATCH(A213&amp;"ENTRADA",Movimientos!$R$2:$R$1993,0)),"-")</f>
        <v>-</v>
      </c>
      <c r="F213" s="2" t="str">
        <f>IFERROR(INDEX(Movimientos!$G$2:$G$1993,MATCH(A213&amp;"ENTRADA",Movimientos!$R$2:$R$1993,0)),"-")</f>
        <v>-</v>
      </c>
      <c r="G213" s="2" t="str">
        <f>IFERROR(INDEX(Movimientos!$L$2:$L$1993,MATCH(A213&amp;"ENTRADA",Movimientos!$R$2:$R$1993,0)),"-")</f>
        <v>-</v>
      </c>
      <c r="H213" s="17" t="str">
        <f>IFERROR(IF(INDEX(Movimientos!$M$2:$M$1993,MATCH(A213&amp;"ENTRADA",Movimientos!$R$2:$R$1993,0))=0,"S/D",INDEX(Movimientos!$M$2:$M$1993,MATCH(A213&amp;"ENTRADA",Movimientos!$R$2:$R$1993,0))),"S/D")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2520</v>
      </c>
      <c r="B214" s="2" t="str">
        <f>IFERROR(INDEX(Movimientos!$C$2:$C$1993,MATCH(A214&amp;"ENTRADA",Movimientos!$R$2:$R$1993,0)),"-")</f>
        <v>-</v>
      </c>
      <c r="C214" s="2" t="str">
        <f>IFERROR(INDEX(Movimientos!$D$2:$D$1993,MATCH(A214&amp;"ENTRADA",Movimientos!$R$2:$R$1993,0)),"-")</f>
        <v>-</v>
      </c>
      <c r="D214" s="2" t="str">
        <f>IFERROR(INDEX(Movimientos!$E$2:$E$1993,MATCH(A214&amp;"ENTRADA",Movimientos!$R$2:$R$1993,0)),"-")</f>
        <v>-</v>
      </c>
      <c r="E214" s="2" t="str">
        <f>IFERROR(INDEX(Movimientos!$F$2:$F$1993,MATCH(A214&amp;"ENTRADA",Movimientos!$R$2:$R$1993,0)),"-")</f>
        <v>-</v>
      </c>
      <c r="F214" s="2" t="str">
        <f>IFERROR(INDEX(Movimientos!$G$2:$G$1993,MATCH(A214&amp;"ENTRADA",Movimientos!$R$2:$R$1993,0)),"-")</f>
        <v>-</v>
      </c>
      <c r="G214" s="2" t="str">
        <f>IFERROR(INDEX(Movimientos!$L$2:$L$1993,MATCH(A214&amp;"ENTRADA",Movimientos!$R$2:$R$1993,0)),"-")</f>
        <v>-</v>
      </c>
      <c r="H214" s="17" t="str">
        <f>IFERROR(IF(INDEX(Movimientos!$M$2:$M$1993,MATCH(A214&amp;"ENTRADA",Movimientos!$R$2:$R$1993,0))=0,"S/D",INDEX(Movimientos!$M$2:$M$1993,MATCH(A214&amp;"ENTRADA",Movimientos!$R$2:$R$1993,0))),"S/D")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2521</v>
      </c>
      <c r="B215" s="2" t="str">
        <f>IFERROR(INDEX(Movimientos!$C$2:$C$1993,MATCH(A215&amp;"ENTRADA",Movimientos!$R$2:$R$1993,0)),"-")</f>
        <v>-</v>
      </c>
      <c r="C215" s="2" t="str">
        <f>IFERROR(INDEX(Movimientos!$D$2:$D$1993,MATCH(A215&amp;"ENTRADA",Movimientos!$R$2:$R$1993,0)),"-")</f>
        <v>-</v>
      </c>
      <c r="D215" s="2" t="str">
        <f>IFERROR(INDEX(Movimientos!$E$2:$E$1993,MATCH(A215&amp;"ENTRADA",Movimientos!$R$2:$R$1993,0)),"-")</f>
        <v>-</v>
      </c>
      <c r="E215" s="2" t="str">
        <f>IFERROR(INDEX(Movimientos!$F$2:$F$1993,MATCH(A215&amp;"ENTRADA",Movimientos!$R$2:$R$1993,0)),"-")</f>
        <v>-</v>
      </c>
      <c r="F215" s="2" t="str">
        <f>IFERROR(INDEX(Movimientos!$G$2:$G$1993,MATCH(A215&amp;"ENTRADA",Movimientos!$R$2:$R$1993,0)),"-")</f>
        <v>-</v>
      </c>
      <c r="G215" s="2" t="str">
        <f>IFERROR(INDEX(Movimientos!$L$2:$L$1993,MATCH(A215&amp;"ENTRADA",Movimientos!$R$2:$R$1993,0)),"-")</f>
        <v>-</v>
      </c>
      <c r="H215" s="17" t="str">
        <f>IFERROR(IF(INDEX(Movimientos!$M$2:$M$1993,MATCH(A215&amp;"ENTRADA",Movimientos!$R$2:$R$1993,0))=0,"S/D",INDEX(Movimientos!$M$2:$M$1993,MATCH(A215&amp;"ENTRADA",Movimientos!$R$2:$R$1993,0))),"S/D")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2522</v>
      </c>
      <c r="B216" s="2" t="str">
        <f>IFERROR(INDEX(Movimientos!$C$2:$C$1993,MATCH(A216&amp;"ENTRADA",Movimientos!$R$2:$R$1993,0)),"-")</f>
        <v>-</v>
      </c>
      <c r="C216" s="2" t="str">
        <f>IFERROR(INDEX(Movimientos!$D$2:$D$1993,MATCH(A216&amp;"ENTRADA",Movimientos!$R$2:$R$1993,0)),"-")</f>
        <v>-</v>
      </c>
      <c r="D216" s="2" t="str">
        <f>IFERROR(INDEX(Movimientos!$E$2:$E$1993,MATCH(A216&amp;"ENTRADA",Movimientos!$R$2:$R$1993,0)),"-")</f>
        <v>-</v>
      </c>
      <c r="E216" s="2" t="str">
        <f>IFERROR(INDEX(Movimientos!$F$2:$F$1993,MATCH(A216&amp;"ENTRADA",Movimientos!$R$2:$R$1993,0)),"-")</f>
        <v>-</v>
      </c>
      <c r="F216" s="2" t="str">
        <f>IFERROR(INDEX(Movimientos!$G$2:$G$1993,MATCH(A216&amp;"ENTRADA",Movimientos!$R$2:$R$1993,0)),"-")</f>
        <v>-</v>
      </c>
      <c r="G216" s="2" t="str">
        <f>IFERROR(INDEX(Movimientos!$L$2:$L$1993,MATCH(A216&amp;"ENTRADA",Movimientos!$R$2:$R$1993,0)),"-")</f>
        <v>-</v>
      </c>
      <c r="H216" s="17" t="str">
        <f>IFERROR(IF(INDEX(Movimientos!$M$2:$M$1993,MATCH(A216&amp;"ENTRADA",Movimientos!$R$2:$R$1993,0))=0,"S/D",INDEX(Movimientos!$M$2:$M$1993,MATCH(A216&amp;"ENTRADA",Movimientos!$R$2:$R$1993,0))),"S/D")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2523</v>
      </c>
      <c r="B217" s="2" t="str">
        <f>IFERROR(INDEX(Movimientos!$C$2:$C$1993,MATCH(A217&amp;"ENTRADA",Movimientos!$R$2:$R$1993,0)),"-")</f>
        <v>-</v>
      </c>
      <c r="C217" s="2" t="str">
        <f>IFERROR(INDEX(Movimientos!$D$2:$D$1993,MATCH(A217&amp;"ENTRADA",Movimientos!$R$2:$R$1993,0)),"-")</f>
        <v>-</v>
      </c>
      <c r="D217" s="2" t="str">
        <f>IFERROR(INDEX(Movimientos!$E$2:$E$1993,MATCH(A217&amp;"ENTRADA",Movimientos!$R$2:$R$1993,0)),"-")</f>
        <v>-</v>
      </c>
      <c r="E217" s="2" t="str">
        <f>IFERROR(INDEX(Movimientos!$F$2:$F$1993,MATCH(A217&amp;"ENTRADA",Movimientos!$R$2:$R$1993,0)),"-")</f>
        <v>-</v>
      </c>
      <c r="F217" s="2" t="str">
        <f>IFERROR(INDEX(Movimientos!$G$2:$G$1993,MATCH(A217&amp;"ENTRADA",Movimientos!$R$2:$R$1993,0)),"-")</f>
        <v>-</v>
      </c>
      <c r="G217" s="2" t="str">
        <f>IFERROR(INDEX(Movimientos!$L$2:$L$1993,MATCH(A217&amp;"ENTRADA",Movimientos!$R$2:$R$1993,0)),"-")</f>
        <v>-</v>
      </c>
      <c r="H217" s="17" t="str">
        <f>IFERROR(IF(INDEX(Movimientos!$M$2:$M$1993,MATCH(A217&amp;"ENTRADA",Movimientos!$R$2:$R$1993,0))=0,"S/D",INDEX(Movimientos!$M$2:$M$1993,MATCH(A217&amp;"ENTRADA",Movimientos!$R$2:$R$1993,0))),"S/D")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2524</v>
      </c>
      <c r="B218" s="2" t="str">
        <f>IFERROR(INDEX(Movimientos!$C$2:$C$1993,MATCH(A218&amp;"ENTRADA",Movimientos!$R$2:$R$1993,0)),"-")</f>
        <v>-</v>
      </c>
      <c r="C218" s="2" t="str">
        <f>IFERROR(INDEX(Movimientos!$D$2:$D$1993,MATCH(A218&amp;"ENTRADA",Movimientos!$R$2:$R$1993,0)),"-")</f>
        <v>-</v>
      </c>
      <c r="D218" s="2" t="str">
        <f>IFERROR(INDEX(Movimientos!$E$2:$E$1993,MATCH(A218&amp;"ENTRADA",Movimientos!$R$2:$R$1993,0)),"-")</f>
        <v>-</v>
      </c>
      <c r="E218" s="2" t="str">
        <f>IFERROR(INDEX(Movimientos!$F$2:$F$1993,MATCH(A218&amp;"ENTRADA",Movimientos!$R$2:$R$1993,0)),"-")</f>
        <v>-</v>
      </c>
      <c r="F218" s="2" t="str">
        <f>IFERROR(INDEX(Movimientos!$G$2:$G$1993,MATCH(A218&amp;"ENTRADA",Movimientos!$R$2:$R$1993,0)),"-")</f>
        <v>-</v>
      </c>
      <c r="G218" s="2" t="str">
        <f>IFERROR(INDEX(Movimientos!$L$2:$L$1993,MATCH(A218&amp;"ENTRADA",Movimientos!$R$2:$R$1993,0)),"-")</f>
        <v>-</v>
      </c>
      <c r="H218" s="17" t="str">
        <f>IFERROR(IF(INDEX(Movimientos!$M$2:$M$1993,MATCH(A218&amp;"ENTRADA",Movimientos!$R$2:$R$1993,0))=0,"S/D",INDEX(Movimientos!$M$2:$M$1993,MATCH(A218&amp;"ENTRADA",Movimientos!$R$2:$R$1993,0))),"S/D")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2525</v>
      </c>
      <c r="B219" s="2" t="str">
        <f>IFERROR(INDEX(Movimientos!$C$2:$C$1993,MATCH(A219&amp;"ENTRADA",Movimientos!$R$2:$R$1993,0)),"-")</f>
        <v>-</v>
      </c>
      <c r="C219" s="2" t="str">
        <f>IFERROR(INDEX(Movimientos!$D$2:$D$1993,MATCH(A219&amp;"ENTRADA",Movimientos!$R$2:$R$1993,0)),"-")</f>
        <v>-</v>
      </c>
      <c r="D219" s="2" t="str">
        <f>IFERROR(INDEX(Movimientos!$E$2:$E$1993,MATCH(A219&amp;"ENTRADA",Movimientos!$R$2:$R$1993,0)),"-")</f>
        <v>-</v>
      </c>
      <c r="E219" s="2" t="str">
        <f>IFERROR(INDEX(Movimientos!$F$2:$F$1993,MATCH(A219&amp;"ENTRADA",Movimientos!$R$2:$R$1993,0)),"-")</f>
        <v>-</v>
      </c>
      <c r="F219" s="2" t="str">
        <f>IFERROR(INDEX(Movimientos!$G$2:$G$1993,MATCH(A219&amp;"ENTRADA",Movimientos!$R$2:$R$1993,0)),"-")</f>
        <v>-</v>
      </c>
      <c r="G219" s="2" t="str">
        <f>IFERROR(INDEX(Movimientos!$L$2:$L$1993,MATCH(A219&amp;"ENTRADA",Movimientos!$R$2:$R$1993,0)),"-")</f>
        <v>-</v>
      </c>
      <c r="H219" s="17" t="str">
        <f>IFERROR(IF(INDEX(Movimientos!$M$2:$M$1993,MATCH(A219&amp;"ENTRADA",Movimientos!$R$2:$R$1993,0))=0,"S/D",INDEX(Movimientos!$M$2:$M$1993,MATCH(A219&amp;"ENTRADA",Movimientos!$R$2:$R$1993,0))),"S/D")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2526</v>
      </c>
      <c r="B220" s="2" t="str">
        <f>IFERROR(INDEX(Movimientos!$C$2:$C$1993,MATCH(A220&amp;"ENTRADA",Movimientos!$R$2:$R$1993,0)),"-")</f>
        <v>-</v>
      </c>
      <c r="C220" s="2" t="str">
        <f>IFERROR(INDEX(Movimientos!$D$2:$D$1993,MATCH(A220&amp;"ENTRADA",Movimientos!$R$2:$R$1993,0)),"-")</f>
        <v>-</v>
      </c>
      <c r="D220" s="2" t="str">
        <f>IFERROR(INDEX(Movimientos!$E$2:$E$1993,MATCH(A220&amp;"ENTRADA",Movimientos!$R$2:$R$1993,0)),"-")</f>
        <v>-</v>
      </c>
      <c r="E220" s="2" t="str">
        <f>IFERROR(INDEX(Movimientos!$F$2:$F$1993,MATCH(A220&amp;"ENTRADA",Movimientos!$R$2:$R$1993,0)),"-")</f>
        <v>-</v>
      </c>
      <c r="F220" s="2" t="str">
        <f>IFERROR(INDEX(Movimientos!$G$2:$G$1993,MATCH(A220&amp;"ENTRADA",Movimientos!$R$2:$R$1993,0)),"-")</f>
        <v>-</v>
      </c>
      <c r="G220" s="2" t="str">
        <f>IFERROR(INDEX(Movimientos!$L$2:$L$1993,MATCH(A220&amp;"ENTRADA",Movimientos!$R$2:$R$1993,0)),"-")</f>
        <v>-</v>
      </c>
      <c r="H220" s="17" t="str">
        <f>IFERROR(IF(INDEX(Movimientos!$M$2:$M$1993,MATCH(A220&amp;"ENTRADA",Movimientos!$R$2:$R$1993,0))=0,"S/D",INDEX(Movimientos!$M$2:$M$1993,MATCH(A220&amp;"ENTRADA",Movimientos!$R$2:$R$1993,0))),"S/D")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2527</v>
      </c>
      <c r="B221" s="2" t="str">
        <f>IFERROR(INDEX(Movimientos!$C$2:$C$1993,MATCH(A221&amp;"ENTRADA",Movimientos!$R$2:$R$1993,0)),"-")</f>
        <v>-</v>
      </c>
      <c r="C221" s="2" t="str">
        <f>IFERROR(INDEX(Movimientos!$D$2:$D$1993,MATCH(A221&amp;"ENTRADA",Movimientos!$R$2:$R$1993,0)),"-")</f>
        <v>-</v>
      </c>
      <c r="D221" s="2" t="str">
        <f>IFERROR(INDEX(Movimientos!$E$2:$E$1993,MATCH(A221&amp;"ENTRADA",Movimientos!$R$2:$R$1993,0)),"-")</f>
        <v>-</v>
      </c>
      <c r="E221" s="2" t="str">
        <f>IFERROR(INDEX(Movimientos!$F$2:$F$1993,MATCH(A221&amp;"ENTRADA",Movimientos!$R$2:$R$1993,0)),"-")</f>
        <v>-</v>
      </c>
      <c r="F221" s="2" t="str">
        <f>IFERROR(INDEX(Movimientos!$G$2:$G$1993,MATCH(A221&amp;"ENTRADA",Movimientos!$R$2:$R$1993,0)),"-")</f>
        <v>-</v>
      </c>
      <c r="G221" s="2" t="str">
        <f>IFERROR(INDEX(Movimientos!$L$2:$L$1993,MATCH(A221&amp;"ENTRADA",Movimientos!$R$2:$R$1993,0)),"-")</f>
        <v>-</v>
      </c>
      <c r="H221" s="17" t="str">
        <f>IFERROR(IF(INDEX(Movimientos!$M$2:$M$1993,MATCH(A221&amp;"ENTRADA",Movimientos!$R$2:$R$1993,0))=0,"S/D",INDEX(Movimientos!$M$2:$M$1993,MATCH(A221&amp;"ENTRADA",Movimientos!$R$2:$R$1993,0))),"S/D")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2528</v>
      </c>
      <c r="B222" s="2" t="str">
        <f>IFERROR(INDEX(Movimientos!$C$2:$C$1993,MATCH(A222&amp;"ENTRADA",Movimientos!$R$2:$R$1993,0)),"-")</f>
        <v>-</v>
      </c>
      <c r="C222" s="2" t="str">
        <f>IFERROR(INDEX(Movimientos!$D$2:$D$1993,MATCH(A222&amp;"ENTRADA",Movimientos!$R$2:$R$1993,0)),"-")</f>
        <v>-</v>
      </c>
      <c r="D222" s="2" t="str">
        <f>IFERROR(INDEX(Movimientos!$E$2:$E$1993,MATCH(A222&amp;"ENTRADA",Movimientos!$R$2:$R$1993,0)),"-")</f>
        <v>-</v>
      </c>
      <c r="E222" s="2" t="str">
        <f>IFERROR(INDEX(Movimientos!$F$2:$F$1993,MATCH(A222&amp;"ENTRADA",Movimientos!$R$2:$R$1993,0)),"-")</f>
        <v>-</v>
      </c>
      <c r="F222" s="2" t="str">
        <f>IFERROR(INDEX(Movimientos!$G$2:$G$1993,MATCH(A222&amp;"ENTRADA",Movimientos!$R$2:$R$1993,0)),"-")</f>
        <v>-</v>
      </c>
      <c r="G222" s="2" t="str">
        <f>IFERROR(INDEX(Movimientos!$L$2:$L$1993,MATCH(A222&amp;"ENTRADA",Movimientos!$R$2:$R$1993,0)),"-")</f>
        <v>-</v>
      </c>
      <c r="H222" s="17" t="str">
        <f>IFERROR(IF(INDEX(Movimientos!$M$2:$M$1993,MATCH(A222&amp;"ENTRADA",Movimientos!$R$2:$R$1993,0))=0,"S/D",INDEX(Movimientos!$M$2:$M$1993,MATCH(A222&amp;"ENTRADA",Movimientos!$R$2:$R$1993,0))),"S/D")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2529</v>
      </c>
      <c r="B223" s="2" t="str">
        <f>IFERROR(INDEX(Movimientos!$C$2:$C$1993,MATCH(A223&amp;"ENTRADA",Movimientos!$R$2:$R$1993,0)),"-")</f>
        <v>-</v>
      </c>
      <c r="C223" s="2" t="str">
        <f>IFERROR(INDEX(Movimientos!$D$2:$D$1993,MATCH(A223&amp;"ENTRADA",Movimientos!$R$2:$R$1993,0)),"-")</f>
        <v>-</v>
      </c>
      <c r="D223" s="2" t="str">
        <f>IFERROR(INDEX(Movimientos!$E$2:$E$1993,MATCH(A223&amp;"ENTRADA",Movimientos!$R$2:$R$1993,0)),"-")</f>
        <v>-</v>
      </c>
      <c r="E223" s="2" t="str">
        <f>IFERROR(INDEX(Movimientos!$F$2:$F$1993,MATCH(A223&amp;"ENTRADA",Movimientos!$R$2:$R$1993,0)),"-")</f>
        <v>-</v>
      </c>
      <c r="F223" s="2" t="str">
        <f>IFERROR(INDEX(Movimientos!$G$2:$G$1993,MATCH(A223&amp;"ENTRADA",Movimientos!$R$2:$R$1993,0)),"-")</f>
        <v>-</v>
      </c>
      <c r="G223" s="2" t="str">
        <f>IFERROR(INDEX(Movimientos!$L$2:$L$1993,MATCH(A223&amp;"ENTRADA",Movimientos!$R$2:$R$1993,0)),"-")</f>
        <v>-</v>
      </c>
      <c r="H223" s="17" t="str">
        <f>IFERROR(IF(INDEX(Movimientos!$M$2:$M$1993,MATCH(A223&amp;"ENTRADA",Movimientos!$R$2:$R$1993,0))=0,"S/D",INDEX(Movimientos!$M$2:$M$1993,MATCH(A223&amp;"ENTRADA",Movimientos!$R$2:$R$1993,0))),"S/D")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2530</v>
      </c>
      <c r="B224" s="2" t="str">
        <f>IFERROR(INDEX(Movimientos!$C$2:$C$1993,MATCH(A224&amp;"ENTRADA",Movimientos!$R$2:$R$1993,0)),"-")</f>
        <v>-</v>
      </c>
      <c r="C224" s="2" t="str">
        <f>IFERROR(INDEX(Movimientos!$D$2:$D$1993,MATCH(A224&amp;"ENTRADA",Movimientos!$R$2:$R$1993,0)),"-")</f>
        <v>-</v>
      </c>
      <c r="D224" s="2" t="str">
        <f>IFERROR(INDEX(Movimientos!$E$2:$E$1993,MATCH(A224&amp;"ENTRADA",Movimientos!$R$2:$R$1993,0)),"-")</f>
        <v>-</v>
      </c>
      <c r="E224" s="2" t="str">
        <f>IFERROR(INDEX(Movimientos!$F$2:$F$1993,MATCH(A224&amp;"ENTRADA",Movimientos!$R$2:$R$1993,0)),"-")</f>
        <v>-</v>
      </c>
      <c r="F224" s="2" t="str">
        <f>IFERROR(INDEX(Movimientos!$G$2:$G$1993,MATCH(A224&amp;"ENTRADA",Movimientos!$R$2:$R$1993,0)),"-")</f>
        <v>-</v>
      </c>
      <c r="G224" s="2" t="str">
        <f>IFERROR(INDEX(Movimientos!$L$2:$L$1993,MATCH(A224&amp;"ENTRADA",Movimientos!$R$2:$R$1993,0)),"-")</f>
        <v>-</v>
      </c>
      <c r="H224" s="17" t="str">
        <f>IFERROR(IF(INDEX(Movimientos!$M$2:$M$1993,MATCH(A224&amp;"ENTRADA",Movimientos!$R$2:$R$1993,0))=0,"S/D",INDEX(Movimientos!$M$2:$M$1993,MATCH(A224&amp;"ENTRADA",Movimientos!$R$2:$R$1993,0))),"S/D")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2531</v>
      </c>
      <c r="B225" s="2" t="str">
        <f>IFERROR(INDEX(Movimientos!$C$2:$C$1993,MATCH(A225&amp;"ENTRADA",Movimientos!$R$2:$R$1993,0)),"-")</f>
        <v>-</v>
      </c>
      <c r="C225" s="2" t="str">
        <f>IFERROR(INDEX(Movimientos!$D$2:$D$1993,MATCH(A225&amp;"ENTRADA",Movimientos!$R$2:$R$1993,0)),"-")</f>
        <v>-</v>
      </c>
      <c r="D225" s="2" t="str">
        <f>IFERROR(INDEX(Movimientos!$E$2:$E$1993,MATCH(A225&amp;"ENTRADA",Movimientos!$R$2:$R$1993,0)),"-")</f>
        <v>-</v>
      </c>
      <c r="E225" s="2" t="str">
        <f>IFERROR(INDEX(Movimientos!$F$2:$F$1993,MATCH(A225&amp;"ENTRADA",Movimientos!$R$2:$R$1993,0)),"-")</f>
        <v>-</v>
      </c>
      <c r="F225" s="2" t="str">
        <f>IFERROR(INDEX(Movimientos!$G$2:$G$1993,MATCH(A225&amp;"ENTRADA",Movimientos!$R$2:$R$1993,0)),"-")</f>
        <v>-</v>
      </c>
      <c r="G225" s="2" t="str">
        <f>IFERROR(INDEX(Movimientos!$L$2:$L$1993,MATCH(A225&amp;"ENTRADA",Movimientos!$R$2:$R$1993,0)),"-")</f>
        <v>-</v>
      </c>
      <c r="H225" s="17" t="str">
        <f>IFERROR(IF(INDEX(Movimientos!$M$2:$M$1993,MATCH(A225&amp;"ENTRADA",Movimientos!$R$2:$R$1993,0))=0,"S/D",INDEX(Movimientos!$M$2:$M$1993,MATCH(A225&amp;"ENTRADA",Movimientos!$R$2:$R$1993,0))),"S/D")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2532</v>
      </c>
      <c r="B226" s="2" t="str">
        <f>IFERROR(INDEX(Movimientos!$C$2:$C$1993,MATCH(A226&amp;"ENTRADA",Movimientos!$R$2:$R$1993,0)),"-")</f>
        <v>-</v>
      </c>
      <c r="C226" s="2" t="str">
        <f>IFERROR(INDEX(Movimientos!$D$2:$D$1993,MATCH(A226&amp;"ENTRADA",Movimientos!$R$2:$R$1993,0)),"-")</f>
        <v>-</v>
      </c>
      <c r="D226" s="2" t="str">
        <f>IFERROR(INDEX(Movimientos!$E$2:$E$1993,MATCH(A226&amp;"ENTRADA",Movimientos!$R$2:$R$1993,0)),"-")</f>
        <v>-</v>
      </c>
      <c r="E226" s="2" t="str">
        <f>IFERROR(INDEX(Movimientos!$F$2:$F$1993,MATCH(A226&amp;"ENTRADA",Movimientos!$R$2:$R$1993,0)),"-")</f>
        <v>-</v>
      </c>
      <c r="F226" s="2" t="str">
        <f>IFERROR(INDEX(Movimientos!$G$2:$G$1993,MATCH(A226&amp;"ENTRADA",Movimientos!$R$2:$R$1993,0)),"-")</f>
        <v>-</v>
      </c>
      <c r="G226" s="2" t="str">
        <f>IFERROR(INDEX(Movimientos!$L$2:$L$1993,MATCH(A226&amp;"ENTRADA",Movimientos!$R$2:$R$1993,0)),"-")</f>
        <v>-</v>
      </c>
      <c r="H226" s="17" t="str">
        <f>IFERROR(IF(INDEX(Movimientos!$M$2:$M$1993,MATCH(A226&amp;"ENTRADA",Movimientos!$R$2:$R$1993,0))=0,"S/D",INDEX(Movimientos!$M$2:$M$1993,MATCH(A226&amp;"ENTRADA",Movimientos!$R$2:$R$1993,0))),"S/D")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2533</v>
      </c>
      <c r="B227" s="2" t="str">
        <f>IFERROR(INDEX(Movimientos!$C$2:$C$1993,MATCH(A227&amp;"ENTRADA",Movimientos!$R$2:$R$1993,0)),"-")</f>
        <v>-</v>
      </c>
      <c r="C227" s="2" t="str">
        <f>IFERROR(INDEX(Movimientos!$D$2:$D$1993,MATCH(A227&amp;"ENTRADA",Movimientos!$R$2:$R$1993,0)),"-")</f>
        <v>-</v>
      </c>
      <c r="D227" s="2" t="str">
        <f>IFERROR(INDEX(Movimientos!$E$2:$E$1993,MATCH(A227&amp;"ENTRADA",Movimientos!$R$2:$R$1993,0)),"-")</f>
        <v>-</v>
      </c>
      <c r="E227" s="2" t="str">
        <f>IFERROR(INDEX(Movimientos!$F$2:$F$1993,MATCH(A227&amp;"ENTRADA",Movimientos!$R$2:$R$1993,0)),"-")</f>
        <v>-</v>
      </c>
      <c r="F227" s="2" t="str">
        <f>IFERROR(INDEX(Movimientos!$G$2:$G$1993,MATCH(A227&amp;"ENTRADA",Movimientos!$R$2:$R$1993,0)),"-")</f>
        <v>-</v>
      </c>
      <c r="G227" s="2" t="str">
        <f>IFERROR(INDEX(Movimientos!$L$2:$L$1993,MATCH(A227&amp;"ENTRADA",Movimientos!$R$2:$R$1993,0)),"-")</f>
        <v>-</v>
      </c>
      <c r="H227" s="17" t="str">
        <f>IFERROR(IF(INDEX(Movimientos!$M$2:$M$1993,MATCH(A227&amp;"ENTRADA",Movimientos!$R$2:$R$1993,0))=0,"S/D",INDEX(Movimientos!$M$2:$M$1993,MATCH(A227&amp;"ENTRADA",Movimientos!$R$2:$R$1993,0))),"S/D")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2534</v>
      </c>
      <c r="B228" s="2" t="str">
        <f>IFERROR(INDEX(Movimientos!$C$2:$C$1993,MATCH(A228&amp;"ENTRADA",Movimientos!$R$2:$R$1993,0)),"-")</f>
        <v>-</v>
      </c>
      <c r="C228" s="2" t="str">
        <f>IFERROR(INDEX(Movimientos!$D$2:$D$1993,MATCH(A228&amp;"ENTRADA",Movimientos!$R$2:$R$1993,0)),"-")</f>
        <v>-</v>
      </c>
      <c r="D228" s="2" t="str">
        <f>IFERROR(INDEX(Movimientos!$E$2:$E$1993,MATCH(A228&amp;"ENTRADA",Movimientos!$R$2:$R$1993,0)),"-")</f>
        <v>-</v>
      </c>
      <c r="E228" s="2" t="str">
        <f>IFERROR(INDEX(Movimientos!$F$2:$F$1993,MATCH(A228&amp;"ENTRADA",Movimientos!$R$2:$R$1993,0)),"-")</f>
        <v>-</v>
      </c>
      <c r="F228" s="2" t="str">
        <f>IFERROR(INDEX(Movimientos!$G$2:$G$1993,MATCH(A228&amp;"ENTRADA",Movimientos!$R$2:$R$1993,0)),"-")</f>
        <v>-</v>
      </c>
      <c r="G228" s="2" t="str">
        <f>IFERROR(INDEX(Movimientos!$L$2:$L$1993,MATCH(A228&amp;"ENTRADA",Movimientos!$R$2:$R$1993,0)),"-")</f>
        <v>-</v>
      </c>
      <c r="H228" s="17" t="str">
        <f>IFERROR(IF(INDEX(Movimientos!$M$2:$M$1993,MATCH(A228&amp;"ENTRADA",Movimientos!$R$2:$R$1993,0))=0,"S/D",INDEX(Movimientos!$M$2:$M$1993,MATCH(A228&amp;"ENTRADA",Movimientos!$R$2:$R$1993,0))),"S/D")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2535</v>
      </c>
      <c r="B229" s="2" t="str">
        <f>IFERROR(INDEX(Movimientos!$C$2:$C$1993,MATCH(A229&amp;"ENTRADA",Movimientos!$R$2:$R$1993,0)),"-")</f>
        <v>-</v>
      </c>
      <c r="C229" s="2" t="str">
        <f>IFERROR(INDEX(Movimientos!$D$2:$D$1993,MATCH(A229&amp;"ENTRADA",Movimientos!$R$2:$R$1993,0)),"-")</f>
        <v>-</v>
      </c>
      <c r="D229" s="2" t="str">
        <f>IFERROR(INDEX(Movimientos!$E$2:$E$1993,MATCH(A229&amp;"ENTRADA",Movimientos!$R$2:$R$1993,0)),"-")</f>
        <v>-</v>
      </c>
      <c r="E229" s="2" t="str">
        <f>IFERROR(INDEX(Movimientos!$F$2:$F$1993,MATCH(A229&amp;"ENTRADA",Movimientos!$R$2:$R$1993,0)),"-")</f>
        <v>-</v>
      </c>
      <c r="F229" s="2" t="str">
        <f>IFERROR(INDEX(Movimientos!$G$2:$G$1993,MATCH(A229&amp;"ENTRADA",Movimientos!$R$2:$R$1993,0)),"-")</f>
        <v>-</v>
      </c>
      <c r="G229" s="2" t="str">
        <f>IFERROR(INDEX(Movimientos!$L$2:$L$1993,MATCH(A229&amp;"ENTRADA",Movimientos!$R$2:$R$1993,0)),"-")</f>
        <v>-</v>
      </c>
      <c r="H229" s="17" t="str">
        <f>IFERROR(IF(INDEX(Movimientos!$M$2:$M$1993,MATCH(A229&amp;"ENTRADA",Movimientos!$R$2:$R$1993,0))=0,"S/D",INDEX(Movimientos!$M$2:$M$1993,MATCH(A229&amp;"ENTRADA",Movimientos!$R$2:$R$1993,0))),"S/D")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2536</v>
      </c>
      <c r="B230" s="2" t="str">
        <f>IFERROR(INDEX(Movimientos!$C$2:$C$1993,MATCH(A230&amp;"ENTRADA",Movimientos!$R$2:$R$1993,0)),"-")</f>
        <v>-</v>
      </c>
      <c r="C230" s="2" t="str">
        <f>IFERROR(INDEX(Movimientos!$D$2:$D$1993,MATCH(A230&amp;"ENTRADA",Movimientos!$R$2:$R$1993,0)),"-")</f>
        <v>-</v>
      </c>
      <c r="D230" s="2" t="str">
        <f>IFERROR(INDEX(Movimientos!$E$2:$E$1993,MATCH(A230&amp;"ENTRADA",Movimientos!$R$2:$R$1993,0)),"-")</f>
        <v>-</v>
      </c>
      <c r="E230" s="2" t="str">
        <f>IFERROR(INDEX(Movimientos!$F$2:$F$1993,MATCH(A230&amp;"ENTRADA",Movimientos!$R$2:$R$1993,0)),"-")</f>
        <v>-</v>
      </c>
      <c r="F230" s="2" t="str">
        <f>IFERROR(INDEX(Movimientos!$G$2:$G$1993,MATCH(A230&amp;"ENTRADA",Movimientos!$R$2:$R$1993,0)),"-")</f>
        <v>-</v>
      </c>
      <c r="G230" s="2" t="str">
        <f>IFERROR(INDEX(Movimientos!$L$2:$L$1993,MATCH(A230&amp;"ENTRADA",Movimientos!$R$2:$R$1993,0)),"-")</f>
        <v>-</v>
      </c>
      <c r="H230" s="17" t="str">
        <f>IFERROR(IF(INDEX(Movimientos!$M$2:$M$1993,MATCH(A230&amp;"ENTRADA",Movimientos!$R$2:$R$1993,0))=0,"S/D",INDEX(Movimientos!$M$2:$M$1993,MATCH(A230&amp;"ENTRADA",Movimientos!$R$2:$R$1993,0))),"S/D")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2537</v>
      </c>
      <c r="B231" s="2" t="str">
        <f>IFERROR(INDEX(Movimientos!$C$2:$C$1993,MATCH(A231&amp;"ENTRADA",Movimientos!$R$2:$R$1993,0)),"-")</f>
        <v>-</v>
      </c>
      <c r="C231" s="2" t="str">
        <f>IFERROR(INDEX(Movimientos!$D$2:$D$1993,MATCH(A231&amp;"ENTRADA",Movimientos!$R$2:$R$1993,0)),"-")</f>
        <v>-</v>
      </c>
      <c r="D231" s="2" t="str">
        <f>IFERROR(INDEX(Movimientos!$E$2:$E$1993,MATCH(A231&amp;"ENTRADA",Movimientos!$R$2:$R$1993,0)),"-")</f>
        <v>-</v>
      </c>
      <c r="E231" s="2" t="str">
        <f>IFERROR(INDEX(Movimientos!$F$2:$F$1993,MATCH(A231&amp;"ENTRADA",Movimientos!$R$2:$R$1993,0)),"-")</f>
        <v>-</v>
      </c>
      <c r="F231" s="2" t="str">
        <f>IFERROR(INDEX(Movimientos!$G$2:$G$1993,MATCH(A231&amp;"ENTRADA",Movimientos!$R$2:$R$1993,0)),"-")</f>
        <v>-</v>
      </c>
      <c r="G231" s="2" t="str">
        <f>IFERROR(INDEX(Movimientos!$L$2:$L$1993,MATCH(A231&amp;"ENTRADA",Movimientos!$R$2:$R$1993,0)),"-")</f>
        <v>-</v>
      </c>
      <c r="H231" s="17" t="str">
        <f>IFERROR(IF(INDEX(Movimientos!$M$2:$M$1993,MATCH(A231&amp;"ENTRADA",Movimientos!$R$2:$R$1993,0))=0,"S/D",INDEX(Movimientos!$M$2:$M$1993,MATCH(A231&amp;"ENTRADA",Movimientos!$R$2:$R$1993,0))),"S/D")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2538</v>
      </c>
      <c r="B232" s="2" t="str">
        <f>IFERROR(INDEX(Movimientos!$C$2:$C$1993,MATCH(A232&amp;"ENTRADA",Movimientos!$R$2:$R$1993,0)),"-")</f>
        <v>-</v>
      </c>
      <c r="C232" s="2" t="str">
        <f>IFERROR(INDEX(Movimientos!$D$2:$D$1993,MATCH(A232&amp;"ENTRADA",Movimientos!$R$2:$R$1993,0)),"-")</f>
        <v>-</v>
      </c>
      <c r="D232" s="2" t="str">
        <f>IFERROR(INDEX(Movimientos!$E$2:$E$1993,MATCH(A232&amp;"ENTRADA",Movimientos!$R$2:$R$1993,0)),"-")</f>
        <v>-</v>
      </c>
      <c r="E232" s="2" t="str">
        <f>IFERROR(INDEX(Movimientos!$F$2:$F$1993,MATCH(A232&amp;"ENTRADA",Movimientos!$R$2:$R$1993,0)),"-")</f>
        <v>-</v>
      </c>
      <c r="F232" s="2" t="str">
        <f>IFERROR(INDEX(Movimientos!$G$2:$G$1993,MATCH(A232&amp;"ENTRADA",Movimientos!$R$2:$R$1993,0)),"-")</f>
        <v>-</v>
      </c>
      <c r="G232" s="2" t="str">
        <f>IFERROR(INDEX(Movimientos!$L$2:$L$1993,MATCH(A232&amp;"ENTRADA",Movimientos!$R$2:$R$1993,0)),"-")</f>
        <v>-</v>
      </c>
      <c r="H232" s="17" t="str">
        <f>IFERROR(IF(INDEX(Movimientos!$M$2:$M$1993,MATCH(A232&amp;"ENTRADA",Movimientos!$R$2:$R$1993,0))=0,"S/D",INDEX(Movimientos!$M$2:$M$1993,MATCH(A232&amp;"ENTRADA",Movimientos!$R$2:$R$1993,0))),"S/D")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2539</v>
      </c>
      <c r="B233" s="2" t="str">
        <f>IFERROR(INDEX(Movimientos!$C$2:$C$1993,MATCH(A233&amp;"ENTRADA",Movimientos!$R$2:$R$1993,0)),"-")</f>
        <v>-</v>
      </c>
      <c r="C233" s="2" t="str">
        <f>IFERROR(INDEX(Movimientos!$D$2:$D$1993,MATCH(A233&amp;"ENTRADA",Movimientos!$R$2:$R$1993,0)),"-")</f>
        <v>-</v>
      </c>
      <c r="D233" s="2" t="str">
        <f>IFERROR(INDEX(Movimientos!$E$2:$E$1993,MATCH(A233&amp;"ENTRADA",Movimientos!$R$2:$R$1993,0)),"-")</f>
        <v>-</v>
      </c>
      <c r="E233" s="2" t="str">
        <f>IFERROR(INDEX(Movimientos!$F$2:$F$1993,MATCH(A233&amp;"ENTRADA",Movimientos!$R$2:$R$1993,0)),"-")</f>
        <v>-</v>
      </c>
      <c r="F233" s="2" t="str">
        <f>IFERROR(INDEX(Movimientos!$G$2:$G$1993,MATCH(A233&amp;"ENTRADA",Movimientos!$R$2:$R$1993,0)),"-")</f>
        <v>-</v>
      </c>
      <c r="G233" s="2" t="str">
        <f>IFERROR(INDEX(Movimientos!$L$2:$L$1993,MATCH(A233&amp;"ENTRADA",Movimientos!$R$2:$R$1993,0)),"-")</f>
        <v>-</v>
      </c>
      <c r="H233" s="17" t="str">
        <f>IFERROR(IF(INDEX(Movimientos!$M$2:$M$1993,MATCH(A233&amp;"ENTRADA",Movimientos!$R$2:$R$1993,0))=0,"S/D",INDEX(Movimientos!$M$2:$M$1993,MATCH(A233&amp;"ENTRADA",Movimientos!$R$2:$R$1993,0))),"S/D")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2540</v>
      </c>
      <c r="B234" s="2" t="str">
        <f>IFERROR(INDEX(Movimientos!$C$2:$C$1993,MATCH(A234&amp;"ENTRADA",Movimientos!$R$2:$R$1993,0)),"-")</f>
        <v>-</v>
      </c>
      <c r="C234" s="2" t="str">
        <f>IFERROR(INDEX(Movimientos!$D$2:$D$1993,MATCH(A234&amp;"ENTRADA",Movimientos!$R$2:$R$1993,0)),"-")</f>
        <v>-</v>
      </c>
      <c r="D234" s="2" t="str">
        <f>IFERROR(INDEX(Movimientos!$E$2:$E$1993,MATCH(A234&amp;"ENTRADA",Movimientos!$R$2:$R$1993,0)),"-")</f>
        <v>-</v>
      </c>
      <c r="E234" s="2" t="str">
        <f>IFERROR(INDEX(Movimientos!$F$2:$F$1993,MATCH(A234&amp;"ENTRADA",Movimientos!$R$2:$R$1993,0)),"-")</f>
        <v>-</v>
      </c>
      <c r="F234" s="2" t="str">
        <f>IFERROR(INDEX(Movimientos!$G$2:$G$1993,MATCH(A234&amp;"ENTRADA",Movimientos!$R$2:$R$1993,0)),"-")</f>
        <v>-</v>
      </c>
      <c r="G234" s="2" t="str">
        <f>IFERROR(INDEX(Movimientos!$L$2:$L$1993,MATCH(A234&amp;"ENTRADA",Movimientos!$R$2:$R$1993,0)),"-")</f>
        <v>-</v>
      </c>
      <c r="H234" s="17" t="str">
        <f>IFERROR(IF(INDEX(Movimientos!$M$2:$M$1993,MATCH(A234&amp;"ENTRADA",Movimientos!$R$2:$R$1993,0))=0,"S/D",INDEX(Movimientos!$M$2:$M$1993,MATCH(A234&amp;"ENTRADA",Movimientos!$R$2:$R$1993,0))),"S/D")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2541</v>
      </c>
      <c r="B235" s="2" t="str">
        <f>IFERROR(INDEX(Movimientos!$C$2:$C$1993,MATCH(A235&amp;"ENTRADA",Movimientos!$R$2:$R$1993,0)),"-")</f>
        <v>-</v>
      </c>
      <c r="C235" s="2" t="str">
        <f>IFERROR(INDEX(Movimientos!$D$2:$D$1993,MATCH(A235&amp;"ENTRADA",Movimientos!$R$2:$R$1993,0)),"-")</f>
        <v>-</v>
      </c>
      <c r="D235" s="2" t="str">
        <f>IFERROR(INDEX(Movimientos!$E$2:$E$1993,MATCH(A235&amp;"ENTRADA",Movimientos!$R$2:$R$1993,0)),"-")</f>
        <v>-</v>
      </c>
      <c r="E235" s="2" t="str">
        <f>IFERROR(INDEX(Movimientos!$F$2:$F$1993,MATCH(A235&amp;"ENTRADA",Movimientos!$R$2:$R$1993,0)),"-")</f>
        <v>-</v>
      </c>
      <c r="F235" s="2" t="str">
        <f>IFERROR(INDEX(Movimientos!$G$2:$G$1993,MATCH(A235&amp;"ENTRADA",Movimientos!$R$2:$R$1993,0)),"-")</f>
        <v>-</v>
      </c>
      <c r="G235" s="2" t="str">
        <f>IFERROR(INDEX(Movimientos!$L$2:$L$1993,MATCH(A235&amp;"ENTRADA",Movimientos!$R$2:$R$1993,0)),"-")</f>
        <v>-</v>
      </c>
      <c r="H235" s="17" t="str">
        <f>IFERROR(IF(INDEX(Movimientos!$M$2:$M$1993,MATCH(A235&amp;"ENTRADA",Movimientos!$R$2:$R$1993,0))=0,"S/D",INDEX(Movimientos!$M$2:$M$1993,MATCH(A235&amp;"ENTRADA",Movimientos!$R$2:$R$1993,0))),"S/D")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2542</v>
      </c>
      <c r="B236" s="2" t="str">
        <f>IFERROR(INDEX(Movimientos!$C$2:$C$1993,MATCH(A236&amp;"ENTRADA",Movimientos!$R$2:$R$1993,0)),"-")</f>
        <v>-</v>
      </c>
      <c r="C236" s="2" t="str">
        <f>IFERROR(INDEX(Movimientos!$D$2:$D$1993,MATCH(A236&amp;"ENTRADA",Movimientos!$R$2:$R$1993,0)),"-")</f>
        <v>-</v>
      </c>
      <c r="D236" s="2" t="str">
        <f>IFERROR(INDEX(Movimientos!$E$2:$E$1993,MATCH(A236&amp;"ENTRADA",Movimientos!$R$2:$R$1993,0)),"-")</f>
        <v>-</v>
      </c>
      <c r="E236" s="2" t="str">
        <f>IFERROR(INDEX(Movimientos!$F$2:$F$1993,MATCH(A236&amp;"ENTRADA",Movimientos!$R$2:$R$1993,0)),"-")</f>
        <v>-</v>
      </c>
      <c r="F236" s="2" t="str">
        <f>IFERROR(INDEX(Movimientos!$G$2:$G$1993,MATCH(A236&amp;"ENTRADA",Movimientos!$R$2:$R$1993,0)),"-")</f>
        <v>-</v>
      </c>
      <c r="G236" s="2" t="str">
        <f>IFERROR(INDEX(Movimientos!$L$2:$L$1993,MATCH(A236&amp;"ENTRADA",Movimientos!$R$2:$R$1993,0)),"-")</f>
        <v>-</v>
      </c>
      <c r="H236" s="17" t="str">
        <f>IFERROR(IF(INDEX(Movimientos!$M$2:$M$1993,MATCH(A236&amp;"ENTRADA",Movimientos!$R$2:$R$1993,0))=0,"S/D",INDEX(Movimientos!$M$2:$M$1993,MATCH(A236&amp;"ENTRADA",Movimientos!$R$2:$R$1993,0))),"S/D")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2543</v>
      </c>
      <c r="B237" s="2" t="str">
        <f>IFERROR(INDEX(Movimientos!$C$2:$C$1993,MATCH(A237&amp;"ENTRADA",Movimientos!$R$2:$R$1993,0)),"-")</f>
        <v>-</v>
      </c>
      <c r="C237" s="2" t="str">
        <f>IFERROR(INDEX(Movimientos!$D$2:$D$1993,MATCH(A237&amp;"ENTRADA",Movimientos!$R$2:$R$1993,0)),"-")</f>
        <v>-</v>
      </c>
      <c r="D237" s="2" t="str">
        <f>IFERROR(INDEX(Movimientos!$E$2:$E$1993,MATCH(A237&amp;"ENTRADA",Movimientos!$R$2:$R$1993,0)),"-")</f>
        <v>-</v>
      </c>
      <c r="E237" s="2" t="str">
        <f>IFERROR(INDEX(Movimientos!$F$2:$F$1993,MATCH(A237&amp;"ENTRADA",Movimientos!$R$2:$R$1993,0)),"-")</f>
        <v>-</v>
      </c>
      <c r="F237" s="2" t="str">
        <f>IFERROR(INDEX(Movimientos!$G$2:$G$1993,MATCH(A237&amp;"ENTRADA",Movimientos!$R$2:$R$1993,0)),"-")</f>
        <v>-</v>
      </c>
      <c r="G237" s="2" t="str">
        <f>IFERROR(INDEX(Movimientos!$L$2:$L$1993,MATCH(A237&amp;"ENTRADA",Movimientos!$R$2:$R$1993,0)),"-")</f>
        <v>-</v>
      </c>
      <c r="H237" s="17" t="str">
        <f>IFERROR(IF(INDEX(Movimientos!$M$2:$M$1993,MATCH(A237&amp;"ENTRADA",Movimientos!$R$2:$R$1993,0))=0,"S/D",INDEX(Movimientos!$M$2:$M$1993,MATCH(A237&amp;"ENTRADA",Movimientos!$R$2:$R$1993,0))),"S/D")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2544</v>
      </c>
      <c r="B238" s="2" t="str">
        <f>IFERROR(INDEX(Movimientos!$C$2:$C$1993,MATCH(A238&amp;"ENTRADA",Movimientos!$R$2:$R$1993,0)),"-")</f>
        <v>-</v>
      </c>
      <c r="C238" s="2" t="str">
        <f>IFERROR(INDEX(Movimientos!$D$2:$D$1993,MATCH(A238&amp;"ENTRADA",Movimientos!$R$2:$R$1993,0)),"-")</f>
        <v>-</v>
      </c>
      <c r="D238" s="2" t="str">
        <f>IFERROR(INDEX(Movimientos!$E$2:$E$1993,MATCH(A238&amp;"ENTRADA",Movimientos!$R$2:$R$1993,0)),"-")</f>
        <v>-</v>
      </c>
      <c r="E238" s="2" t="str">
        <f>IFERROR(INDEX(Movimientos!$F$2:$F$1993,MATCH(A238&amp;"ENTRADA",Movimientos!$R$2:$R$1993,0)),"-")</f>
        <v>-</v>
      </c>
      <c r="F238" s="2" t="str">
        <f>IFERROR(INDEX(Movimientos!$G$2:$G$1993,MATCH(A238&amp;"ENTRADA",Movimientos!$R$2:$R$1993,0)),"-")</f>
        <v>-</v>
      </c>
      <c r="G238" s="2" t="str">
        <f>IFERROR(INDEX(Movimientos!$L$2:$L$1993,MATCH(A238&amp;"ENTRADA",Movimientos!$R$2:$R$1993,0)),"-")</f>
        <v>-</v>
      </c>
      <c r="H238" s="17" t="str">
        <f>IFERROR(IF(INDEX(Movimientos!$M$2:$M$1993,MATCH(A238&amp;"ENTRADA",Movimientos!$R$2:$R$1993,0))=0,"S/D",INDEX(Movimientos!$M$2:$M$1993,MATCH(A238&amp;"ENTRADA",Movimientos!$R$2:$R$1993,0))),"S/D")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2545</v>
      </c>
      <c r="B239" s="2" t="str">
        <f>IFERROR(INDEX(Movimientos!$C$2:$C$1993,MATCH(A239&amp;"ENTRADA",Movimientos!$R$2:$R$1993,0)),"-")</f>
        <v>-</v>
      </c>
      <c r="C239" s="2" t="str">
        <f>IFERROR(INDEX(Movimientos!$D$2:$D$1993,MATCH(A239&amp;"ENTRADA",Movimientos!$R$2:$R$1993,0)),"-")</f>
        <v>-</v>
      </c>
      <c r="D239" s="2" t="str">
        <f>IFERROR(INDEX(Movimientos!$E$2:$E$1993,MATCH(A239&amp;"ENTRADA",Movimientos!$R$2:$R$1993,0)),"-")</f>
        <v>-</v>
      </c>
      <c r="E239" s="2" t="str">
        <f>IFERROR(INDEX(Movimientos!$F$2:$F$1993,MATCH(A239&amp;"ENTRADA",Movimientos!$R$2:$R$1993,0)),"-")</f>
        <v>-</v>
      </c>
      <c r="F239" s="2" t="str">
        <f>IFERROR(INDEX(Movimientos!$G$2:$G$1993,MATCH(A239&amp;"ENTRADA",Movimientos!$R$2:$R$1993,0)),"-")</f>
        <v>-</v>
      </c>
      <c r="G239" s="2" t="str">
        <f>IFERROR(INDEX(Movimientos!$L$2:$L$1993,MATCH(A239&amp;"ENTRADA",Movimientos!$R$2:$R$1993,0)),"-")</f>
        <v>-</v>
      </c>
      <c r="H239" s="17" t="str">
        <f>IFERROR(IF(INDEX(Movimientos!$M$2:$M$1993,MATCH(A239&amp;"ENTRADA",Movimientos!$R$2:$R$1993,0))=0,"S/D",INDEX(Movimientos!$M$2:$M$1993,MATCH(A239&amp;"ENTRADA",Movimientos!$R$2:$R$1993,0))),"S/D")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2546</v>
      </c>
      <c r="B240" s="2" t="str">
        <f>IFERROR(INDEX(Movimientos!$C$2:$C$1993,MATCH(A240&amp;"ENTRADA",Movimientos!$R$2:$R$1993,0)),"-")</f>
        <v>-</v>
      </c>
      <c r="C240" s="2" t="str">
        <f>IFERROR(INDEX(Movimientos!$D$2:$D$1993,MATCH(A240&amp;"ENTRADA",Movimientos!$R$2:$R$1993,0)),"-")</f>
        <v>-</v>
      </c>
      <c r="D240" s="2" t="str">
        <f>IFERROR(INDEX(Movimientos!$E$2:$E$1993,MATCH(A240&amp;"ENTRADA",Movimientos!$R$2:$R$1993,0)),"-")</f>
        <v>-</v>
      </c>
      <c r="E240" s="2" t="str">
        <f>IFERROR(INDEX(Movimientos!$F$2:$F$1993,MATCH(A240&amp;"ENTRADA",Movimientos!$R$2:$R$1993,0)),"-")</f>
        <v>-</v>
      </c>
      <c r="F240" s="2" t="str">
        <f>IFERROR(INDEX(Movimientos!$G$2:$G$1993,MATCH(A240&amp;"ENTRADA",Movimientos!$R$2:$R$1993,0)),"-")</f>
        <v>-</v>
      </c>
      <c r="G240" s="2" t="str">
        <f>IFERROR(INDEX(Movimientos!$L$2:$L$1993,MATCH(A240&amp;"ENTRADA",Movimientos!$R$2:$R$1993,0)),"-")</f>
        <v>-</v>
      </c>
      <c r="H240" s="17" t="str">
        <f>IFERROR(IF(INDEX(Movimientos!$M$2:$M$1993,MATCH(A240&amp;"ENTRADA",Movimientos!$R$2:$R$1993,0))=0,"S/D",INDEX(Movimientos!$M$2:$M$1993,MATCH(A240&amp;"ENTRADA",Movimientos!$R$2:$R$1993,0))),"S/D")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2547</v>
      </c>
      <c r="B241" s="2" t="str">
        <f>IFERROR(INDEX(Movimientos!$C$2:$C$1993,MATCH(A241&amp;"ENTRADA",Movimientos!$R$2:$R$1993,0)),"-")</f>
        <v>-</v>
      </c>
      <c r="C241" s="2" t="str">
        <f>IFERROR(INDEX(Movimientos!$D$2:$D$1993,MATCH(A241&amp;"ENTRADA",Movimientos!$R$2:$R$1993,0)),"-")</f>
        <v>-</v>
      </c>
      <c r="D241" s="2" t="str">
        <f>IFERROR(INDEX(Movimientos!$E$2:$E$1993,MATCH(A241&amp;"ENTRADA",Movimientos!$R$2:$R$1993,0)),"-")</f>
        <v>-</v>
      </c>
      <c r="E241" s="2" t="str">
        <f>IFERROR(INDEX(Movimientos!$F$2:$F$1993,MATCH(A241&amp;"ENTRADA",Movimientos!$R$2:$R$1993,0)),"-")</f>
        <v>-</v>
      </c>
      <c r="F241" s="2" t="str">
        <f>IFERROR(INDEX(Movimientos!$G$2:$G$1993,MATCH(A241&amp;"ENTRADA",Movimientos!$R$2:$R$1993,0)),"-")</f>
        <v>-</v>
      </c>
      <c r="G241" s="2" t="str">
        <f>IFERROR(INDEX(Movimientos!$L$2:$L$1993,MATCH(A241&amp;"ENTRADA",Movimientos!$R$2:$R$1993,0)),"-")</f>
        <v>-</v>
      </c>
      <c r="H241" s="17" t="str">
        <f>IFERROR(IF(INDEX(Movimientos!$M$2:$M$1993,MATCH(A241&amp;"ENTRADA",Movimientos!$R$2:$R$1993,0))=0,"S/D",INDEX(Movimientos!$M$2:$M$1993,MATCH(A241&amp;"ENTRADA",Movimientos!$R$2:$R$1993,0))),"S/D")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2548</v>
      </c>
      <c r="B242" s="2" t="str">
        <f>IFERROR(INDEX(Movimientos!$C$2:$C$1993,MATCH(A242&amp;"ENTRADA",Movimientos!$R$2:$R$1993,0)),"-")</f>
        <v>-</v>
      </c>
      <c r="C242" s="2" t="str">
        <f>IFERROR(INDEX(Movimientos!$D$2:$D$1993,MATCH(A242&amp;"ENTRADA",Movimientos!$R$2:$R$1993,0)),"-")</f>
        <v>-</v>
      </c>
      <c r="D242" s="2" t="str">
        <f>IFERROR(INDEX(Movimientos!$E$2:$E$1993,MATCH(A242&amp;"ENTRADA",Movimientos!$R$2:$R$1993,0)),"-")</f>
        <v>-</v>
      </c>
      <c r="E242" s="2" t="str">
        <f>IFERROR(INDEX(Movimientos!$F$2:$F$1993,MATCH(A242&amp;"ENTRADA",Movimientos!$R$2:$R$1993,0)),"-")</f>
        <v>-</v>
      </c>
      <c r="F242" s="2" t="str">
        <f>IFERROR(INDEX(Movimientos!$G$2:$G$1993,MATCH(A242&amp;"ENTRADA",Movimientos!$R$2:$R$1993,0)),"-")</f>
        <v>-</v>
      </c>
      <c r="G242" s="2" t="str">
        <f>IFERROR(INDEX(Movimientos!$L$2:$L$1993,MATCH(A242&amp;"ENTRADA",Movimientos!$R$2:$R$1993,0)),"-")</f>
        <v>-</v>
      </c>
      <c r="H242" s="17" t="str">
        <f>IFERROR(IF(INDEX(Movimientos!$M$2:$M$1993,MATCH(A242&amp;"ENTRADA",Movimientos!$R$2:$R$1993,0))=0,"S/D",INDEX(Movimientos!$M$2:$M$1993,MATCH(A242&amp;"ENTRADA",Movimientos!$R$2:$R$1993,0))),"S/D")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2549</v>
      </c>
      <c r="B243" s="2" t="str">
        <f>IFERROR(INDEX(Movimientos!$C$2:$C$1993,MATCH(A243&amp;"ENTRADA",Movimientos!$R$2:$R$1993,0)),"-")</f>
        <v>-</v>
      </c>
      <c r="C243" s="2" t="str">
        <f>IFERROR(INDEX(Movimientos!$D$2:$D$1993,MATCH(A243&amp;"ENTRADA",Movimientos!$R$2:$R$1993,0)),"-")</f>
        <v>-</v>
      </c>
      <c r="D243" s="2" t="str">
        <f>IFERROR(INDEX(Movimientos!$E$2:$E$1993,MATCH(A243&amp;"ENTRADA",Movimientos!$R$2:$R$1993,0)),"-")</f>
        <v>-</v>
      </c>
      <c r="E243" s="2" t="str">
        <f>IFERROR(INDEX(Movimientos!$F$2:$F$1993,MATCH(A243&amp;"ENTRADA",Movimientos!$R$2:$R$1993,0)),"-")</f>
        <v>-</v>
      </c>
      <c r="F243" s="2" t="str">
        <f>IFERROR(INDEX(Movimientos!$G$2:$G$1993,MATCH(A243&amp;"ENTRADA",Movimientos!$R$2:$R$1993,0)),"-")</f>
        <v>-</v>
      </c>
      <c r="G243" s="2" t="str">
        <f>IFERROR(INDEX(Movimientos!$L$2:$L$1993,MATCH(A243&amp;"ENTRADA",Movimientos!$R$2:$R$1993,0)),"-")</f>
        <v>-</v>
      </c>
      <c r="H243" s="17" t="str">
        <f>IFERROR(IF(INDEX(Movimientos!$M$2:$M$1993,MATCH(A243&amp;"ENTRADA",Movimientos!$R$2:$R$1993,0))=0,"S/D",INDEX(Movimientos!$M$2:$M$1993,MATCH(A243&amp;"ENTRADA",Movimientos!$R$2:$R$1993,0))),"S/D")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2550</v>
      </c>
      <c r="B244" s="2" t="str">
        <f>IFERROR(INDEX(Movimientos!$C$2:$C$1993,MATCH(A244&amp;"ENTRADA",Movimientos!$R$2:$R$1993,0)),"-")</f>
        <v>-</v>
      </c>
      <c r="C244" s="2" t="str">
        <f>IFERROR(INDEX(Movimientos!$D$2:$D$1993,MATCH(A244&amp;"ENTRADA",Movimientos!$R$2:$R$1993,0)),"-")</f>
        <v>-</v>
      </c>
      <c r="D244" s="2" t="str">
        <f>IFERROR(INDEX(Movimientos!$E$2:$E$1993,MATCH(A244&amp;"ENTRADA",Movimientos!$R$2:$R$1993,0)),"-")</f>
        <v>-</v>
      </c>
      <c r="E244" s="2" t="str">
        <f>IFERROR(INDEX(Movimientos!$F$2:$F$1993,MATCH(A244&amp;"ENTRADA",Movimientos!$R$2:$R$1993,0)),"-")</f>
        <v>-</v>
      </c>
      <c r="F244" s="2" t="str">
        <f>IFERROR(INDEX(Movimientos!$G$2:$G$1993,MATCH(A244&amp;"ENTRADA",Movimientos!$R$2:$R$1993,0)),"-")</f>
        <v>-</v>
      </c>
      <c r="G244" s="2" t="str">
        <f>IFERROR(INDEX(Movimientos!$L$2:$L$1993,MATCH(A244&amp;"ENTRADA",Movimientos!$R$2:$R$1993,0)),"-")</f>
        <v>-</v>
      </c>
      <c r="H244" s="17" t="str">
        <f>IFERROR(IF(INDEX(Movimientos!$M$2:$M$1993,MATCH(A244&amp;"ENTRADA",Movimientos!$R$2:$R$1993,0))=0,"S/D",INDEX(Movimientos!$M$2:$M$1993,MATCH(A244&amp;"ENTRADA",Movimientos!$R$2:$R$1993,0))),"S/D")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2551</v>
      </c>
      <c r="B245" s="2" t="str">
        <f>IFERROR(INDEX(Movimientos!$C$2:$C$1993,MATCH(A245&amp;"ENTRADA",Movimientos!$R$2:$R$1993,0)),"-")</f>
        <v>-</v>
      </c>
      <c r="C245" s="2" t="str">
        <f>IFERROR(INDEX(Movimientos!$D$2:$D$1993,MATCH(A245&amp;"ENTRADA",Movimientos!$R$2:$R$1993,0)),"-")</f>
        <v>-</v>
      </c>
      <c r="D245" s="2" t="str">
        <f>IFERROR(INDEX(Movimientos!$E$2:$E$1993,MATCH(A245&amp;"ENTRADA",Movimientos!$R$2:$R$1993,0)),"-")</f>
        <v>-</v>
      </c>
      <c r="E245" s="2" t="str">
        <f>IFERROR(INDEX(Movimientos!$F$2:$F$1993,MATCH(A245&amp;"ENTRADA",Movimientos!$R$2:$R$1993,0)),"-")</f>
        <v>-</v>
      </c>
      <c r="F245" s="2" t="str">
        <f>IFERROR(INDEX(Movimientos!$G$2:$G$1993,MATCH(A245&amp;"ENTRADA",Movimientos!$R$2:$R$1993,0)),"-")</f>
        <v>-</v>
      </c>
      <c r="G245" s="2" t="str">
        <f>IFERROR(INDEX(Movimientos!$L$2:$L$1993,MATCH(A245&amp;"ENTRADA",Movimientos!$R$2:$R$1993,0)),"-")</f>
        <v>-</v>
      </c>
      <c r="H245" s="17" t="str">
        <f>IFERROR(IF(INDEX(Movimientos!$M$2:$M$1993,MATCH(A245&amp;"ENTRADA",Movimientos!$R$2:$R$1993,0))=0,"S/D",INDEX(Movimientos!$M$2:$M$1993,MATCH(A245&amp;"ENTRADA",Movimientos!$R$2:$R$1993,0))),"S/D")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2552</v>
      </c>
      <c r="B246" s="2" t="str">
        <f>IFERROR(INDEX(Movimientos!$C$2:$C$1993,MATCH(A246&amp;"ENTRADA",Movimientos!$R$2:$R$1993,0)),"-")</f>
        <v>-</v>
      </c>
      <c r="C246" s="2" t="str">
        <f>IFERROR(INDEX(Movimientos!$D$2:$D$1993,MATCH(A246&amp;"ENTRADA",Movimientos!$R$2:$R$1993,0)),"-")</f>
        <v>-</v>
      </c>
      <c r="D246" s="2" t="str">
        <f>IFERROR(INDEX(Movimientos!$E$2:$E$1993,MATCH(A246&amp;"ENTRADA",Movimientos!$R$2:$R$1993,0)),"-")</f>
        <v>-</v>
      </c>
      <c r="E246" s="2" t="str">
        <f>IFERROR(INDEX(Movimientos!$F$2:$F$1993,MATCH(A246&amp;"ENTRADA",Movimientos!$R$2:$R$1993,0)),"-")</f>
        <v>-</v>
      </c>
      <c r="F246" s="2" t="str">
        <f>IFERROR(INDEX(Movimientos!$G$2:$G$1993,MATCH(A246&amp;"ENTRADA",Movimientos!$R$2:$R$1993,0)),"-")</f>
        <v>-</v>
      </c>
      <c r="G246" s="2" t="str">
        <f>IFERROR(INDEX(Movimientos!$L$2:$L$1993,MATCH(A246&amp;"ENTRADA",Movimientos!$R$2:$R$1993,0)),"-")</f>
        <v>-</v>
      </c>
      <c r="H246" s="17" t="str">
        <f>IFERROR(IF(INDEX(Movimientos!$M$2:$M$1993,MATCH(A246&amp;"ENTRADA",Movimientos!$R$2:$R$1993,0))=0,"S/D",INDEX(Movimientos!$M$2:$M$1993,MATCH(A246&amp;"ENTRADA",Movimientos!$R$2:$R$1993,0))),"S/D")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2553</v>
      </c>
      <c r="B247" s="2" t="str">
        <f>IFERROR(INDEX(Movimientos!$C$2:$C$1993,MATCH(A247&amp;"ENTRADA",Movimientos!$R$2:$R$1993,0)),"-")</f>
        <v>-</v>
      </c>
      <c r="C247" s="2" t="str">
        <f>IFERROR(INDEX(Movimientos!$D$2:$D$1993,MATCH(A247&amp;"ENTRADA",Movimientos!$R$2:$R$1993,0)),"-")</f>
        <v>-</v>
      </c>
      <c r="D247" s="2" t="str">
        <f>IFERROR(INDEX(Movimientos!$E$2:$E$1993,MATCH(A247&amp;"ENTRADA",Movimientos!$R$2:$R$1993,0)),"-")</f>
        <v>-</v>
      </c>
      <c r="E247" s="2" t="str">
        <f>IFERROR(INDEX(Movimientos!$F$2:$F$1993,MATCH(A247&amp;"ENTRADA",Movimientos!$R$2:$R$1993,0)),"-")</f>
        <v>-</v>
      </c>
      <c r="F247" s="2" t="str">
        <f>IFERROR(INDEX(Movimientos!$G$2:$G$1993,MATCH(A247&amp;"ENTRADA",Movimientos!$R$2:$R$1993,0)),"-")</f>
        <v>-</v>
      </c>
      <c r="G247" s="2" t="str">
        <f>IFERROR(INDEX(Movimientos!$L$2:$L$1993,MATCH(A247&amp;"ENTRADA",Movimientos!$R$2:$R$1993,0)),"-")</f>
        <v>-</v>
      </c>
      <c r="H247" s="17" t="str">
        <f>IFERROR(IF(INDEX(Movimientos!$M$2:$M$1993,MATCH(A247&amp;"ENTRADA",Movimientos!$R$2:$R$1993,0))=0,"S/D",INDEX(Movimientos!$M$2:$M$1993,MATCH(A247&amp;"ENTRADA",Movimientos!$R$2:$R$1993,0))),"S/D")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2554</v>
      </c>
      <c r="B248" s="2" t="str">
        <f>IFERROR(INDEX(Movimientos!$C$2:$C$1993,MATCH(A248&amp;"ENTRADA",Movimientos!$R$2:$R$1993,0)),"-")</f>
        <v>-</v>
      </c>
      <c r="C248" s="2" t="str">
        <f>IFERROR(INDEX(Movimientos!$D$2:$D$1993,MATCH(A248&amp;"ENTRADA",Movimientos!$R$2:$R$1993,0)),"-")</f>
        <v>-</v>
      </c>
      <c r="D248" s="2" t="str">
        <f>IFERROR(INDEX(Movimientos!$E$2:$E$1993,MATCH(A248&amp;"ENTRADA",Movimientos!$R$2:$R$1993,0)),"-")</f>
        <v>-</v>
      </c>
      <c r="E248" s="2" t="str">
        <f>IFERROR(INDEX(Movimientos!$F$2:$F$1993,MATCH(A248&amp;"ENTRADA",Movimientos!$R$2:$R$1993,0)),"-")</f>
        <v>-</v>
      </c>
      <c r="F248" s="2" t="str">
        <f>IFERROR(INDEX(Movimientos!$G$2:$G$1993,MATCH(A248&amp;"ENTRADA",Movimientos!$R$2:$R$1993,0)),"-")</f>
        <v>-</v>
      </c>
      <c r="G248" s="2" t="str">
        <f>IFERROR(INDEX(Movimientos!$L$2:$L$1993,MATCH(A248&amp;"ENTRADA",Movimientos!$R$2:$R$1993,0)),"-")</f>
        <v>-</v>
      </c>
      <c r="H248" s="17" t="str">
        <f>IFERROR(IF(INDEX(Movimientos!$M$2:$M$1993,MATCH(A248&amp;"ENTRADA",Movimientos!$R$2:$R$1993,0))=0,"S/D",INDEX(Movimientos!$M$2:$M$1993,MATCH(A248&amp;"ENTRADA",Movimientos!$R$2:$R$1993,0))),"S/D")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2555</v>
      </c>
      <c r="B249" s="2" t="str">
        <f>IFERROR(INDEX(Movimientos!$C$2:$C$1993,MATCH(A249&amp;"ENTRADA",Movimientos!$R$2:$R$1993,0)),"-")</f>
        <v>-</v>
      </c>
      <c r="C249" s="2" t="str">
        <f>IFERROR(INDEX(Movimientos!$D$2:$D$1993,MATCH(A249&amp;"ENTRADA",Movimientos!$R$2:$R$1993,0)),"-")</f>
        <v>-</v>
      </c>
      <c r="D249" s="2" t="str">
        <f>IFERROR(INDEX(Movimientos!$E$2:$E$1993,MATCH(A249&amp;"ENTRADA",Movimientos!$R$2:$R$1993,0)),"-")</f>
        <v>-</v>
      </c>
      <c r="E249" s="2" t="str">
        <f>IFERROR(INDEX(Movimientos!$F$2:$F$1993,MATCH(A249&amp;"ENTRADA",Movimientos!$R$2:$R$1993,0)),"-")</f>
        <v>-</v>
      </c>
      <c r="F249" s="2" t="str">
        <f>IFERROR(INDEX(Movimientos!$G$2:$G$1993,MATCH(A249&amp;"ENTRADA",Movimientos!$R$2:$R$1993,0)),"-")</f>
        <v>-</v>
      </c>
      <c r="G249" s="2" t="str">
        <f>IFERROR(INDEX(Movimientos!$L$2:$L$1993,MATCH(A249&amp;"ENTRADA",Movimientos!$R$2:$R$1993,0)),"-")</f>
        <v>-</v>
      </c>
      <c r="H249" s="17" t="str">
        <f>IFERROR(IF(INDEX(Movimientos!$M$2:$M$1993,MATCH(A249&amp;"ENTRADA",Movimientos!$R$2:$R$1993,0))=0,"S/D",INDEX(Movimientos!$M$2:$M$1993,MATCH(A249&amp;"ENTRADA",Movimientos!$R$2:$R$1993,0))),"S/D")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2556</v>
      </c>
      <c r="B250" s="2" t="str">
        <f>IFERROR(INDEX(Movimientos!$C$2:$C$1993,MATCH(A250&amp;"ENTRADA",Movimientos!$R$2:$R$1993,0)),"-")</f>
        <v>-</v>
      </c>
      <c r="C250" s="2" t="str">
        <f>IFERROR(INDEX(Movimientos!$D$2:$D$1993,MATCH(A250&amp;"ENTRADA",Movimientos!$R$2:$R$1993,0)),"-")</f>
        <v>-</v>
      </c>
      <c r="D250" s="2" t="str">
        <f>IFERROR(INDEX(Movimientos!$E$2:$E$1993,MATCH(A250&amp;"ENTRADA",Movimientos!$R$2:$R$1993,0)),"-")</f>
        <v>-</v>
      </c>
      <c r="E250" s="2" t="str">
        <f>IFERROR(INDEX(Movimientos!$F$2:$F$1993,MATCH(A250&amp;"ENTRADA",Movimientos!$R$2:$R$1993,0)),"-")</f>
        <v>-</v>
      </c>
      <c r="F250" s="2" t="str">
        <f>IFERROR(INDEX(Movimientos!$G$2:$G$1993,MATCH(A250&amp;"ENTRADA",Movimientos!$R$2:$R$1993,0)),"-")</f>
        <v>-</v>
      </c>
      <c r="G250" s="2" t="str">
        <f>IFERROR(INDEX(Movimientos!$L$2:$L$1993,MATCH(A250&amp;"ENTRADA",Movimientos!$R$2:$R$1993,0)),"-")</f>
        <v>-</v>
      </c>
      <c r="H250" s="17" t="str">
        <f>IFERROR(IF(INDEX(Movimientos!$M$2:$M$1993,MATCH(A250&amp;"ENTRADA",Movimientos!$R$2:$R$1993,0))=0,"S/D",INDEX(Movimientos!$M$2:$M$1993,MATCH(A250&amp;"ENTRADA",Movimientos!$R$2:$R$1993,0))),"S/D")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2557</v>
      </c>
      <c r="B251" s="2" t="str">
        <f>IFERROR(INDEX(Movimientos!$C$2:$C$1993,MATCH(A251&amp;"ENTRADA",Movimientos!$R$2:$R$1993,0)),"-")</f>
        <v>-</v>
      </c>
      <c r="C251" s="2" t="str">
        <f>IFERROR(INDEX(Movimientos!$D$2:$D$1993,MATCH(A251&amp;"ENTRADA",Movimientos!$R$2:$R$1993,0)),"-")</f>
        <v>-</v>
      </c>
      <c r="D251" s="2" t="str">
        <f>IFERROR(INDEX(Movimientos!$E$2:$E$1993,MATCH(A251&amp;"ENTRADA",Movimientos!$R$2:$R$1993,0)),"-")</f>
        <v>-</v>
      </c>
      <c r="E251" s="2" t="str">
        <f>IFERROR(INDEX(Movimientos!$F$2:$F$1993,MATCH(A251&amp;"ENTRADA",Movimientos!$R$2:$R$1993,0)),"-")</f>
        <v>-</v>
      </c>
      <c r="F251" s="2" t="str">
        <f>IFERROR(INDEX(Movimientos!$G$2:$G$1993,MATCH(A251&amp;"ENTRADA",Movimientos!$R$2:$R$1993,0)),"-")</f>
        <v>-</v>
      </c>
      <c r="G251" s="2" t="str">
        <f>IFERROR(INDEX(Movimientos!$L$2:$L$1993,MATCH(A251&amp;"ENTRADA",Movimientos!$R$2:$R$1993,0)),"-")</f>
        <v>-</v>
      </c>
      <c r="H251" s="17" t="str">
        <f>IFERROR(IF(INDEX(Movimientos!$M$2:$M$1993,MATCH(A251&amp;"ENTRADA",Movimientos!$R$2:$R$1993,0))=0,"S/D",INDEX(Movimientos!$M$2:$M$1993,MATCH(A251&amp;"ENTRADA",Movimientos!$R$2:$R$1993,0))),"S/D")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2558</v>
      </c>
      <c r="B252" s="2" t="str">
        <f>IFERROR(INDEX(Movimientos!$C$2:$C$1993,MATCH(A252&amp;"ENTRADA",Movimientos!$R$2:$R$1993,0)),"-")</f>
        <v>-</v>
      </c>
      <c r="C252" s="2" t="str">
        <f>IFERROR(INDEX(Movimientos!$D$2:$D$1993,MATCH(A252&amp;"ENTRADA",Movimientos!$R$2:$R$1993,0)),"-")</f>
        <v>-</v>
      </c>
      <c r="D252" s="2" t="str">
        <f>IFERROR(INDEX(Movimientos!$E$2:$E$1993,MATCH(A252&amp;"ENTRADA",Movimientos!$R$2:$R$1993,0)),"-")</f>
        <v>-</v>
      </c>
      <c r="E252" s="2" t="str">
        <f>IFERROR(INDEX(Movimientos!$F$2:$F$1993,MATCH(A252&amp;"ENTRADA",Movimientos!$R$2:$R$1993,0)),"-")</f>
        <v>-</v>
      </c>
      <c r="F252" s="2" t="str">
        <f>IFERROR(INDEX(Movimientos!$G$2:$G$1993,MATCH(A252&amp;"ENTRADA",Movimientos!$R$2:$R$1993,0)),"-")</f>
        <v>-</v>
      </c>
      <c r="G252" s="2" t="str">
        <f>IFERROR(INDEX(Movimientos!$L$2:$L$1993,MATCH(A252&amp;"ENTRADA",Movimientos!$R$2:$R$1993,0)),"-")</f>
        <v>-</v>
      </c>
      <c r="H252" s="17" t="str">
        <f>IFERROR(IF(INDEX(Movimientos!$M$2:$M$1993,MATCH(A252&amp;"ENTRADA",Movimientos!$R$2:$R$1993,0))=0,"S/D",INDEX(Movimientos!$M$2:$M$1993,MATCH(A252&amp;"ENTRADA",Movimientos!$R$2:$R$1993,0))),"S/D")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2559</v>
      </c>
      <c r="B253" s="2" t="str">
        <f>IFERROR(INDEX(Movimientos!$C$2:$C$1993,MATCH(A253&amp;"ENTRADA",Movimientos!$R$2:$R$1993,0)),"-")</f>
        <v>-</v>
      </c>
      <c r="C253" s="2" t="str">
        <f>IFERROR(INDEX(Movimientos!$D$2:$D$1993,MATCH(A253&amp;"ENTRADA",Movimientos!$R$2:$R$1993,0)),"-")</f>
        <v>-</v>
      </c>
      <c r="D253" s="2" t="str">
        <f>IFERROR(INDEX(Movimientos!$E$2:$E$1993,MATCH(A253&amp;"ENTRADA",Movimientos!$R$2:$R$1993,0)),"-")</f>
        <v>-</v>
      </c>
      <c r="E253" s="2" t="str">
        <f>IFERROR(INDEX(Movimientos!$F$2:$F$1993,MATCH(A253&amp;"ENTRADA",Movimientos!$R$2:$R$1993,0)),"-")</f>
        <v>-</v>
      </c>
      <c r="F253" s="2" t="str">
        <f>IFERROR(INDEX(Movimientos!$G$2:$G$1993,MATCH(A253&amp;"ENTRADA",Movimientos!$R$2:$R$1993,0)),"-")</f>
        <v>-</v>
      </c>
      <c r="G253" s="2" t="str">
        <f>IFERROR(INDEX(Movimientos!$L$2:$L$1993,MATCH(A253&amp;"ENTRADA",Movimientos!$R$2:$R$1993,0)),"-")</f>
        <v>-</v>
      </c>
      <c r="H253" s="17" t="str">
        <f>IFERROR(IF(INDEX(Movimientos!$M$2:$M$1993,MATCH(A253&amp;"ENTRADA",Movimientos!$R$2:$R$1993,0))=0,"S/D",INDEX(Movimientos!$M$2:$M$1993,MATCH(A253&amp;"ENTRADA",Movimientos!$R$2:$R$1993,0))),"S/D")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2560</v>
      </c>
      <c r="B254" s="2" t="str">
        <f>IFERROR(INDEX(Movimientos!$C$2:$C$1993,MATCH(A254&amp;"ENTRADA",Movimientos!$R$2:$R$1993,0)),"-")</f>
        <v>-</v>
      </c>
      <c r="C254" s="2" t="str">
        <f>IFERROR(INDEX(Movimientos!$D$2:$D$1993,MATCH(A254&amp;"ENTRADA",Movimientos!$R$2:$R$1993,0)),"-")</f>
        <v>-</v>
      </c>
      <c r="D254" s="2" t="str">
        <f>IFERROR(INDEX(Movimientos!$E$2:$E$1993,MATCH(A254&amp;"ENTRADA",Movimientos!$R$2:$R$1993,0)),"-")</f>
        <v>-</v>
      </c>
      <c r="E254" s="2" t="str">
        <f>IFERROR(INDEX(Movimientos!$F$2:$F$1993,MATCH(A254&amp;"ENTRADA",Movimientos!$R$2:$R$1993,0)),"-")</f>
        <v>-</v>
      </c>
      <c r="F254" s="2" t="str">
        <f>IFERROR(INDEX(Movimientos!$G$2:$G$1993,MATCH(A254&amp;"ENTRADA",Movimientos!$R$2:$R$1993,0)),"-")</f>
        <v>-</v>
      </c>
      <c r="G254" s="2" t="str">
        <f>IFERROR(INDEX(Movimientos!$L$2:$L$1993,MATCH(A254&amp;"ENTRADA",Movimientos!$R$2:$R$1993,0)),"-")</f>
        <v>-</v>
      </c>
      <c r="H254" s="17" t="str">
        <f>IFERROR(IF(INDEX(Movimientos!$M$2:$M$1993,MATCH(A254&amp;"ENTRADA",Movimientos!$R$2:$R$1993,0))=0,"S/D",INDEX(Movimientos!$M$2:$M$1993,MATCH(A254&amp;"ENTRADA",Movimientos!$R$2:$R$1993,0))),"S/D")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2561</v>
      </c>
      <c r="B255" s="2" t="str">
        <f>IFERROR(INDEX(Movimientos!$C$2:$C$1993,MATCH(A255&amp;"ENTRADA",Movimientos!$R$2:$R$1993,0)),"-")</f>
        <v>-</v>
      </c>
      <c r="C255" s="2" t="str">
        <f>IFERROR(INDEX(Movimientos!$D$2:$D$1993,MATCH(A255&amp;"ENTRADA",Movimientos!$R$2:$R$1993,0)),"-")</f>
        <v>-</v>
      </c>
      <c r="D255" s="2" t="str">
        <f>IFERROR(INDEX(Movimientos!$E$2:$E$1993,MATCH(A255&amp;"ENTRADA",Movimientos!$R$2:$R$1993,0)),"-")</f>
        <v>-</v>
      </c>
      <c r="E255" s="2" t="str">
        <f>IFERROR(INDEX(Movimientos!$F$2:$F$1993,MATCH(A255&amp;"ENTRADA",Movimientos!$R$2:$R$1993,0)),"-")</f>
        <v>-</v>
      </c>
      <c r="F255" s="2" t="str">
        <f>IFERROR(INDEX(Movimientos!$G$2:$G$1993,MATCH(A255&amp;"ENTRADA",Movimientos!$R$2:$R$1993,0)),"-")</f>
        <v>-</v>
      </c>
      <c r="G255" s="2" t="str">
        <f>IFERROR(INDEX(Movimientos!$L$2:$L$1993,MATCH(A255&amp;"ENTRADA",Movimientos!$R$2:$R$1993,0)),"-")</f>
        <v>-</v>
      </c>
      <c r="H255" s="17" t="str">
        <f>IFERROR(IF(INDEX(Movimientos!$M$2:$M$1993,MATCH(A255&amp;"ENTRADA",Movimientos!$R$2:$R$1993,0))=0,"S/D",INDEX(Movimientos!$M$2:$M$1993,MATCH(A255&amp;"ENTRADA",Movimientos!$R$2:$R$1993,0))),"S/D")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2562</v>
      </c>
      <c r="B256" s="2" t="str">
        <f>IFERROR(INDEX(Movimientos!$C$2:$C$1993,MATCH(A256&amp;"ENTRADA",Movimientos!$R$2:$R$1993,0)),"-")</f>
        <v>-</v>
      </c>
      <c r="C256" s="2" t="str">
        <f>IFERROR(INDEX(Movimientos!$D$2:$D$1993,MATCH(A256&amp;"ENTRADA",Movimientos!$R$2:$R$1993,0)),"-")</f>
        <v>-</v>
      </c>
      <c r="D256" s="2" t="str">
        <f>IFERROR(INDEX(Movimientos!$E$2:$E$1993,MATCH(A256&amp;"ENTRADA",Movimientos!$R$2:$R$1993,0)),"-")</f>
        <v>-</v>
      </c>
      <c r="E256" s="2" t="str">
        <f>IFERROR(INDEX(Movimientos!$F$2:$F$1993,MATCH(A256&amp;"ENTRADA",Movimientos!$R$2:$R$1993,0)),"-")</f>
        <v>-</v>
      </c>
      <c r="F256" s="2" t="str">
        <f>IFERROR(INDEX(Movimientos!$G$2:$G$1993,MATCH(A256&amp;"ENTRADA",Movimientos!$R$2:$R$1993,0)),"-")</f>
        <v>-</v>
      </c>
      <c r="G256" s="2" t="str">
        <f>IFERROR(INDEX(Movimientos!$L$2:$L$1993,MATCH(A256&amp;"ENTRADA",Movimientos!$R$2:$R$1993,0)),"-")</f>
        <v>-</v>
      </c>
      <c r="H256" s="17" t="str">
        <f>IFERROR(IF(INDEX(Movimientos!$M$2:$M$1993,MATCH(A256&amp;"ENTRADA",Movimientos!$R$2:$R$1993,0))=0,"S/D",INDEX(Movimientos!$M$2:$M$1993,MATCH(A256&amp;"ENTRADA",Movimientos!$R$2:$R$1993,0))),"S/D")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2563</v>
      </c>
      <c r="B257" s="2" t="str">
        <f>IFERROR(INDEX(Movimientos!$C$2:$C$1993,MATCH(A257&amp;"ENTRADA",Movimientos!$R$2:$R$1993,0)),"-")</f>
        <v>-</v>
      </c>
      <c r="C257" s="2" t="str">
        <f>IFERROR(INDEX(Movimientos!$D$2:$D$1993,MATCH(A257&amp;"ENTRADA",Movimientos!$R$2:$R$1993,0)),"-")</f>
        <v>-</v>
      </c>
      <c r="D257" s="2" t="str">
        <f>IFERROR(INDEX(Movimientos!$E$2:$E$1993,MATCH(A257&amp;"ENTRADA",Movimientos!$R$2:$R$1993,0)),"-")</f>
        <v>-</v>
      </c>
      <c r="E257" s="2" t="str">
        <f>IFERROR(INDEX(Movimientos!$F$2:$F$1993,MATCH(A257&amp;"ENTRADA",Movimientos!$R$2:$R$1993,0)),"-")</f>
        <v>-</v>
      </c>
      <c r="F257" s="2" t="str">
        <f>IFERROR(INDEX(Movimientos!$G$2:$G$1993,MATCH(A257&amp;"ENTRADA",Movimientos!$R$2:$R$1993,0)),"-")</f>
        <v>-</v>
      </c>
      <c r="G257" s="2" t="str">
        <f>IFERROR(INDEX(Movimientos!$L$2:$L$1993,MATCH(A257&amp;"ENTRADA",Movimientos!$R$2:$R$1993,0)),"-")</f>
        <v>-</v>
      </c>
      <c r="H257" s="17" t="str">
        <f>IFERROR(IF(INDEX(Movimientos!$M$2:$M$1993,MATCH(A257&amp;"ENTRADA",Movimientos!$R$2:$R$1993,0))=0,"S/D",INDEX(Movimientos!$M$2:$M$1993,MATCH(A257&amp;"ENTRADA",Movimientos!$R$2:$R$1993,0))),"S/D")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2564</v>
      </c>
      <c r="B258" s="2" t="str">
        <f>IFERROR(INDEX(Movimientos!$C$2:$C$1993,MATCH(A258&amp;"ENTRADA",Movimientos!$R$2:$R$1993,0)),"-")</f>
        <v>-</v>
      </c>
      <c r="C258" s="2" t="str">
        <f>IFERROR(INDEX(Movimientos!$D$2:$D$1993,MATCH(A258&amp;"ENTRADA",Movimientos!$R$2:$R$1993,0)),"-")</f>
        <v>-</v>
      </c>
      <c r="D258" s="2" t="str">
        <f>IFERROR(INDEX(Movimientos!$E$2:$E$1993,MATCH(A258&amp;"ENTRADA",Movimientos!$R$2:$R$1993,0)),"-")</f>
        <v>-</v>
      </c>
      <c r="E258" s="2" t="str">
        <f>IFERROR(INDEX(Movimientos!$F$2:$F$1993,MATCH(A258&amp;"ENTRADA",Movimientos!$R$2:$R$1993,0)),"-")</f>
        <v>-</v>
      </c>
      <c r="F258" s="2" t="str">
        <f>IFERROR(INDEX(Movimientos!$G$2:$G$1993,MATCH(A258&amp;"ENTRADA",Movimientos!$R$2:$R$1993,0)),"-")</f>
        <v>-</v>
      </c>
      <c r="G258" s="2" t="str">
        <f>IFERROR(INDEX(Movimientos!$L$2:$L$1993,MATCH(A258&amp;"ENTRADA",Movimientos!$R$2:$R$1993,0)),"-")</f>
        <v>-</v>
      </c>
      <c r="H258" s="17" t="str">
        <f>IFERROR(IF(INDEX(Movimientos!$M$2:$M$1993,MATCH(A258&amp;"ENTRADA",Movimientos!$R$2:$R$1993,0))=0,"S/D",INDEX(Movimientos!$M$2:$M$1993,MATCH(A258&amp;"ENTRADA",Movimientos!$R$2:$R$1993,0))),"S/D")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2565</v>
      </c>
      <c r="B259" s="2" t="str">
        <f>IFERROR(INDEX(Movimientos!$C$2:$C$1993,MATCH(A259&amp;"ENTRADA",Movimientos!$R$2:$R$1993,0)),"-")</f>
        <v>-</v>
      </c>
      <c r="C259" s="2" t="str">
        <f>IFERROR(INDEX(Movimientos!$D$2:$D$1993,MATCH(A259&amp;"ENTRADA",Movimientos!$R$2:$R$1993,0)),"-")</f>
        <v>-</v>
      </c>
      <c r="D259" s="2" t="str">
        <f>IFERROR(INDEX(Movimientos!$E$2:$E$1993,MATCH(A259&amp;"ENTRADA",Movimientos!$R$2:$R$1993,0)),"-")</f>
        <v>-</v>
      </c>
      <c r="E259" s="2" t="str">
        <f>IFERROR(INDEX(Movimientos!$F$2:$F$1993,MATCH(A259&amp;"ENTRADA",Movimientos!$R$2:$R$1993,0)),"-")</f>
        <v>-</v>
      </c>
      <c r="F259" s="2" t="str">
        <f>IFERROR(INDEX(Movimientos!$G$2:$G$1993,MATCH(A259&amp;"ENTRADA",Movimientos!$R$2:$R$1993,0)),"-")</f>
        <v>-</v>
      </c>
      <c r="G259" s="2" t="str">
        <f>IFERROR(INDEX(Movimientos!$L$2:$L$1993,MATCH(A259&amp;"ENTRADA",Movimientos!$R$2:$R$1993,0)),"-")</f>
        <v>-</v>
      </c>
      <c r="H259" s="17" t="str">
        <f>IFERROR(IF(INDEX(Movimientos!$M$2:$M$1993,MATCH(A259&amp;"ENTRADA",Movimientos!$R$2:$R$1993,0))=0,"S/D",INDEX(Movimientos!$M$2:$M$1993,MATCH(A259&amp;"ENTRADA",Movimientos!$R$2:$R$1993,0))),"S/D")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2566</v>
      </c>
      <c r="B260" s="2" t="str">
        <f>IFERROR(INDEX(Movimientos!$C$2:$C$1993,MATCH(A260&amp;"ENTRADA",Movimientos!$R$2:$R$1993,0)),"-")</f>
        <v>-</v>
      </c>
      <c r="C260" s="2" t="str">
        <f>IFERROR(INDEX(Movimientos!$D$2:$D$1993,MATCH(A260&amp;"ENTRADA",Movimientos!$R$2:$R$1993,0)),"-")</f>
        <v>-</v>
      </c>
      <c r="D260" s="2" t="str">
        <f>IFERROR(INDEX(Movimientos!$E$2:$E$1993,MATCH(A260&amp;"ENTRADA",Movimientos!$R$2:$R$1993,0)),"-")</f>
        <v>-</v>
      </c>
      <c r="E260" s="2" t="str">
        <f>IFERROR(INDEX(Movimientos!$F$2:$F$1993,MATCH(A260&amp;"ENTRADA",Movimientos!$R$2:$R$1993,0)),"-")</f>
        <v>-</v>
      </c>
      <c r="F260" s="2" t="str">
        <f>IFERROR(INDEX(Movimientos!$G$2:$G$1993,MATCH(A260&amp;"ENTRADA",Movimientos!$R$2:$R$1993,0)),"-")</f>
        <v>-</v>
      </c>
      <c r="G260" s="2" t="str">
        <f>IFERROR(INDEX(Movimientos!$L$2:$L$1993,MATCH(A260&amp;"ENTRADA",Movimientos!$R$2:$R$1993,0)),"-")</f>
        <v>-</v>
      </c>
      <c r="H260" s="17" t="str">
        <f>IFERROR(IF(INDEX(Movimientos!$M$2:$M$1993,MATCH(A260&amp;"ENTRADA",Movimientos!$R$2:$R$1993,0))=0,"S/D",INDEX(Movimientos!$M$2:$M$1993,MATCH(A260&amp;"ENTRADA",Movimientos!$R$2:$R$1993,0))),"S/D")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2567</v>
      </c>
      <c r="B261" s="2" t="str">
        <f>IFERROR(INDEX(Movimientos!$C$2:$C$1993,MATCH(A261&amp;"ENTRADA",Movimientos!$R$2:$R$1993,0)),"-")</f>
        <v>-</v>
      </c>
      <c r="C261" s="2" t="str">
        <f>IFERROR(INDEX(Movimientos!$D$2:$D$1993,MATCH(A261&amp;"ENTRADA",Movimientos!$R$2:$R$1993,0)),"-")</f>
        <v>-</v>
      </c>
      <c r="D261" s="2" t="str">
        <f>IFERROR(INDEX(Movimientos!$E$2:$E$1993,MATCH(A261&amp;"ENTRADA",Movimientos!$R$2:$R$1993,0)),"-")</f>
        <v>-</v>
      </c>
      <c r="E261" s="2" t="str">
        <f>IFERROR(INDEX(Movimientos!$F$2:$F$1993,MATCH(A261&amp;"ENTRADA",Movimientos!$R$2:$R$1993,0)),"-")</f>
        <v>-</v>
      </c>
      <c r="F261" s="2" t="str">
        <f>IFERROR(INDEX(Movimientos!$G$2:$G$1993,MATCH(A261&amp;"ENTRADA",Movimientos!$R$2:$R$1993,0)),"-")</f>
        <v>-</v>
      </c>
      <c r="G261" s="2" t="str">
        <f>IFERROR(INDEX(Movimientos!$L$2:$L$1993,MATCH(A261&amp;"ENTRADA",Movimientos!$R$2:$R$1993,0)),"-")</f>
        <v>-</v>
      </c>
      <c r="H261" s="17" t="str">
        <f>IFERROR(IF(INDEX(Movimientos!$M$2:$M$1993,MATCH(A261&amp;"ENTRADA",Movimientos!$R$2:$R$1993,0))=0,"S/D",INDEX(Movimientos!$M$2:$M$1993,MATCH(A261&amp;"ENTRADA",Movimientos!$R$2:$R$1993,0))),"S/D")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2568</v>
      </c>
      <c r="B262" s="2" t="str">
        <f>IFERROR(INDEX(Movimientos!$C$2:$C$1993,MATCH(A262&amp;"ENTRADA",Movimientos!$R$2:$R$1993,0)),"-")</f>
        <v>-</v>
      </c>
      <c r="C262" s="2" t="str">
        <f>IFERROR(INDEX(Movimientos!$D$2:$D$1993,MATCH(A262&amp;"ENTRADA",Movimientos!$R$2:$R$1993,0)),"-")</f>
        <v>-</v>
      </c>
      <c r="D262" s="2" t="str">
        <f>IFERROR(INDEX(Movimientos!$E$2:$E$1993,MATCH(A262&amp;"ENTRADA",Movimientos!$R$2:$R$1993,0)),"-")</f>
        <v>-</v>
      </c>
      <c r="E262" s="2" t="str">
        <f>IFERROR(INDEX(Movimientos!$F$2:$F$1993,MATCH(A262&amp;"ENTRADA",Movimientos!$R$2:$R$1993,0)),"-")</f>
        <v>-</v>
      </c>
      <c r="F262" s="2" t="str">
        <f>IFERROR(INDEX(Movimientos!$G$2:$G$1993,MATCH(A262&amp;"ENTRADA",Movimientos!$R$2:$R$1993,0)),"-")</f>
        <v>-</v>
      </c>
      <c r="G262" s="2" t="str">
        <f>IFERROR(INDEX(Movimientos!$L$2:$L$1993,MATCH(A262&amp;"ENTRADA",Movimientos!$R$2:$R$1993,0)),"-")</f>
        <v>-</v>
      </c>
      <c r="H262" s="17" t="str">
        <f>IFERROR(IF(INDEX(Movimientos!$M$2:$M$1993,MATCH(A262&amp;"ENTRADA",Movimientos!$R$2:$R$1993,0))=0,"S/D",INDEX(Movimientos!$M$2:$M$1993,MATCH(A262&amp;"ENTRADA",Movimientos!$R$2:$R$1993,0))),"S/D")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2569</v>
      </c>
      <c r="B263" s="2" t="str">
        <f>IFERROR(INDEX(Movimientos!$C$2:$C$1993,MATCH(A263&amp;"ENTRADA",Movimientos!$R$2:$R$1993,0)),"-")</f>
        <v>-</v>
      </c>
      <c r="C263" s="2" t="str">
        <f>IFERROR(INDEX(Movimientos!$D$2:$D$1993,MATCH(A263&amp;"ENTRADA",Movimientos!$R$2:$R$1993,0)),"-")</f>
        <v>-</v>
      </c>
      <c r="D263" s="2" t="str">
        <f>IFERROR(INDEX(Movimientos!$E$2:$E$1993,MATCH(A263&amp;"ENTRADA",Movimientos!$R$2:$R$1993,0)),"-")</f>
        <v>-</v>
      </c>
      <c r="E263" s="2" t="str">
        <f>IFERROR(INDEX(Movimientos!$F$2:$F$1993,MATCH(A263&amp;"ENTRADA",Movimientos!$R$2:$R$1993,0)),"-")</f>
        <v>-</v>
      </c>
      <c r="F263" s="2" t="str">
        <f>IFERROR(INDEX(Movimientos!$G$2:$G$1993,MATCH(A263&amp;"ENTRADA",Movimientos!$R$2:$R$1993,0)),"-")</f>
        <v>-</v>
      </c>
      <c r="G263" s="2" t="str">
        <f>IFERROR(INDEX(Movimientos!$L$2:$L$1993,MATCH(A263&amp;"ENTRADA",Movimientos!$R$2:$R$1993,0)),"-")</f>
        <v>-</v>
      </c>
      <c r="H263" s="17" t="str">
        <f>IFERROR(IF(INDEX(Movimientos!$M$2:$M$1993,MATCH(A263&amp;"ENTRADA",Movimientos!$R$2:$R$1993,0))=0,"S/D",INDEX(Movimientos!$M$2:$M$1993,MATCH(A263&amp;"ENTRADA",Movimientos!$R$2:$R$1993,0))),"S/D")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2570</v>
      </c>
      <c r="B264" s="2" t="str">
        <f>IFERROR(INDEX(Movimientos!$C$2:$C$1993,MATCH(A264&amp;"ENTRADA",Movimientos!$R$2:$R$1993,0)),"-")</f>
        <v>-</v>
      </c>
      <c r="C264" s="2" t="str">
        <f>IFERROR(INDEX(Movimientos!$D$2:$D$1993,MATCH(A264&amp;"ENTRADA",Movimientos!$R$2:$R$1993,0)),"-")</f>
        <v>-</v>
      </c>
      <c r="D264" s="2" t="str">
        <f>IFERROR(INDEX(Movimientos!$E$2:$E$1993,MATCH(A264&amp;"ENTRADA",Movimientos!$R$2:$R$1993,0)),"-")</f>
        <v>-</v>
      </c>
      <c r="E264" s="2" t="str">
        <f>IFERROR(INDEX(Movimientos!$F$2:$F$1993,MATCH(A264&amp;"ENTRADA",Movimientos!$R$2:$R$1993,0)),"-")</f>
        <v>-</v>
      </c>
      <c r="F264" s="2" t="str">
        <f>IFERROR(INDEX(Movimientos!$G$2:$G$1993,MATCH(A264&amp;"ENTRADA",Movimientos!$R$2:$R$1993,0)),"-")</f>
        <v>-</v>
      </c>
      <c r="G264" s="2" t="str">
        <f>IFERROR(INDEX(Movimientos!$L$2:$L$1993,MATCH(A264&amp;"ENTRADA",Movimientos!$R$2:$R$1993,0)),"-")</f>
        <v>-</v>
      </c>
      <c r="H264" s="17" t="str">
        <f>IFERROR(IF(INDEX(Movimientos!$M$2:$M$1993,MATCH(A264&amp;"ENTRADA",Movimientos!$R$2:$R$1993,0))=0,"S/D",INDEX(Movimientos!$M$2:$M$1993,MATCH(A264&amp;"ENTRADA",Movimientos!$R$2:$R$1993,0))),"S/D")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2571</v>
      </c>
      <c r="B265" s="2" t="str">
        <f>IFERROR(INDEX(Movimientos!$C$2:$C$1993,MATCH(A265&amp;"ENTRADA",Movimientos!$R$2:$R$1993,0)),"-")</f>
        <v>-</v>
      </c>
      <c r="C265" s="2" t="str">
        <f>IFERROR(INDEX(Movimientos!$D$2:$D$1993,MATCH(A265&amp;"ENTRADA",Movimientos!$R$2:$R$1993,0)),"-")</f>
        <v>-</v>
      </c>
      <c r="D265" s="2" t="str">
        <f>IFERROR(INDEX(Movimientos!$E$2:$E$1993,MATCH(A265&amp;"ENTRADA",Movimientos!$R$2:$R$1993,0)),"-")</f>
        <v>-</v>
      </c>
      <c r="E265" s="2" t="str">
        <f>IFERROR(INDEX(Movimientos!$F$2:$F$1993,MATCH(A265&amp;"ENTRADA",Movimientos!$R$2:$R$1993,0)),"-")</f>
        <v>-</v>
      </c>
      <c r="F265" s="2" t="str">
        <f>IFERROR(INDEX(Movimientos!$G$2:$G$1993,MATCH(A265&amp;"ENTRADA",Movimientos!$R$2:$R$1993,0)),"-")</f>
        <v>-</v>
      </c>
      <c r="G265" s="2" t="str">
        <f>IFERROR(INDEX(Movimientos!$L$2:$L$1993,MATCH(A265&amp;"ENTRADA",Movimientos!$R$2:$R$1993,0)),"-")</f>
        <v>-</v>
      </c>
      <c r="H265" s="17" t="str">
        <f>IFERROR(IF(INDEX(Movimientos!$M$2:$M$1993,MATCH(A265&amp;"ENTRADA",Movimientos!$R$2:$R$1993,0))=0,"S/D",INDEX(Movimientos!$M$2:$M$1993,MATCH(A265&amp;"ENTRADA",Movimientos!$R$2:$R$1993,0))),"S/D")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2572</v>
      </c>
      <c r="B266" s="2" t="str">
        <f>IFERROR(INDEX(Movimientos!$C$2:$C$1993,MATCH(A266&amp;"ENTRADA",Movimientos!$R$2:$R$1993,0)),"-")</f>
        <v>-</v>
      </c>
      <c r="C266" s="2" t="str">
        <f>IFERROR(INDEX(Movimientos!$D$2:$D$1993,MATCH(A266&amp;"ENTRADA",Movimientos!$R$2:$R$1993,0)),"-")</f>
        <v>-</v>
      </c>
      <c r="D266" s="2" t="str">
        <f>IFERROR(INDEX(Movimientos!$E$2:$E$1993,MATCH(A266&amp;"ENTRADA",Movimientos!$R$2:$R$1993,0)),"-")</f>
        <v>-</v>
      </c>
      <c r="E266" s="2" t="str">
        <f>IFERROR(INDEX(Movimientos!$F$2:$F$1993,MATCH(A266&amp;"ENTRADA",Movimientos!$R$2:$R$1993,0)),"-")</f>
        <v>-</v>
      </c>
      <c r="F266" s="2" t="str">
        <f>IFERROR(INDEX(Movimientos!$G$2:$G$1993,MATCH(A266&amp;"ENTRADA",Movimientos!$R$2:$R$1993,0)),"-")</f>
        <v>-</v>
      </c>
      <c r="G266" s="2" t="str">
        <f>IFERROR(INDEX(Movimientos!$L$2:$L$1993,MATCH(A266&amp;"ENTRADA",Movimientos!$R$2:$R$1993,0)),"-")</f>
        <v>-</v>
      </c>
      <c r="H266" s="17" t="str">
        <f>IFERROR(IF(INDEX(Movimientos!$M$2:$M$1993,MATCH(A266&amp;"ENTRADA",Movimientos!$R$2:$R$1993,0))=0,"S/D",INDEX(Movimientos!$M$2:$M$1993,MATCH(A266&amp;"ENTRADA",Movimientos!$R$2:$R$1993,0))),"S/D")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2573</v>
      </c>
      <c r="B267" s="2" t="str">
        <f>IFERROR(INDEX(Movimientos!$C$2:$C$1993,MATCH(A267&amp;"ENTRADA",Movimientos!$R$2:$R$1993,0)),"-")</f>
        <v>-</v>
      </c>
      <c r="C267" s="2" t="str">
        <f>IFERROR(INDEX(Movimientos!$D$2:$D$1993,MATCH(A267&amp;"ENTRADA",Movimientos!$R$2:$R$1993,0)),"-")</f>
        <v>-</v>
      </c>
      <c r="D267" s="2" t="str">
        <f>IFERROR(INDEX(Movimientos!$E$2:$E$1993,MATCH(A267&amp;"ENTRADA",Movimientos!$R$2:$R$1993,0)),"-")</f>
        <v>-</v>
      </c>
      <c r="E267" s="2" t="str">
        <f>IFERROR(INDEX(Movimientos!$F$2:$F$1993,MATCH(A267&amp;"ENTRADA",Movimientos!$R$2:$R$1993,0)),"-")</f>
        <v>-</v>
      </c>
      <c r="F267" s="2" t="str">
        <f>IFERROR(INDEX(Movimientos!$G$2:$G$1993,MATCH(A267&amp;"ENTRADA",Movimientos!$R$2:$R$1993,0)),"-")</f>
        <v>-</v>
      </c>
      <c r="G267" s="2" t="str">
        <f>IFERROR(INDEX(Movimientos!$L$2:$L$1993,MATCH(A267&amp;"ENTRADA",Movimientos!$R$2:$R$1993,0)),"-")</f>
        <v>-</v>
      </c>
      <c r="H267" s="17" t="str">
        <f>IFERROR(IF(INDEX(Movimientos!$M$2:$M$1993,MATCH(A267&amp;"ENTRADA",Movimientos!$R$2:$R$1993,0))=0,"S/D",INDEX(Movimientos!$M$2:$M$1993,MATCH(A267&amp;"ENTRADA",Movimientos!$R$2:$R$1993,0))),"S/D")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2574</v>
      </c>
      <c r="B268" s="2" t="str">
        <f>IFERROR(INDEX(Movimientos!$C$2:$C$1993,MATCH(A268&amp;"ENTRADA",Movimientos!$R$2:$R$1993,0)),"-")</f>
        <v>-</v>
      </c>
      <c r="C268" s="2" t="str">
        <f>IFERROR(INDEX(Movimientos!$D$2:$D$1993,MATCH(A268&amp;"ENTRADA",Movimientos!$R$2:$R$1993,0)),"-")</f>
        <v>-</v>
      </c>
      <c r="D268" s="2" t="str">
        <f>IFERROR(INDEX(Movimientos!$E$2:$E$1993,MATCH(A268&amp;"ENTRADA",Movimientos!$R$2:$R$1993,0)),"-")</f>
        <v>-</v>
      </c>
      <c r="E268" s="2" t="str">
        <f>IFERROR(INDEX(Movimientos!$F$2:$F$1993,MATCH(A268&amp;"ENTRADA",Movimientos!$R$2:$R$1993,0)),"-")</f>
        <v>-</v>
      </c>
      <c r="F268" s="2" t="str">
        <f>IFERROR(INDEX(Movimientos!$G$2:$G$1993,MATCH(A268&amp;"ENTRADA",Movimientos!$R$2:$R$1993,0)),"-")</f>
        <v>-</v>
      </c>
      <c r="G268" s="2" t="str">
        <f>IFERROR(INDEX(Movimientos!$L$2:$L$1993,MATCH(A268&amp;"ENTRADA",Movimientos!$R$2:$R$1993,0)),"-")</f>
        <v>-</v>
      </c>
      <c r="H268" s="17" t="str">
        <f>IFERROR(IF(INDEX(Movimientos!$M$2:$M$1993,MATCH(A268&amp;"ENTRADA",Movimientos!$R$2:$R$1993,0))=0,"S/D",INDEX(Movimientos!$M$2:$M$1993,MATCH(A268&amp;"ENTRADA",Movimientos!$R$2:$R$1993,0))),"S/D")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2575</v>
      </c>
      <c r="B269" s="2" t="str">
        <f>IFERROR(INDEX(Movimientos!$C$2:$C$1993,MATCH(A269&amp;"ENTRADA",Movimientos!$R$2:$R$1993,0)),"-")</f>
        <v>-</v>
      </c>
      <c r="C269" s="2" t="str">
        <f>IFERROR(INDEX(Movimientos!$D$2:$D$1993,MATCH(A269&amp;"ENTRADA",Movimientos!$R$2:$R$1993,0)),"-")</f>
        <v>-</v>
      </c>
      <c r="D269" s="2" t="str">
        <f>IFERROR(INDEX(Movimientos!$E$2:$E$1993,MATCH(A269&amp;"ENTRADA",Movimientos!$R$2:$R$1993,0)),"-")</f>
        <v>-</v>
      </c>
      <c r="E269" s="2" t="str">
        <f>IFERROR(INDEX(Movimientos!$F$2:$F$1993,MATCH(A269&amp;"ENTRADA",Movimientos!$R$2:$R$1993,0)),"-")</f>
        <v>-</v>
      </c>
      <c r="F269" s="2" t="str">
        <f>IFERROR(INDEX(Movimientos!$G$2:$G$1993,MATCH(A269&amp;"ENTRADA",Movimientos!$R$2:$R$1993,0)),"-")</f>
        <v>-</v>
      </c>
      <c r="G269" s="2" t="str">
        <f>IFERROR(INDEX(Movimientos!$L$2:$L$1993,MATCH(A269&amp;"ENTRADA",Movimientos!$R$2:$R$1993,0)),"-")</f>
        <v>-</v>
      </c>
      <c r="H269" s="17" t="str">
        <f>IFERROR(IF(INDEX(Movimientos!$M$2:$M$1993,MATCH(A269&amp;"ENTRADA",Movimientos!$R$2:$R$1993,0))=0,"S/D",INDEX(Movimientos!$M$2:$M$1993,MATCH(A269&amp;"ENTRADA",Movimientos!$R$2:$R$1993,0))),"S/D")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2576</v>
      </c>
      <c r="B270" s="2" t="str">
        <f>IFERROR(INDEX(Movimientos!$C$2:$C$1993,MATCH(A270&amp;"ENTRADA",Movimientos!$R$2:$R$1993,0)),"-")</f>
        <v>-</v>
      </c>
      <c r="C270" s="2" t="str">
        <f>IFERROR(INDEX(Movimientos!$D$2:$D$1993,MATCH(A270&amp;"ENTRADA",Movimientos!$R$2:$R$1993,0)),"-")</f>
        <v>-</v>
      </c>
      <c r="D270" s="2" t="str">
        <f>IFERROR(INDEX(Movimientos!$E$2:$E$1993,MATCH(A270&amp;"ENTRADA",Movimientos!$R$2:$R$1993,0)),"-")</f>
        <v>-</v>
      </c>
      <c r="E270" s="2" t="str">
        <f>IFERROR(INDEX(Movimientos!$F$2:$F$1993,MATCH(A270&amp;"ENTRADA",Movimientos!$R$2:$R$1993,0)),"-")</f>
        <v>-</v>
      </c>
      <c r="F270" s="2" t="str">
        <f>IFERROR(INDEX(Movimientos!$G$2:$G$1993,MATCH(A270&amp;"ENTRADA",Movimientos!$R$2:$R$1993,0)),"-")</f>
        <v>-</v>
      </c>
      <c r="G270" s="2" t="str">
        <f>IFERROR(INDEX(Movimientos!$L$2:$L$1993,MATCH(A270&amp;"ENTRADA",Movimientos!$R$2:$R$1993,0)),"-")</f>
        <v>-</v>
      </c>
      <c r="H270" s="17" t="str">
        <f>IFERROR(IF(INDEX(Movimientos!$M$2:$M$1993,MATCH(A270&amp;"ENTRADA",Movimientos!$R$2:$R$1993,0))=0,"S/D",INDEX(Movimientos!$M$2:$M$1993,MATCH(A270&amp;"ENTRADA",Movimientos!$R$2:$R$1993,0))),"S/D")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2577</v>
      </c>
      <c r="B271" s="2" t="str">
        <f>IFERROR(INDEX(Movimientos!$C$2:$C$1993,MATCH(A271&amp;"ENTRADA",Movimientos!$R$2:$R$1993,0)),"-")</f>
        <v>-</v>
      </c>
      <c r="C271" s="2" t="str">
        <f>IFERROR(INDEX(Movimientos!$D$2:$D$1993,MATCH(A271&amp;"ENTRADA",Movimientos!$R$2:$R$1993,0)),"-")</f>
        <v>-</v>
      </c>
      <c r="D271" s="2" t="str">
        <f>IFERROR(INDEX(Movimientos!$E$2:$E$1993,MATCH(A271&amp;"ENTRADA",Movimientos!$R$2:$R$1993,0)),"-")</f>
        <v>-</v>
      </c>
      <c r="E271" s="2" t="str">
        <f>IFERROR(INDEX(Movimientos!$F$2:$F$1993,MATCH(A271&amp;"ENTRADA",Movimientos!$R$2:$R$1993,0)),"-")</f>
        <v>-</v>
      </c>
      <c r="F271" s="2" t="str">
        <f>IFERROR(INDEX(Movimientos!$G$2:$G$1993,MATCH(A271&amp;"ENTRADA",Movimientos!$R$2:$R$1993,0)),"-")</f>
        <v>-</v>
      </c>
      <c r="G271" s="2" t="str">
        <f>IFERROR(INDEX(Movimientos!$L$2:$L$1993,MATCH(A271&amp;"ENTRADA",Movimientos!$R$2:$R$1993,0)),"-")</f>
        <v>-</v>
      </c>
      <c r="H271" s="17" t="str">
        <f>IFERROR(IF(INDEX(Movimientos!$M$2:$M$1993,MATCH(A271&amp;"ENTRADA",Movimientos!$R$2:$R$1993,0))=0,"S/D",INDEX(Movimientos!$M$2:$M$1993,MATCH(A271&amp;"ENTRADA",Movimientos!$R$2:$R$1993,0))),"S/D")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2578</v>
      </c>
      <c r="B272" s="2" t="str">
        <f>IFERROR(INDEX(Movimientos!$C$2:$C$1993,MATCH(A272&amp;"ENTRADA",Movimientos!$R$2:$R$1993,0)),"-")</f>
        <v>-</v>
      </c>
      <c r="C272" s="2" t="str">
        <f>IFERROR(INDEX(Movimientos!$D$2:$D$1993,MATCH(A272&amp;"ENTRADA",Movimientos!$R$2:$R$1993,0)),"-")</f>
        <v>-</v>
      </c>
      <c r="D272" s="2" t="str">
        <f>IFERROR(INDEX(Movimientos!$E$2:$E$1993,MATCH(A272&amp;"ENTRADA",Movimientos!$R$2:$R$1993,0)),"-")</f>
        <v>-</v>
      </c>
      <c r="E272" s="2" t="str">
        <f>IFERROR(INDEX(Movimientos!$F$2:$F$1993,MATCH(A272&amp;"ENTRADA",Movimientos!$R$2:$R$1993,0)),"-")</f>
        <v>-</v>
      </c>
      <c r="F272" s="2" t="str">
        <f>IFERROR(INDEX(Movimientos!$G$2:$G$1993,MATCH(A272&amp;"ENTRADA",Movimientos!$R$2:$R$1993,0)),"-")</f>
        <v>-</v>
      </c>
      <c r="G272" s="2" t="str">
        <f>IFERROR(INDEX(Movimientos!$L$2:$L$1993,MATCH(A272&amp;"ENTRADA",Movimientos!$R$2:$R$1993,0)),"-")</f>
        <v>-</v>
      </c>
      <c r="H272" s="17" t="str">
        <f>IFERROR(IF(INDEX(Movimientos!$M$2:$M$1993,MATCH(A272&amp;"ENTRADA",Movimientos!$R$2:$R$1993,0))=0,"S/D",INDEX(Movimientos!$M$2:$M$1993,MATCH(A272&amp;"ENTRADA",Movimientos!$R$2:$R$1993,0))),"S/D")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2579</v>
      </c>
      <c r="B273" s="2" t="str">
        <f>IFERROR(INDEX(Movimientos!$C$2:$C$1993,MATCH(A273&amp;"ENTRADA",Movimientos!$R$2:$R$1993,0)),"-")</f>
        <v>-</v>
      </c>
      <c r="C273" s="2" t="str">
        <f>IFERROR(INDEX(Movimientos!$D$2:$D$1993,MATCH(A273&amp;"ENTRADA",Movimientos!$R$2:$R$1993,0)),"-")</f>
        <v>-</v>
      </c>
      <c r="D273" s="2" t="str">
        <f>IFERROR(INDEX(Movimientos!$E$2:$E$1993,MATCH(A273&amp;"ENTRADA",Movimientos!$R$2:$R$1993,0)),"-")</f>
        <v>-</v>
      </c>
      <c r="E273" s="2" t="str">
        <f>IFERROR(INDEX(Movimientos!$F$2:$F$1993,MATCH(A273&amp;"ENTRADA",Movimientos!$R$2:$R$1993,0)),"-")</f>
        <v>-</v>
      </c>
      <c r="F273" s="2" t="str">
        <f>IFERROR(INDEX(Movimientos!$G$2:$G$1993,MATCH(A273&amp;"ENTRADA",Movimientos!$R$2:$R$1993,0)),"-")</f>
        <v>-</v>
      </c>
      <c r="G273" s="2" t="str">
        <f>IFERROR(INDEX(Movimientos!$L$2:$L$1993,MATCH(A273&amp;"ENTRADA",Movimientos!$R$2:$R$1993,0)),"-")</f>
        <v>-</v>
      </c>
      <c r="H273" s="17" t="str">
        <f>IFERROR(IF(INDEX(Movimientos!$M$2:$M$1993,MATCH(A273&amp;"ENTRADA",Movimientos!$R$2:$R$1993,0))=0,"S/D",INDEX(Movimientos!$M$2:$M$1993,MATCH(A273&amp;"ENTRADA",Movimientos!$R$2:$R$1993,0))),"S/D")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2580</v>
      </c>
      <c r="B274" s="2" t="str">
        <f>IFERROR(INDEX(Movimientos!$C$2:$C$1993,MATCH(A274&amp;"ENTRADA",Movimientos!$R$2:$R$1993,0)),"-")</f>
        <v>-</v>
      </c>
      <c r="C274" s="2" t="str">
        <f>IFERROR(INDEX(Movimientos!$D$2:$D$1993,MATCH(A274&amp;"ENTRADA",Movimientos!$R$2:$R$1993,0)),"-")</f>
        <v>-</v>
      </c>
      <c r="D274" s="2" t="str">
        <f>IFERROR(INDEX(Movimientos!$E$2:$E$1993,MATCH(A274&amp;"ENTRADA",Movimientos!$R$2:$R$1993,0)),"-")</f>
        <v>-</v>
      </c>
      <c r="E274" s="2" t="str">
        <f>IFERROR(INDEX(Movimientos!$F$2:$F$1993,MATCH(A274&amp;"ENTRADA",Movimientos!$R$2:$R$1993,0)),"-")</f>
        <v>-</v>
      </c>
      <c r="F274" s="2" t="str">
        <f>IFERROR(INDEX(Movimientos!$G$2:$G$1993,MATCH(A274&amp;"ENTRADA",Movimientos!$R$2:$R$1993,0)),"-")</f>
        <v>-</v>
      </c>
      <c r="G274" s="2" t="str">
        <f>IFERROR(INDEX(Movimientos!$L$2:$L$1993,MATCH(A274&amp;"ENTRADA",Movimientos!$R$2:$R$1993,0)),"-")</f>
        <v>-</v>
      </c>
      <c r="H274" s="17" t="str">
        <f>IFERROR(IF(INDEX(Movimientos!$M$2:$M$1993,MATCH(A274&amp;"ENTRADA",Movimientos!$R$2:$R$1993,0))=0,"S/D",INDEX(Movimientos!$M$2:$M$1993,MATCH(A274&amp;"ENTRADA",Movimientos!$R$2:$R$1993,0))),"S/D")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2581</v>
      </c>
      <c r="B275" s="2" t="str">
        <f>IFERROR(INDEX(Movimientos!$C$2:$C$1993,MATCH(A275&amp;"ENTRADA",Movimientos!$R$2:$R$1993,0)),"-")</f>
        <v>-</v>
      </c>
      <c r="C275" s="2" t="str">
        <f>IFERROR(INDEX(Movimientos!$D$2:$D$1993,MATCH(A275&amp;"ENTRADA",Movimientos!$R$2:$R$1993,0)),"-")</f>
        <v>-</v>
      </c>
      <c r="D275" s="2" t="str">
        <f>IFERROR(INDEX(Movimientos!$E$2:$E$1993,MATCH(A275&amp;"ENTRADA",Movimientos!$R$2:$R$1993,0)),"-")</f>
        <v>-</v>
      </c>
      <c r="E275" s="2" t="str">
        <f>IFERROR(INDEX(Movimientos!$F$2:$F$1993,MATCH(A275&amp;"ENTRADA",Movimientos!$R$2:$R$1993,0)),"-")</f>
        <v>-</v>
      </c>
      <c r="F275" s="2" t="str">
        <f>IFERROR(INDEX(Movimientos!$G$2:$G$1993,MATCH(A275&amp;"ENTRADA",Movimientos!$R$2:$R$1993,0)),"-")</f>
        <v>-</v>
      </c>
      <c r="G275" s="2" t="str">
        <f>IFERROR(INDEX(Movimientos!$L$2:$L$1993,MATCH(A275&amp;"ENTRADA",Movimientos!$R$2:$R$1993,0)),"-")</f>
        <v>-</v>
      </c>
      <c r="H275" s="17" t="str">
        <f>IFERROR(IF(INDEX(Movimientos!$M$2:$M$1993,MATCH(A275&amp;"ENTRADA",Movimientos!$R$2:$R$1993,0))=0,"S/D",INDEX(Movimientos!$M$2:$M$1993,MATCH(A275&amp;"ENTRADA",Movimientos!$R$2:$R$1993,0))),"S/D")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2582</v>
      </c>
      <c r="B276" s="2" t="str">
        <f>IFERROR(INDEX(Movimientos!$C$2:$C$1993,MATCH(A276&amp;"ENTRADA",Movimientos!$R$2:$R$1993,0)),"-")</f>
        <v>-</v>
      </c>
      <c r="C276" s="2" t="str">
        <f>IFERROR(INDEX(Movimientos!$D$2:$D$1993,MATCH(A276&amp;"ENTRADA",Movimientos!$R$2:$R$1993,0)),"-")</f>
        <v>-</v>
      </c>
      <c r="D276" s="2" t="str">
        <f>IFERROR(INDEX(Movimientos!$E$2:$E$1993,MATCH(A276&amp;"ENTRADA",Movimientos!$R$2:$R$1993,0)),"-")</f>
        <v>-</v>
      </c>
      <c r="E276" s="2" t="str">
        <f>IFERROR(INDEX(Movimientos!$F$2:$F$1993,MATCH(A276&amp;"ENTRADA",Movimientos!$R$2:$R$1993,0)),"-")</f>
        <v>-</v>
      </c>
      <c r="F276" s="2" t="str">
        <f>IFERROR(INDEX(Movimientos!$G$2:$G$1993,MATCH(A276&amp;"ENTRADA",Movimientos!$R$2:$R$1993,0)),"-")</f>
        <v>-</v>
      </c>
      <c r="G276" s="2" t="str">
        <f>IFERROR(INDEX(Movimientos!$L$2:$L$1993,MATCH(A276&amp;"ENTRADA",Movimientos!$R$2:$R$1993,0)),"-")</f>
        <v>-</v>
      </c>
      <c r="H276" s="17" t="str">
        <f>IFERROR(IF(INDEX(Movimientos!$M$2:$M$1993,MATCH(A276&amp;"ENTRADA",Movimientos!$R$2:$R$1993,0))=0,"S/D",INDEX(Movimientos!$M$2:$M$1993,MATCH(A276&amp;"ENTRADA",Movimientos!$R$2:$R$1993,0))),"S/D")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2583</v>
      </c>
      <c r="B277" s="2" t="str">
        <f>IFERROR(INDEX(Movimientos!$C$2:$C$1993,MATCH(A277&amp;"ENTRADA",Movimientos!$R$2:$R$1993,0)),"-")</f>
        <v>-</v>
      </c>
      <c r="C277" s="2" t="str">
        <f>IFERROR(INDEX(Movimientos!$D$2:$D$1993,MATCH(A277&amp;"ENTRADA",Movimientos!$R$2:$R$1993,0)),"-")</f>
        <v>-</v>
      </c>
      <c r="D277" s="2" t="str">
        <f>IFERROR(INDEX(Movimientos!$E$2:$E$1993,MATCH(A277&amp;"ENTRADA",Movimientos!$R$2:$R$1993,0)),"-")</f>
        <v>-</v>
      </c>
      <c r="E277" s="2" t="str">
        <f>IFERROR(INDEX(Movimientos!$F$2:$F$1993,MATCH(A277&amp;"ENTRADA",Movimientos!$R$2:$R$1993,0)),"-")</f>
        <v>-</v>
      </c>
      <c r="F277" s="2" t="str">
        <f>IFERROR(INDEX(Movimientos!$G$2:$G$1993,MATCH(A277&amp;"ENTRADA",Movimientos!$R$2:$R$1993,0)),"-")</f>
        <v>-</v>
      </c>
      <c r="G277" s="2" t="str">
        <f>IFERROR(INDEX(Movimientos!$L$2:$L$1993,MATCH(A277&amp;"ENTRADA",Movimientos!$R$2:$R$1993,0)),"-")</f>
        <v>-</v>
      </c>
      <c r="H277" s="17" t="str">
        <f>IFERROR(IF(INDEX(Movimientos!$M$2:$M$1993,MATCH(A277&amp;"ENTRADA",Movimientos!$R$2:$R$1993,0))=0,"S/D",INDEX(Movimientos!$M$2:$M$1993,MATCH(A277&amp;"ENTRADA",Movimientos!$R$2:$R$1993,0))),"S/D")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2584</v>
      </c>
      <c r="B278" s="2" t="str">
        <f>IFERROR(INDEX(Movimientos!$C$2:$C$1993,MATCH(A278&amp;"ENTRADA",Movimientos!$R$2:$R$1993,0)),"-")</f>
        <v>-</v>
      </c>
      <c r="C278" s="2" t="str">
        <f>IFERROR(INDEX(Movimientos!$D$2:$D$1993,MATCH(A278&amp;"ENTRADA",Movimientos!$R$2:$R$1993,0)),"-")</f>
        <v>-</v>
      </c>
      <c r="D278" s="2" t="str">
        <f>IFERROR(INDEX(Movimientos!$E$2:$E$1993,MATCH(A278&amp;"ENTRADA",Movimientos!$R$2:$R$1993,0)),"-")</f>
        <v>-</v>
      </c>
      <c r="E278" s="2" t="str">
        <f>IFERROR(INDEX(Movimientos!$F$2:$F$1993,MATCH(A278&amp;"ENTRADA",Movimientos!$R$2:$R$1993,0)),"-")</f>
        <v>-</v>
      </c>
      <c r="F278" s="2" t="str">
        <f>IFERROR(INDEX(Movimientos!$G$2:$G$1993,MATCH(A278&amp;"ENTRADA",Movimientos!$R$2:$R$1993,0)),"-")</f>
        <v>-</v>
      </c>
      <c r="G278" s="2" t="str">
        <f>IFERROR(INDEX(Movimientos!$L$2:$L$1993,MATCH(A278&amp;"ENTRADA",Movimientos!$R$2:$R$1993,0)),"-")</f>
        <v>-</v>
      </c>
      <c r="H278" s="17" t="str">
        <f>IFERROR(IF(INDEX(Movimientos!$M$2:$M$1993,MATCH(A278&amp;"ENTRADA",Movimientos!$R$2:$R$1993,0))=0,"S/D",INDEX(Movimientos!$M$2:$M$1993,MATCH(A278&amp;"ENTRADA",Movimientos!$R$2:$R$1993,0))),"S/D")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2585</v>
      </c>
      <c r="B279" s="2" t="str">
        <f>IFERROR(INDEX(Movimientos!$C$2:$C$1993,MATCH(A279&amp;"ENTRADA",Movimientos!$R$2:$R$1993,0)),"-")</f>
        <v>-</v>
      </c>
      <c r="C279" s="2" t="str">
        <f>IFERROR(INDEX(Movimientos!$D$2:$D$1993,MATCH(A279&amp;"ENTRADA",Movimientos!$R$2:$R$1993,0)),"-")</f>
        <v>-</v>
      </c>
      <c r="D279" s="2" t="str">
        <f>IFERROR(INDEX(Movimientos!$E$2:$E$1993,MATCH(A279&amp;"ENTRADA",Movimientos!$R$2:$R$1993,0)),"-")</f>
        <v>-</v>
      </c>
      <c r="E279" s="2" t="str">
        <f>IFERROR(INDEX(Movimientos!$F$2:$F$1993,MATCH(A279&amp;"ENTRADA",Movimientos!$R$2:$R$1993,0)),"-")</f>
        <v>-</v>
      </c>
      <c r="F279" s="2" t="str">
        <f>IFERROR(INDEX(Movimientos!$G$2:$G$1993,MATCH(A279&amp;"ENTRADA",Movimientos!$R$2:$R$1993,0)),"-")</f>
        <v>-</v>
      </c>
      <c r="G279" s="2" t="str">
        <f>IFERROR(INDEX(Movimientos!$L$2:$L$1993,MATCH(A279&amp;"ENTRADA",Movimientos!$R$2:$R$1993,0)),"-")</f>
        <v>-</v>
      </c>
      <c r="H279" s="17" t="str">
        <f>IFERROR(IF(INDEX(Movimientos!$M$2:$M$1993,MATCH(A279&amp;"ENTRADA",Movimientos!$R$2:$R$1993,0))=0,"S/D",INDEX(Movimientos!$M$2:$M$1993,MATCH(A279&amp;"ENTRADA",Movimientos!$R$2:$R$1993,0))),"S/D")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2586</v>
      </c>
      <c r="B280" s="2" t="str">
        <f>IFERROR(INDEX(Movimientos!$C$2:$C$1993,MATCH(A280&amp;"ENTRADA",Movimientos!$R$2:$R$1993,0)),"-")</f>
        <v>-</v>
      </c>
      <c r="C280" s="2" t="str">
        <f>IFERROR(INDEX(Movimientos!$D$2:$D$1993,MATCH(A280&amp;"ENTRADA",Movimientos!$R$2:$R$1993,0)),"-")</f>
        <v>-</v>
      </c>
      <c r="D280" s="2" t="str">
        <f>IFERROR(INDEX(Movimientos!$E$2:$E$1993,MATCH(A280&amp;"ENTRADA",Movimientos!$R$2:$R$1993,0)),"-")</f>
        <v>-</v>
      </c>
      <c r="E280" s="2" t="str">
        <f>IFERROR(INDEX(Movimientos!$F$2:$F$1993,MATCH(A280&amp;"ENTRADA",Movimientos!$R$2:$R$1993,0)),"-")</f>
        <v>-</v>
      </c>
      <c r="F280" s="2" t="str">
        <f>IFERROR(INDEX(Movimientos!$G$2:$G$1993,MATCH(A280&amp;"ENTRADA",Movimientos!$R$2:$R$1993,0)),"-")</f>
        <v>-</v>
      </c>
      <c r="G280" s="2" t="str">
        <f>IFERROR(INDEX(Movimientos!$L$2:$L$1993,MATCH(A280&amp;"ENTRADA",Movimientos!$R$2:$R$1993,0)),"-")</f>
        <v>-</v>
      </c>
      <c r="H280" s="17" t="str">
        <f>IFERROR(IF(INDEX(Movimientos!$M$2:$M$1993,MATCH(A280&amp;"ENTRADA",Movimientos!$R$2:$R$1993,0))=0,"S/D",INDEX(Movimientos!$M$2:$M$1993,MATCH(A280&amp;"ENTRADA",Movimientos!$R$2:$R$1993,0))),"S/D")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2587</v>
      </c>
      <c r="B281" s="2" t="str">
        <f>IFERROR(INDEX(Movimientos!$C$2:$C$1993,MATCH(A281&amp;"ENTRADA",Movimientos!$R$2:$R$1993,0)),"-")</f>
        <v>-</v>
      </c>
      <c r="C281" s="2" t="str">
        <f>IFERROR(INDEX(Movimientos!$D$2:$D$1993,MATCH(A281&amp;"ENTRADA",Movimientos!$R$2:$R$1993,0)),"-")</f>
        <v>-</v>
      </c>
      <c r="D281" s="2" t="str">
        <f>IFERROR(INDEX(Movimientos!$E$2:$E$1993,MATCH(A281&amp;"ENTRADA",Movimientos!$R$2:$R$1993,0)),"-")</f>
        <v>-</v>
      </c>
      <c r="E281" s="2" t="str">
        <f>IFERROR(INDEX(Movimientos!$F$2:$F$1993,MATCH(A281&amp;"ENTRADA",Movimientos!$R$2:$R$1993,0)),"-")</f>
        <v>-</v>
      </c>
      <c r="F281" s="2" t="str">
        <f>IFERROR(INDEX(Movimientos!$G$2:$G$1993,MATCH(A281&amp;"ENTRADA",Movimientos!$R$2:$R$1993,0)),"-")</f>
        <v>-</v>
      </c>
      <c r="G281" s="2" t="str">
        <f>IFERROR(INDEX(Movimientos!$L$2:$L$1993,MATCH(A281&amp;"ENTRADA",Movimientos!$R$2:$R$1993,0)),"-")</f>
        <v>-</v>
      </c>
      <c r="H281" s="17" t="str">
        <f>IFERROR(IF(INDEX(Movimientos!$M$2:$M$1993,MATCH(A281&amp;"ENTRADA",Movimientos!$R$2:$R$1993,0))=0,"S/D",INDEX(Movimientos!$M$2:$M$1993,MATCH(A281&amp;"ENTRADA",Movimientos!$R$2:$R$1993,0))),"S/D")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2588</v>
      </c>
      <c r="B282" s="2" t="str">
        <f>IFERROR(INDEX(Movimientos!$C$2:$C$1993,MATCH(A282&amp;"ENTRADA",Movimientos!$R$2:$R$1993,0)),"-")</f>
        <v>-</v>
      </c>
      <c r="C282" s="2" t="str">
        <f>IFERROR(INDEX(Movimientos!$D$2:$D$1993,MATCH(A282&amp;"ENTRADA",Movimientos!$R$2:$R$1993,0)),"-")</f>
        <v>-</v>
      </c>
      <c r="D282" s="2" t="str">
        <f>IFERROR(INDEX(Movimientos!$E$2:$E$1993,MATCH(A282&amp;"ENTRADA",Movimientos!$R$2:$R$1993,0)),"-")</f>
        <v>-</v>
      </c>
      <c r="E282" s="2" t="str">
        <f>IFERROR(INDEX(Movimientos!$F$2:$F$1993,MATCH(A282&amp;"ENTRADA",Movimientos!$R$2:$R$1993,0)),"-")</f>
        <v>-</v>
      </c>
      <c r="F282" s="2" t="str">
        <f>IFERROR(INDEX(Movimientos!$G$2:$G$1993,MATCH(A282&amp;"ENTRADA",Movimientos!$R$2:$R$1993,0)),"-")</f>
        <v>-</v>
      </c>
      <c r="G282" s="2" t="str">
        <f>IFERROR(INDEX(Movimientos!$L$2:$L$1993,MATCH(A282&amp;"ENTRADA",Movimientos!$R$2:$R$1993,0)),"-")</f>
        <v>-</v>
      </c>
      <c r="H282" s="17" t="str">
        <f>IFERROR(IF(INDEX(Movimientos!$M$2:$M$1993,MATCH(A282&amp;"ENTRADA",Movimientos!$R$2:$R$1993,0))=0,"S/D",INDEX(Movimientos!$M$2:$M$1993,MATCH(A282&amp;"ENTRADA",Movimientos!$R$2:$R$1993,0))),"S/D")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2589</v>
      </c>
      <c r="B283" s="2" t="str">
        <f>IFERROR(INDEX(Movimientos!$C$2:$C$1993,MATCH(A283&amp;"ENTRADA",Movimientos!$R$2:$R$1993,0)),"-")</f>
        <v>-</v>
      </c>
      <c r="C283" s="2" t="str">
        <f>IFERROR(INDEX(Movimientos!$D$2:$D$1993,MATCH(A283&amp;"ENTRADA",Movimientos!$R$2:$R$1993,0)),"-")</f>
        <v>-</v>
      </c>
      <c r="D283" s="2" t="str">
        <f>IFERROR(INDEX(Movimientos!$E$2:$E$1993,MATCH(A283&amp;"ENTRADA",Movimientos!$R$2:$R$1993,0)),"-")</f>
        <v>-</v>
      </c>
      <c r="E283" s="2" t="str">
        <f>IFERROR(INDEX(Movimientos!$F$2:$F$1993,MATCH(A283&amp;"ENTRADA",Movimientos!$R$2:$R$1993,0)),"-")</f>
        <v>-</v>
      </c>
      <c r="F283" s="2" t="str">
        <f>IFERROR(INDEX(Movimientos!$G$2:$G$1993,MATCH(A283&amp;"ENTRADA",Movimientos!$R$2:$R$1993,0)),"-")</f>
        <v>-</v>
      </c>
      <c r="G283" s="2" t="str">
        <f>IFERROR(INDEX(Movimientos!$L$2:$L$1993,MATCH(A283&amp;"ENTRADA",Movimientos!$R$2:$R$1993,0)),"-")</f>
        <v>-</v>
      </c>
      <c r="H283" s="17" t="str">
        <f>IFERROR(IF(INDEX(Movimientos!$M$2:$M$1993,MATCH(A283&amp;"ENTRADA",Movimientos!$R$2:$R$1993,0))=0,"S/D",INDEX(Movimientos!$M$2:$M$1993,MATCH(A283&amp;"ENTRADA",Movimientos!$R$2:$R$1993,0))),"S/D")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2590</v>
      </c>
      <c r="B284" s="2" t="str">
        <f>IFERROR(INDEX(Movimientos!$C$2:$C$1993,MATCH(A284&amp;"ENTRADA",Movimientos!$R$2:$R$1993,0)),"-")</f>
        <v>-</v>
      </c>
      <c r="C284" s="2" t="str">
        <f>IFERROR(INDEX(Movimientos!$D$2:$D$1993,MATCH(A284&amp;"ENTRADA",Movimientos!$R$2:$R$1993,0)),"-")</f>
        <v>-</v>
      </c>
      <c r="D284" s="2" t="str">
        <f>IFERROR(INDEX(Movimientos!$E$2:$E$1993,MATCH(A284&amp;"ENTRADA",Movimientos!$R$2:$R$1993,0)),"-")</f>
        <v>-</v>
      </c>
      <c r="E284" s="2" t="str">
        <f>IFERROR(INDEX(Movimientos!$F$2:$F$1993,MATCH(A284&amp;"ENTRADA",Movimientos!$R$2:$R$1993,0)),"-")</f>
        <v>-</v>
      </c>
      <c r="F284" s="2" t="str">
        <f>IFERROR(INDEX(Movimientos!$G$2:$G$1993,MATCH(A284&amp;"ENTRADA",Movimientos!$R$2:$R$1993,0)),"-")</f>
        <v>-</v>
      </c>
      <c r="G284" s="2" t="str">
        <f>IFERROR(INDEX(Movimientos!$L$2:$L$1993,MATCH(A284&amp;"ENTRADA",Movimientos!$R$2:$R$1993,0)),"-")</f>
        <v>-</v>
      </c>
      <c r="H284" s="17" t="str">
        <f>IFERROR(IF(INDEX(Movimientos!$M$2:$M$1993,MATCH(A284&amp;"ENTRADA",Movimientos!$R$2:$R$1993,0))=0,"S/D",INDEX(Movimientos!$M$2:$M$1993,MATCH(A284&amp;"ENTRADA",Movimientos!$R$2:$R$1993,0))),"S/D")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2591</v>
      </c>
      <c r="B285" s="2" t="str">
        <f>IFERROR(INDEX(Movimientos!$C$2:$C$1993,MATCH(A285&amp;"ENTRADA",Movimientos!$R$2:$R$1993,0)),"-")</f>
        <v>-</v>
      </c>
      <c r="C285" s="2" t="str">
        <f>IFERROR(INDEX(Movimientos!$D$2:$D$1993,MATCH(A285&amp;"ENTRADA",Movimientos!$R$2:$R$1993,0)),"-")</f>
        <v>-</v>
      </c>
      <c r="D285" s="2" t="str">
        <f>IFERROR(INDEX(Movimientos!$E$2:$E$1993,MATCH(A285&amp;"ENTRADA",Movimientos!$R$2:$R$1993,0)),"-")</f>
        <v>-</v>
      </c>
      <c r="E285" s="2" t="str">
        <f>IFERROR(INDEX(Movimientos!$F$2:$F$1993,MATCH(A285&amp;"ENTRADA",Movimientos!$R$2:$R$1993,0)),"-")</f>
        <v>-</v>
      </c>
      <c r="F285" s="2" t="str">
        <f>IFERROR(INDEX(Movimientos!$G$2:$G$1993,MATCH(A285&amp;"ENTRADA",Movimientos!$R$2:$R$1993,0)),"-")</f>
        <v>-</v>
      </c>
      <c r="G285" s="2" t="str">
        <f>IFERROR(INDEX(Movimientos!$L$2:$L$1993,MATCH(A285&amp;"ENTRADA",Movimientos!$R$2:$R$1993,0)),"-")</f>
        <v>-</v>
      </c>
      <c r="H285" s="17" t="str">
        <f>IFERROR(IF(INDEX(Movimientos!$M$2:$M$1993,MATCH(A285&amp;"ENTRADA",Movimientos!$R$2:$R$1993,0))=0,"S/D",INDEX(Movimientos!$M$2:$M$1993,MATCH(A285&amp;"ENTRADA",Movimientos!$R$2:$R$1993,0))),"S/D")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2592</v>
      </c>
      <c r="B286" s="2" t="str">
        <f>IFERROR(INDEX(Movimientos!$C$2:$C$1993,MATCH(A286&amp;"ENTRADA",Movimientos!$R$2:$R$1993,0)),"-")</f>
        <v>-</v>
      </c>
      <c r="C286" s="2" t="str">
        <f>IFERROR(INDEX(Movimientos!$D$2:$D$1993,MATCH(A286&amp;"ENTRADA",Movimientos!$R$2:$R$1993,0)),"-")</f>
        <v>-</v>
      </c>
      <c r="D286" s="2" t="str">
        <f>IFERROR(INDEX(Movimientos!$E$2:$E$1993,MATCH(A286&amp;"ENTRADA",Movimientos!$R$2:$R$1993,0)),"-")</f>
        <v>-</v>
      </c>
      <c r="E286" s="2" t="str">
        <f>IFERROR(INDEX(Movimientos!$F$2:$F$1993,MATCH(A286&amp;"ENTRADA",Movimientos!$R$2:$R$1993,0)),"-")</f>
        <v>-</v>
      </c>
      <c r="F286" s="2" t="str">
        <f>IFERROR(INDEX(Movimientos!$G$2:$G$1993,MATCH(A286&amp;"ENTRADA",Movimientos!$R$2:$R$1993,0)),"-")</f>
        <v>-</v>
      </c>
      <c r="G286" s="2" t="str">
        <f>IFERROR(INDEX(Movimientos!$L$2:$L$1993,MATCH(A286&amp;"ENTRADA",Movimientos!$R$2:$R$1993,0)),"-")</f>
        <v>-</v>
      </c>
      <c r="H286" s="17" t="str">
        <f>IFERROR(IF(INDEX(Movimientos!$M$2:$M$1993,MATCH(A286&amp;"ENTRADA",Movimientos!$R$2:$R$1993,0))=0,"S/D",INDEX(Movimientos!$M$2:$M$1993,MATCH(A286&amp;"ENTRADA",Movimientos!$R$2:$R$1993,0))),"S/D")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2593</v>
      </c>
      <c r="B287" s="2" t="str">
        <f>IFERROR(INDEX(Movimientos!$C$2:$C$1993,MATCH(A287&amp;"ENTRADA",Movimientos!$R$2:$R$1993,0)),"-")</f>
        <v>-</v>
      </c>
      <c r="C287" s="2" t="str">
        <f>IFERROR(INDEX(Movimientos!$D$2:$D$1993,MATCH(A287&amp;"ENTRADA",Movimientos!$R$2:$R$1993,0)),"-")</f>
        <v>-</v>
      </c>
      <c r="D287" s="2" t="str">
        <f>IFERROR(INDEX(Movimientos!$E$2:$E$1993,MATCH(A287&amp;"ENTRADA",Movimientos!$R$2:$R$1993,0)),"-")</f>
        <v>-</v>
      </c>
      <c r="E287" s="2" t="str">
        <f>IFERROR(INDEX(Movimientos!$F$2:$F$1993,MATCH(A287&amp;"ENTRADA",Movimientos!$R$2:$R$1993,0)),"-")</f>
        <v>-</v>
      </c>
      <c r="F287" s="2" t="str">
        <f>IFERROR(INDEX(Movimientos!$G$2:$G$1993,MATCH(A287&amp;"ENTRADA",Movimientos!$R$2:$R$1993,0)),"-")</f>
        <v>-</v>
      </c>
      <c r="G287" s="2" t="str">
        <f>IFERROR(INDEX(Movimientos!$L$2:$L$1993,MATCH(A287&amp;"ENTRADA",Movimientos!$R$2:$R$1993,0)),"-")</f>
        <v>-</v>
      </c>
      <c r="H287" s="17" t="str">
        <f>IFERROR(IF(INDEX(Movimientos!$M$2:$M$1993,MATCH(A287&amp;"ENTRADA",Movimientos!$R$2:$R$1993,0))=0,"S/D",INDEX(Movimientos!$M$2:$M$1993,MATCH(A287&amp;"ENTRADA",Movimientos!$R$2:$R$1993,0))),"S/D")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2594</v>
      </c>
      <c r="B288" s="2" t="str">
        <f>IFERROR(INDEX(Movimientos!$C$2:$C$1993,MATCH(A288&amp;"ENTRADA",Movimientos!$R$2:$R$1993,0)),"-")</f>
        <v>-</v>
      </c>
      <c r="C288" s="2" t="str">
        <f>IFERROR(INDEX(Movimientos!$D$2:$D$1993,MATCH(A288&amp;"ENTRADA",Movimientos!$R$2:$R$1993,0)),"-")</f>
        <v>-</v>
      </c>
      <c r="D288" s="2" t="str">
        <f>IFERROR(INDEX(Movimientos!$E$2:$E$1993,MATCH(A288&amp;"ENTRADA",Movimientos!$R$2:$R$1993,0)),"-")</f>
        <v>-</v>
      </c>
      <c r="E288" s="2" t="str">
        <f>IFERROR(INDEX(Movimientos!$F$2:$F$1993,MATCH(A288&amp;"ENTRADA",Movimientos!$R$2:$R$1993,0)),"-")</f>
        <v>-</v>
      </c>
      <c r="F288" s="2" t="str">
        <f>IFERROR(INDEX(Movimientos!$G$2:$G$1993,MATCH(A288&amp;"ENTRADA",Movimientos!$R$2:$R$1993,0)),"-")</f>
        <v>-</v>
      </c>
      <c r="G288" s="2" t="str">
        <f>IFERROR(INDEX(Movimientos!$L$2:$L$1993,MATCH(A288&amp;"ENTRADA",Movimientos!$R$2:$R$1993,0)),"-")</f>
        <v>-</v>
      </c>
      <c r="H288" s="17" t="str">
        <f>IFERROR(IF(INDEX(Movimientos!$M$2:$M$1993,MATCH(A288&amp;"ENTRADA",Movimientos!$R$2:$R$1993,0))=0,"S/D",INDEX(Movimientos!$M$2:$M$1993,MATCH(A288&amp;"ENTRADA",Movimientos!$R$2:$R$1993,0))),"S/D")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2595</v>
      </c>
      <c r="B289" s="2" t="str">
        <f>IFERROR(INDEX(Movimientos!$C$2:$C$1993,MATCH(A289&amp;"ENTRADA",Movimientos!$R$2:$R$1993,0)),"-")</f>
        <v>-</v>
      </c>
      <c r="C289" s="2" t="str">
        <f>IFERROR(INDEX(Movimientos!$D$2:$D$1993,MATCH(A289&amp;"ENTRADA",Movimientos!$R$2:$R$1993,0)),"-")</f>
        <v>-</v>
      </c>
      <c r="D289" s="2" t="str">
        <f>IFERROR(INDEX(Movimientos!$E$2:$E$1993,MATCH(A289&amp;"ENTRADA",Movimientos!$R$2:$R$1993,0)),"-")</f>
        <v>-</v>
      </c>
      <c r="E289" s="2" t="str">
        <f>IFERROR(INDEX(Movimientos!$F$2:$F$1993,MATCH(A289&amp;"ENTRADA",Movimientos!$R$2:$R$1993,0)),"-")</f>
        <v>-</v>
      </c>
      <c r="F289" s="2" t="str">
        <f>IFERROR(INDEX(Movimientos!$G$2:$G$1993,MATCH(A289&amp;"ENTRADA",Movimientos!$R$2:$R$1993,0)),"-")</f>
        <v>-</v>
      </c>
      <c r="G289" s="2" t="str">
        <f>IFERROR(INDEX(Movimientos!$L$2:$L$1993,MATCH(A289&amp;"ENTRADA",Movimientos!$R$2:$R$1993,0)),"-")</f>
        <v>-</v>
      </c>
      <c r="H289" s="17" t="str">
        <f>IFERROR(IF(INDEX(Movimientos!$M$2:$M$1993,MATCH(A289&amp;"ENTRADA",Movimientos!$R$2:$R$1993,0))=0,"S/D",INDEX(Movimientos!$M$2:$M$1993,MATCH(A289&amp;"ENTRADA",Movimientos!$R$2:$R$1993,0))),"S/D")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2596</v>
      </c>
      <c r="B290" s="2" t="str">
        <f>IFERROR(INDEX(Movimientos!$C$2:$C$1993,MATCH(A290&amp;"ENTRADA",Movimientos!$R$2:$R$1993,0)),"-")</f>
        <v>-</v>
      </c>
      <c r="C290" s="2" t="str">
        <f>IFERROR(INDEX(Movimientos!$D$2:$D$1993,MATCH(A290&amp;"ENTRADA",Movimientos!$R$2:$R$1993,0)),"-")</f>
        <v>-</v>
      </c>
      <c r="D290" s="2" t="str">
        <f>IFERROR(INDEX(Movimientos!$E$2:$E$1993,MATCH(A290&amp;"ENTRADA",Movimientos!$R$2:$R$1993,0)),"-")</f>
        <v>-</v>
      </c>
      <c r="E290" s="2" t="str">
        <f>IFERROR(INDEX(Movimientos!$F$2:$F$1993,MATCH(A290&amp;"ENTRADA",Movimientos!$R$2:$R$1993,0)),"-")</f>
        <v>-</v>
      </c>
      <c r="F290" s="2" t="str">
        <f>IFERROR(INDEX(Movimientos!$G$2:$G$1993,MATCH(A290&amp;"ENTRADA",Movimientos!$R$2:$R$1993,0)),"-")</f>
        <v>-</v>
      </c>
      <c r="G290" s="2" t="str">
        <f>IFERROR(INDEX(Movimientos!$L$2:$L$1993,MATCH(A290&amp;"ENTRADA",Movimientos!$R$2:$R$1993,0)),"-")</f>
        <v>-</v>
      </c>
      <c r="H290" s="17" t="str">
        <f>IFERROR(IF(INDEX(Movimientos!$M$2:$M$1993,MATCH(A290&amp;"ENTRADA",Movimientos!$R$2:$R$1993,0))=0,"S/D",INDEX(Movimientos!$M$2:$M$1993,MATCH(A290&amp;"ENTRADA",Movimientos!$R$2:$R$1993,0))),"S/D")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2597</v>
      </c>
      <c r="B291" s="2" t="str">
        <f>IFERROR(INDEX(Movimientos!$C$2:$C$1993,MATCH(A291&amp;"ENTRADA",Movimientos!$R$2:$R$1993,0)),"-")</f>
        <v>-</v>
      </c>
      <c r="C291" s="2" t="str">
        <f>IFERROR(INDEX(Movimientos!$D$2:$D$1993,MATCH(A291&amp;"ENTRADA",Movimientos!$R$2:$R$1993,0)),"-")</f>
        <v>-</v>
      </c>
      <c r="D291" s="2" t="str">
        <f>IFERROR(INDEX(Movimientos!$E$2:$E$1993,MATCH(A291&amp;"ENTRADA",Movimientos!$R$2:$R$1993,0)),"-")</f>
        <v>-</v>
      </c>
      <c r="E291" s="2" t="str">
        <f>IFERROR(INDEX(Movimientos!$F$2:$F$1993,MATCH(A291&amp;"ENTRADA",Movimientos!$R$2:$R$1993,0)),"-")</f>
        <v>-</v>
      </c>
      <c r="F291" s="2" t="str">
        <f>IFERROR(INDEX(Movimientos!$G$2:$G$1993,MATCH(A291&amp;"ENTRADA",Movimientos!$R$2:$R$1993,0)),"-")</f>
        <v>-</v>
      </c>
      <c r="G291" s="2" t="str">
        <f>IFERROR(INDEX(Movimientos!$L$2:$L$1993,MATCH(A291&amp;"ENTRADA",Movimientos!$R$2:$R$1993,0)),"-")</f>
        <v>-</v>
      </c>
      <c r="H291" s="17" t="str">
        <f>IFERROR(IF(INDEX(Movimientos!$M$2:$M$1993,MATCH(A291&amp;"ENTRADA",Movimientos!$R$2:$R$1993,0))=0,"S/D",INDEX(Movimientos!$M$2:$M$1993,MATCH(A291&amp;"ENTRADA",Movimientos!$R$2:$R$1993,0))),"S/D")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2598</v>
      </c>
      <c r="B292" s="2" t="str">
        <f>IFERROR(INDEX(Movimientos!$C$2:$C$1993,MATCH(A292&amp;"ENTRADA",Movimientos!$R$2:$R$1993,0)),"-")</f>
        <v>-</v>
      </c>
      <c r="C292" s="2" t="str">
        <f>IFERROR(INDEX(Movimientos!$D$2:$D$1993,MATCH(A292&amp;"ENTRADA",Movimientos!$R$2:$R$1993,0)),"-")</f>
        <v>-</v>
      </c>
      <c r="D292" s="2" t="str">
        <f>IFERROR(INDEX(Movimientos!$E$2:$E$1993,MATCH(A292&amp;"ENTRADA",Movimientos!$R$2:$R$1993,0)),"-")</f>
        <v>-</v>
      </c>
      <c r="E292" s="2" t="str">
        <f>IFERROR(INDEX(Movimientos!$F$2:$F$1993,MATCH(A292&amp;"ENTRADA",Movimientos!$R$2:$R$1993,0)),"-")</f>
        <v>-</v>
      </c>
      <c r="F292" s="2" t="str">
        <f>IFERROR(INDEX(Movimientos!$G$2:$G$1993,MATCH(A292&amp;"ENTRADA",Movimientos!$R$2:$R$1993,0)),"-")</f>
        <v>-</v>
      </c>
      <c r="G292" s="2" t="str">
        <f>IFERROR(INDEX(Movimientos!$L$2:$L$1993,MATCH(A292&amp;"ENTRADA",Movimientos!$R$2:$R$1993,0)),"-")</f>
        <v>-</v>
      </c>
      <c r="H292" s="17" t="str">
        <f>IFERROR(IF(INDEX(Movimientos!$M$2:$M$1993,MATCH(A292&amp;"ENTRADA",Movimientos!$R$2:$R$1993,0))=0,"S/D",INDEX(Movimientos!$M$2:$M$1993,MATCH(A292&amp;"ENTRADA",Movimientos!$R$2:$R$1993,0))),"S/D")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2599</v>
      </c>
      <c r="B293" s="2" t="str">
        <f>IFERROR(INDEX(Movimientos!$C$2:$C$1993,MATCH(A293&amp;"ENTRADA",Movimientos!$R$2:$R$1993,0)),"-")</f>
        <v>-</v>
      </c>
      <c r="C293" s="2" t="str">
        <f>IFERROR(INDEX(Movimientos!$D$2:$D$1993,MATCH(A293&amp;"ENTRADA",Movimientos!$R$2:$R$1993,0)),"-")</f>
        <v>-</v>
      </c>
      <c r="D293" s="2" t="str">
        <f>IFERROR(INDEX(Movimientos!$E$2:$E$1993,MATCH(A293&amp;"ENTRADA",Movimientos!$R$2:$R$1993,0)),"-")</f>
        <v>-</v>
      </c>
      <c r="E293" s="2" t="str">
        <f>IFERROR(INDEX(Movimientos!$F$2:$F$1993,MATCH(A293&amp;"ENTRADA",Movimientos!$R$2:$R$1993,0)),"-")</f>
        <v>-</v>
      </c>
      <c r="F293" s="2" t="str">
        <f>IFERROR(INDEX(Movimientos!$G$2:$G$1993,MATCH(A293&amp;"ENTRADA",Movimientos!$R$2:$R$1993,0)),"-")</f>
        <v>-</v>
      </c>
      <c r="G293" s="2" t="str">
        <f>IFERROR(INDEX(Movimientos!$L$2:$L$1993,MATCH(A293&amp;"ENTRADA",Movimientos!$R$2:$R$1993,0)),"-")</f>
        <v>-</v>
      </c>
      <c r="H293" s="17" t="str">
        <f>IFERROR(IF(INDEX(Movimientos!$M$2:$M$1993,MATCH(A293&amp;"ENTRADA",Movimientos!$R$2:$R$1993,0))=0,"S/D",INDEX(Movimientos!$M$2:$M$1993,MATCH(A293&amp;"ENTRADA",Movimientos!$R$2:$R$1993,0))),"S/D")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2600</v>
      </c>
      <c r="B294" s="2" t="str">
        <f>IFERROR(INDEX(Movimientos!$C$2:$C$1993,MATCH(A294&amp;"ENTRADA",Movimientos!$R$2:$R$1993,0)),"-")</f>
        <v>-</v>
      </c>
      <c r="C294" s="2" t="str">
        <f>IFERROR(INDEX(Movimientos!$D$2:$D$1993,MATCH(A294&amp;"ENTRADA",Movimientos!$R$2:$R$1993,0)),"-")</f>
        <v>-</v>
      </c>
      <c r="D294" s="2" t="str">
        <f>IFERROR(INDEX(Movimientos!$E$2:$E$1993,MATCH(A294&amp;"ENTRADA",Movimientos!$R$2:$R$1993,0)),"-")</f>
        <v>-</v>
      </c>
      <c r="E294" s="2" t="str">
        <f>IFERROR(INDEX(Movimientos!$F$2:$F$1993,MATCH(A294&amp;"ENTRADA",Movimientos!$R$2:$R$1993,0)),"-")</f>
        <v>-</v>
      </c>
      <c r="F294" s="2" t="str">
        <f>IFERROR(INDEX(Movimientos!$G$2:$G$1993,MATCH(A294&amp;"ENTRADA",Movimientos!$R$2:$R$1993,0)),"-")</f>
        <v>-</v>
      </c>
      <c r="G294" s="2" t="str">
        <f>IFERROR(INDEX(Movimientos!$L$2:$L$1993,MATCH(A294&amp;"ENTRADA",Movimientos!$R$2:$R$1993,0)),"-")</f>
        <v>-</v>
      </c>
      <c r="H294" s="17" t="str">
        <f>IFERROR(IF(INDEX(Movimientos!$M$2:$M$1993,MATCH(A294&amp;"ENTRADA",Movimientos!$R$2:$R$1993,0))=0,"S/D",INDEX(Movimientos!$M$2:$M$1993,MATCH(A294&amp;"ENTRADA",Movimientos!$R$2:$R$1993,0))),"S/D")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2601</v>
      </c>
      <c r="B295" s="2" t="str">
        <f>IFERROR(INDEX(Movimientos!$C$2:$C$1993,MATCH(A295&amp;"ENTRADA",Movimientos!$R$2:$R$1993,0)),"-")</f>
        <v>-</v>
      </c>
      <c r="C295" s="2" t="str">
        <f>IFERROR(INDEX(Movimientos!$D$2:$D$1993,MATCH(A295&amp;"ENTRADA",Movimientos!$R$2:$R$1993,0)),"-")</f>
        <v>-</v>
      </c>
      <c r="D295" s="2" t="str">
        <f>IFERROR(INDEX(Movimientos!$E$2:$E$1993,MATCH(A295&amp;"ENTRADA",Movimientos!$R$2:$R$1993,0)),"-")</f>
        <v>-</v>
      </c>
      <c r="E295" s="2" t="str">
        <f>IFERROR(INDEX(Movimientos!$F$2:$F$1993,MATCH(A295&amp;"ENTRADA",Movimientos!$R$2:$R$1993,0)),"-")</f>
        <v>-</v>
      </c>
      <c r="F295" s="2" t="str">
        <f>IFERROR(INDEX(Movimientos!$G$2:$G$1993,MATCH(A295&amp;"ENTRADA",Movimientos!$R$2:$R$1993,0)),"-")</f>
        <v>-</v>
      </c>
      <c r="G295" s="2" t="str">
        <f>IFERROR(INDEX(Movimientos!$L$2:$L$1993,MATCH(A295&amp;"ENTRADA",Movimientos!$R$2:$R$1993,0)),"-")</f>
        <v>-</v>
      </c>
      <c r="H295" s="17" t="str">
        <f>IFERROR(IF(INDEX(Movimientos!$M$2:$M$1993,MATCH(A295&amp;"ENTRADA",Movimientos!$R$2:$R$1993,0))=0,"S/D",INDEX(Movimientos!$M$2:$M$1993,MATCH(A295&amp;"ENTRADA",Movimientos!$R$2:$R$1993,0))),"S/D")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2602</v>
      </c>
      <c r="B296" s="2" t="str">
        <f>IFERROR(INDEX(Movimientos!$C$2:$C$1993,MATCH(A296&amp;"ENTRADA",Movimientos!$R$2:$R$1993,0)),"-")</f>
        <v>-</v>
      </c>
      <c r="C296" s="2" t="str">
        <f>IFERROR(INDEX(Movimientos!$D$2:$D$1993,MATCH(A296&amp;"ENTRADA",Movimientos!$R$2:$R$1993,0)),"-")</f>
        <v>-</v>
      </c>
      <c r="D296" s="2" t="str">
        <f>IFERROR(INDEX(Movimientos!$E$2:$E$1993,MATCH(A296&amp;"ENTRADA",Movimientos!$R$2:$R$1993,0)),"-")</f>
        <v>-</v>
      </c>
      <c r="E296" s="2" t="str">
        <f>IFERROR(INDEX(Movimientos!$F$2:$F$1993,MATCH(A296&amp;"ENTRADA",Movimientos!$R$2:$R$1993,0)),"-")</f>
        <v>-</v>
      </c>
      <c r="F296" s="2" t="str">
        <f>IFERROR(INDEX(Movimientos!$G$2:$G$1993,MATCH(A296&amp;"ENTRADA",Movimientos!$R$2:$R$1993,0)),"-")</f>
        <v>-</v>
      </c>
      <c r="G296" s="2" t="str">
        <f>IFERROR(INDEX(Movimientos!$L$2:$L$1993,MATCH(A296&amp;"ENTRADA",Movimientos!$R$2:$R$1993,0)),"-")</f>
        <v>-</v>
      </c>
      <c r="H296" s="17" t="str">
        <f>IFERROR(IF(INDEX(Movimientos!$M$2:$M$1993,MATCH(A296&amp;"ENTRADA",Movimientos!$R$2:$R$1993,0))=0,"S/D",INDEX(Movimientos!$M$2:$M$1993,MATCH(A296&amp;"ENTRADA",Movimientos!$R$2:$R$1993,0))),"S/D")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2603</v>
      </c>
      <c r="B297" s="2" t="str">
        <f>IFERROR(INDEX(Movimientos!$C$2:$C$1993,MATCH(A297&amp;"ENTRADA",Movimientos!$R$2:$R$1993,0)),"-")</f>
        <v>-</v>
      </c>
      <c r="C297" s="2" t="str">
        <f>IFERROR(INDEX(Movimientos!$D$2:$D$1993,MATCH(A297&amp;"ENTRADA",Movimientos!$R$2:$R$1993,0)),"-")</f>
        <v>-</v>
      </c>
      <c r="D297" s="2" t="str">
        <f>IFERROR(INDEX(Movimientos!$E$2:$E$1993,MATCH(A297&amp;"ENTRADA",Movimientos!$R$2:$R$1993,0)),"-")</f>
        <v>-</v>
      </c>
      <c r="E297" s="2" t="str">
        <f>IFERROR(INDEX(Movimientos!$F$2:$F$1993,MATCH(A297&amp;"ENTRADA",Movimientos!$R$2:$R$1993,0)),"-")</f>
        <v>-</v>
      </c>
      <c r="F297" s="2" t="str">
        <f>IFERROR(INDEX(Movimientos!$G$2:$G$1993,MATCH(A297&amp;"ENTRADA",Movimientos!$R$2:$R$1993,0)),"-")</f>
        <v>-</v>
      </c>
      <c r="G297" s="2" t="str">
        <f>IFERROR(INDEX(Movimientos!$L$2:$L$1993,MATCH(A297&amp;"ENTRADA",Movimientos!$R$2:$R$1993,0)),"-")</f>
        <v>-</v>
      </c>
      <c r="H297" s="17" t="str">
        <f>IFERROR(IF(INDEX(Movimientos!$M$2:$M$1993,MATCH(A297&amp;"ENTRADA",Movimientos!$R$2:$R$1993,0))=0,"S/D",INDEX(Movimientos!$M$2:$M$1993,MATCH(A297&amp;"ENTRADA",Movimientos!$R$2:$R$1993,0))),"S/D")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2604</v>
      </c>
      <c r="B298" s="2" t="str">
        <f>IFERROR(INDEX(Movimientos!$C$2:$C$1993,MATCH(A298&amp;"ENTRADA",Movimientos!$R$2:$R$1993,0)),"-")</f>
        <v>-</v>
      </c>
      <c r="C298" s="2" t="str">
        <f>IFERROR(INDEX(Movimientos!$D$2:$D$1993,MATCH(A298&amp;"ENTRADA",Movimientos!$R$2:$R$1993,0)),"-")</f>
        <v>-</v>
      </c>
      <c r="D298" s="2" t="str">
        <f>IFERROR(INDEX(Movimientos!$E$2:$E$1993,MATCH(A298&amp;"ENTRADA",Movimientos!$R$2:$R$1993,0)),"-")</f>
        <v>-</v>
      </c>
      <c r="E298" s="2" t="str">
        <f>IFERROR(INDEX(Movimientos!$F$2:$F$1993,MATCH(A298&amp;"ENTRADA",Movimientos!$R$2:$R$1993,0)),"-")</f>
        <v>-</v>
      </c>
      <c r="F298" s="2" t="str">
        <f>IFERROR(INDEX(Movimientos!$G$2:$G$1993,MATCH(A298&amp;"ENTRADA",Movimientos!$R$2:$R$1993,0)),"-")</f>
        <v>-</v>
      </c>
      <c r="G298" s="2" t="str">
        <f>IFERROR(INDEX(Movimientos!$L$2:$L$1993,MATCH(A298&amp;"ENTRADA",Movimientos!$R$2:$R$1993,0)),"-")</f>
        <v>-</v>
      </c>
      <c r="H298" s="17" t="str">
        <f>IFERROR(IF(INDEX(Movimientos!$M$2:$M$1993,MATCH(A298&amp;"ENTRADA",Movimientos!$R$2:$R$1993,0))=0,"S/D",INDEX(Movimientos!$M$2:$M$1993,MATCH(A298&amp;"ENTRADA",Movimientos!$R$2:$R$1993,0))),"S/D")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2605</v>
      </c>
      <c r="B299" s="2" t="str">
        <f>IFERROR(INDEX(Movimientos!$C$2:$C$1993,MATCH(A299&amp;"ENTRADA",Movimientos!$R$2:$R$1993,0)),"-")</f>
        <v>-</v>
      </c>
      <c r="C299" s="2" t="str">
        <f>IFERROR(INDEX(Movimientos!$D$2:$D$1993,MATCH(A299&amp;"ENTRADA",Movimientos!$R$2:$R$1993,0)),"-")</f>
        <v>-</v>
      </c>
      <c r="D299" s="2" t="str">
        <f>IFERROR(INDEX(Movimientos!$E$2:$E$1993,MATCH(A299&amp;"ENTRADA",Movimientos!$R$2:$R$1993,0)),"-")</f>
        <v>-</v>
      </c>
      <c r="E299" s="2" t="str">
        <f>IFERROR(INDEX(Movimientos!$F$2:$F$1993,MATCH(A299&amp;"ENTRADA",Movimientos!$R$2:$R$1993,0)),"-")</f>
        <v>-</v>
      </c>
      <c r="F299" s="2" t="str">
        <f>IFERROR(INDEX(Movimientos!$G$2:$G$1993,MATCH(A299&amp;"ENTRADA",Movimientos!$R$2:$R$1993,0)),"-")</f>
        <v>-</v>
      </c>
      <c r="G299" s="2" t="str">
        <f>IFERROR(INDEX(Movimientos!$L$2:$L$1993,MATCH(A299&amp;"ENTRADA",Movimientos!$R$2:$R$1993,0)),"-")</f>
        <v>-</v>
      </c>
      <c r="H299" s="17" t="str">
        <f>IFERROR(IF(INDEX(Movimientos!$M$2:$M$1993,MATCH(A299&amp;"ENTRADA",Movimientos!$R$2:$R$1993,0))=0,"S/D",INDEX(Movimientos!$M$2:$M$1993,MATCH(A299&amp;"ENTRADA",Movimientos!$R$2:$R$1993,0))),"S/D")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2606</v>
      </c>
      <c r="B300" s="2" t="str">
        <f>IFERROR(INDEX(Movimientos!$C$2:$C$1993,MATCH(A300&amp;"ENTRADA",Movimientos!$R$2:$R$1993,0)),"-")</f>
        <v>-</v>
      </c>
      <c r="C300" s="2" t="str">
        <f>IFERROR(INDEX(Movimientos!$D$2:$D$1993,MATCH(A300&amp;"ENTRADA",Movimientos!$R$2:$R$1993,0)),"-")</f>
        <v>-</v>
      </c>
      <c r="D300" s="2" t="str">
        <f>IFERROR(INDEX(Movimientos!$E$2:$E$1993,MATCH(A300&amp;"ENTRADA",Movimientos!$R$2:$R$1993,0)),"-")</f>
        <v>-</v>
      </c>
      <c r="E300" s="2" t="str">
        <f>IFERROR(INDEX(Movimientos!$F$2:$F$1993,MATCH(A300&amp;"ENTRADA",Movimientos!$R$2:$R$1993,0)),"-")</f>
        <v>-</v>
      </c>
      <c r="F300" s="2" t="str">
        <f>IFERROR(INDEX(Movimientos!$G$2:$G$1993,MATCH(A300&amp;"ENTRADA",Movimientos!$R$2:$R$1993,0)),"-")</f>
        <v>-</v>
      </c>
      <c r="G300" s="2" t="str">
        <f>IFERROR(INDEX(Movimientos!$L$2:$L$1993,MATCH(A300&amp;"ENTRADA",Movimientos!$R$2:$R$1993,0)),"-")</f>
        <v>-</v>
      </c>
      <c r="H300" s="17" t="str">
        <f>IFERROR(IF(INDEX(Movimientos!$M$2:$M$1993,MATCH(A300&amp;"ENTRADA",Movimientos!$R$2:$R$1993,0))=0,"S/D",INDEX(Movimientos!$M$2:$M$1993,MATCH(A300&amp;"ENTRADA",Movimientos!$R$2:$R$1993,0))),"S/D")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2607</v>
      </c>
      <c r="B301" s="2" t="str">
        <f>IFERROR(INDEX(Movimientos!$C$2:$C$1993,MATCH(A301&amp;"ENTRADA",Movimientos!$R$2:$R$1993,0)),"-")</f>
        <v>-</v>
      </c>
      <c r="C301" s="2" t="str">
        <f>IFERROR(INDEX(Movimientos!$D$2:$D$1993,MATCH(A301&amp;"ENTRADA",Movimientos!$R$2:$R$1993,0)),"-")</f>
        <v>-</v>
      </c>
      <c r="D301" s="2" t="str">
        <f>IFERROR(INDEX(Movimientos!$E$2:$E$1993,MATCH(A301&amp;"ENTRADA",Movimientos!$R$2:$R$1993,0)),"-")</f>
        <v>-</v>
      </c>
      <c r="E301" s="2" t="str">
        <f>IFERROR(INDEX(Movimientos!$F$2:$F$1993,MATCH(A301&amp;"ENTRADA",Movimientos!$R$2:$R$1993,0)),"-")</f>
        <v>-</v>
      </c>
      <c r="F301" s="2" t="str">
        <f>IFERROR(INDEX(Movimientos!$G$2:$G$1993,MATCH(A301&amp;"ENTRADA",Movimientos!$R$2:$R$1993,0)),"-")</f>
        <v>-</v>
      </c>
      <c r="G301" s="2" t="str">
        <f>IFERROR(INDEX(Movimientos!$L$2:$L$1993,MATCH(A301&amp;"ENTRADA",Movimientos!$R$2:$R$1993,0)),"-")</f>
        <v>-</v>
      </c>
      <c r="H301" s="17" t="str">
        <f>IFERROR(IF(INDEX(Movimientos!$M$2:$M$1993,MATCH(A301&amp;"ENTRADA",Movimientos!$R$2:$R$1993,0))=0,"S/D",INDEX(Movimientos!$M$2:$M$1993,MATCH(A301&amp;"ENTRADA",Movimientos!$R$2:$R$1993,0))),"S/D")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2608</v>
      </c>
      <c r="B302" s="2" t="str">
        <f>IFERROR(INDEX(Movimientos!$C$2:$C$1993,MATCH(A302&amp;"ENTRADA",Movimientos!$R$2:$R$1993,0)),"-")</f>
        <v>-</v>
      </c>
      <c r="C302" s="2" t="str">
        <f>IFERROR(INDEX(Movimientos!$D$2:$D$1993,MATCH(A302&amp;"ENTRADA",Movimientos!$R$2:$R$1993,0)),"-")</f>
        <v>-</v>
      </c>
      <c r="D302" s="2" t="str">
        <f>IFERROR(INDEX(Movimientos!$E$2:$E$1993,MATCH(A302&amp;"ENTRADA",Movimientos!$R$2:$R$1993,0)),"-")</f>
        <v>-</v>
      </c>
      <c r="E302" s="2" t="str">
        <f>IFERROR(INDEX(Movimientos!$F$2:$F$1993,MATCH(A302&amp;"ENTRADA",Movimientos!$R$2:$R$1993,0)),"-")</f>
        <v>-</v>
      </c>
      <c r="F302" s="2" t="str">
        <f>IFERROR(INDEX(Movimientos!$G$2:$G$1993,MATCH(A302&amp;"ENTRADA",Movimientos!$R$2:$R$1993,0)),"-")</f>
        <v>-</v>
      </c>
      <c r="G302" s="2" t="str">
        <f>IFERROR(INDEX(Movimientos!$L$2:$L$1993,MATCH(A302&amp;"ENTRADA",Movimientos!$R$2:$R$1993,0)),"-")</f>
        <v>-</v>
      </c>
      <c r="H302" s="17" t="str">
        <f>IFERROR(IF(INDEX(Movimientos!$M$2:$M$1993,MATCH(A302&amp;"ENTRADA",Movimientos!$R$2:$R$1993,0))=0,"S/D",INDEX(Movimientos!$M$2:$M$1993,MATCH(A302&amp;"ENTRADA",Movimientos!$R$2:$R$1993,0))),"S/D")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2609</v>
      </c>
      <c r="B303" s="2" t="str">
        <f>IFERROR(INDEX(Movimientos!$C$2:$C$1993,MATCH(A303&amp;"ENTRADA",Movimientos!$R$2:$R$1993,0)),"-")</f>
        <v>-</v>
      </c>
      <c r="C303" s="2" t="str">
        <f>IFERROR(INDEX(Movimientos!$D$2:$D$1993,MATCH(A303&amp;"ENTRADA",Movimientos!$R$2:$R$1993,0)),"-")</f>
        <v>-</v>
      </c>
      <c r="D303" s="2" t="str">
        <f>IFERROR(INDEX(Movimientos!$E$2:$E$1993,MATCH(A303&amp;"ENTRADA",Movimientos!$R$2:$R$1993,0)),"-")</f>
        <v>-</v>
      </c>
      <c r="E303" s="2" t="str">
        <f>IFERROR(INDEX(Movimientos!$F$2:$F$1993,MATCH(A303&amp;"ENTRADA",Movimientos!$R$2:$R$1993,0)),"-")</f>
        <v>-</v>
      </c>
      <c r="F303" s="2" t="str">
        <f>IFERROR(INDEX(Movimientos!$G$2:$G$1993,MATCH(A303&amp;"ENTRADA",Movimientos!$R$2:$R$1993,0)),"-")</f>
        <v>-</v>
      </c>
      <c r="G303" s="2" t="str">
        <f>IFERROR(INDEX(Movimientos!$L$2:$L$1993,MATCH(A303&amp;"ENTRADA",Movimientos!$R$2:$R$1993,0)),"-")</f>
        <v>-</v>
      </c>
      <c r="H303" s="17" t="str">
        <f>IFERROR(IF(INDEX(Movimientos!$M$2:$M$1993,MATCH(A303&amp;"ENTRADA",Movimientos!$R$2:$R$1993,0))=0,"S/D",INDEX(Movimientos!$M$2:$M$1993,MATCH(A303&amp;"ENTRADA",Movimientos!$R$2:$R$1993,0))),"S/D")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2610</v>
      </c>
      <c r="B304" s="2" t="str">
        <f>IFERROR(INDEX(Movimientos!$C$2:$C$1993,MATCH(A304&amp;"ENTRADA",Movimientos!$R$2:$R$1993,0)),"-")</f>
        <v>-</v>
      </c>
      <c r="C304" s="2" t="str">
        <f>IFERROR(INDEX(Movimientos!$D$2:$D$1993,MATCH(A304&amp;"ENTRADA",Movimientos!$R$2:$R$1993,0)),"-")</f>
        <v>-</v>
      </c>
      <c r="D304" s="2" t="str">
        <f>IFERROR(INDEX(Movimientos!$E$2:$E$1993,MATCH(A304&amp;"ENTRADA",Movimientos!$R$2:$R$1993,0)),"-")</f>
        <v>-</v>
      </c>
      <c r="E304" s="2" t="str">
        <f>IFERROR(INDEX(Movimientos!$F$2:$F$1993,MATCH(A304&amp;"ENTRADA",Movimientos!$R$2:$R$1993,0)),"-")</f>
        <v>-</v>
      </c>
      <c r="F304" s="2" t="str">
        <f>IFERROR(INDEX(Movimientos!$G$2:$G$1993,MATCH(A304&amp;"ENTRADA",Movimientos!$R$2:$R$1993,0)),"-")</f>
        <v>-</v>
      </c>
      <c r="G304" s="2" t="str">
        <f>IFERROR(INDEX(Movimientos!$L$2:$L$1993,MATCH(A304&amp;"ENTRADA",Movimientos!$R$2:$R$1993,0)),"-")</f>
        <v>-</v>
      </c>
      <c r="H304" s="17" t="str">
        <f>IFERROR(IF(INDEX(Movimientos!$M$2:$M$1993,MATCH(A304&amp;"ENTRADA",Movimientos!$R$2:$R$1993,0))=0,"S/D",INDEX(Movimientos!$M$2:$M$1993,MATCH(A304&amp;"ENTRADA",Movimientos!$R$2:$R$1993,0))),"S/D")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2611</v>
      </c>
      <c r="B305" s="2" t="str">
        <f>IFERROR(INDEX(Movimientos!$C$2:$C$1993,MATCH(A305&amp;"ENTRADA",Movimientos!$R$2:$R$1993,0)),"-")</f>
        <v>-</v>
      </c>
      <c r="C305" s="2" t="str">
        <f>IFERROR(INDEX(Movimientos!$D$2:$D$1993,MATCH(A305&amp;"ENTRADA",Movimientos!$R$2:$R$1993,0)),"-")</f>
        <v>-</v>
      </c>
      <c r="D305" s="2" t="str">
        <f>IFERROR(INDEX(Movimientos!$E$2:$E$1993,MATCH(A305&amp;"ENTRADA",Movimientos!$R$2:$R$1993,0)),"-")</f>
        <v>-</v>
      </c>
      <c r="E305" s="2" t="str">
        <f>IFERROR(INDEX(Movimientos!$F$2:$F$1993,MATCH(A305&amp;"ENTRADA",Movimientos!$R$2:$R$1993,0)),"-")</f>
        <v>-</v>
      </c>
      <c r="F305" s="2" t="str">
        <f>IFERROR(INDEX(Movimientos!$G$2:$G$1993,MATCH(A305&amp;"ENTRADA",Movimientos!$R$2:$R$1993,0)),"-")</f>
        <v>-</v>
      </c>
      <c r="G305" s="2" t="str">
        <f>IFERROR(INDEX(Movimientos!$L$2:$L$1993,MATCH(A305&amp;"ENTRADA",Movimientos!$R$2:$R$1993,0)),"-")</f>
        <v>-</v>
      </c>
      <c r="H305" s="17" t="str">
        <f>IFERROR(IF(INDEX(Movimientos!$M$2:$M$1993,MATCH(A305&amp;"ENTRADA",Movimientos!$R$2:$R$1993,0))=0,"S/D",INDEX(Movimientos!$M$2:$M$1993,MATCH(A305&amp;"ENTRADA",Movimientos!$R$2:$R$1993,0))),"S/D")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2612</v>
      </c>
      <c r="B306" s="2" t="str">
        <f>IFERROR(INDEX(Movimientos!$C$2:$C$1993,MATCH(A306&amp;"ENTRADA",Movimientos!$R$2:$R$1993,0)),"-")</f>
        <v>-</v>
      </c>
      <c r="C306" s="2" t="str">
        <f>IFERROR(INDEX(Movimientos!$D$2:$D$1993,MATCH(A306&amp;"ENTRADA",Movimientos!$R$2:$R$1993,0)),"-")</f>
        <v>-</v>
      </c>
      <c r="D306" s="2" t="str">
        <f>IFERROR(INDEX(Movimientos!$E$2:$E$1993,MATCH(A306&amp;"ENTRADA",Movimientos!$R$2:$R$1993,0)),"-")</f>
        <v>-</v>
      </c>
      <c r="E306" s="2" t="str">
        <f>IFERROR(INDEX(Movimientos!$F$2:$F$1993,MATCH(A306&amp;"ENTRADA",Movimientos!$R$2:$R$1993,0)),"-")</f>
        <v>-</v>
      </c>
      <c r="F306" s="2" t="str">
        <f>IFERROR(INDEX(Movimientos!$G$2:$G$1993,MATCH(A306&amp;"ENTRADA",Movimientos!$R$2:$R$1993,0)),"-")</f>
        <v>-</v>
      </c>
      <c r="G306" s="2" t="str">
        <f>IFERROR(INDEX(Movimientos!$L$2:$L$1993,MATCH(A306&amp;"ENTRADA",Movimientos!$R$2:$R$1993,0)),"-")</f>
        <v>-</v>
      </c>
      <c r="H306" s="17" t="str">
        <f>IFERROR(IF(INDEX(Movimientos!$M$2:$M$1993,MATCH(A306&amp;"ENTRADA",Movimientos!$R$2:$R$1993,0))=0,"S/D",INDEX(Movimientos!$M$2:$M$1993,MATCH(A306&amp;"ENTRADA",Movimientos!$R$2:$R$1993,0))),"S/D")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2613</v>
      </c>
      <c r="B307" s="2" t="str">
        <f>IFERROR(INDEX(Movimientos!$C$2:$C$1993,MATCH(A307&amp;"ENTRADA",Movimientos!$R$2:$R$1993,0)),"-")</f>
        <v>-</v>
      </c>
      <c r="C307" s="2" t="str">
        <f>IFERROR(INDEX(Movimientos!$D$2:$D$1993,MATCH(A307&amp;"ENTRADA",Movimientos!$R$2:$R$1993,0)),"-")</f>
        <v>-</v>
      </c>
      <c r="D307" s="2" t="str">
        <f>IFERROR(INDEX(Movimientos!$E$2:$E$1993,MATCH(A307&amp;"ENTRADA",Movimientos!$R$2:$R$1993,0)),"-")</f>
        <v>-</v>
      </c>
      <c r="E307" s="2" t="str">
        <f>IFERROR(INDEX(Movimientos!$F$2:$F$1993,MATCH(A307&amp;"ENTRADA",Movimientos!$R$2:$R$1993,0)),"-")</f>
        <v>-</v>
      </c>
      <c r="F307" s="2" t="str">
        <f>IFERROR(INDEX(Movimientos!$G$2:$G$1993,MATCH(A307&amp;"ENTRADA",Movimientos!$R$2:$R$1993,0)),"-")</f>
        <v>-</v>
      </c>
      <c r="G307" s="2" t="str">
        <f>IFERROR(INDEX(Movimientos!$L$2:$L$1993,MATCH(A307&amp;"ENTRADA",Movimientos!$R$2:$R$1993,0)),"-")</f>
        <v>-</v>
      </c>
      <c r="H307" s="17" t="str">
        <f>IFERROR(IF(INDEX(Movimientos!$M$2:$M$1993,MATCH(A307&amp;"ENTRADA",Movimientos!$R$2:$R$1993,0))=0,"S/D",INDEX(Movimientos!$M$2:$M$1993,MATCH(A307&amp;"ENTRADA",Movimientos!$R$2:$R$1993,0))),"S/D")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2614</v>
      </c>
      <c r="B308" s="2" t="str">
        <f>IFERROR(INDEX(Movimientos!$C$2:$C$1993,MATCH(A308&amp;"ENTRADA",Movimientos!$R$2:$R$1993,0)),"-")</f>
        <v>-</v>
      </c>
      <c r="C308" s="2" t="str">
        <f>IFERROR(INDEX(Movimientos!$D$2:$D$1993,MATCH(A308&amp;"ENTRADA",Movimientos!$R$2:$R$1993,0)),"-")</f>
        <v>-</v>
      </c>
      <c r="D308" s="2" t="str">
        <f>IFERROR(INDEX(Movimientos!$E$2:$E$1993,MATCH(A308&amp;"ENTRADA",Movimientos!$R$2:$R$1993,0)),"-")</f>
        <v>-</v>
      </c>
      <c r="E308" s="2" t="str">
        <f>IFERROR(INDEX(Movimientos!$F$2:$F$1993,MATCH(A308&amp;"ENTRADA",Movimientos!$R$2:$R$1993,0)),"-")</f>
        <v>-</v>
      </c>
      <c r="F308" s="2" t="str">
        <f>IFERROR(INDEX(Movimientos!$G$2:$G$1993,MATCH(A308&amp;"ENTRADA",Movimientos!$R$2:$R$1993,0)),"-")</f>
        <v>-</v>
      </c>
      <c r="G308" s="2" t="str">
        <f>IFERROR(INDEX(Movimientos!$L$2:$L$1993,MATCH(A308&amp;"ENTRADA",Movimientos!$R$2:$R$1993,0)),"-")</f>
        <v>-</v>
      </c>
      <c r="H308" s="17" t="str">
        <f>IFERROR(IF(INDEX(Movimientos!$M$2:$M$1993,MATCH(A308&amp;"ENTRADA",Movimientos!$R$2:$R$1993,0))=0,"S/D",INDEX(Movimientos!$M$2:$M$1993,MATCH(A308&amp;"ENTRADA",Movimientos!$R$2:$R$1993,0))),"S/D")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2615</v>
      </c>
      <c r="B309" s="2" t="str">
        <f>IFERROR(INDEX(Movimientos!$C$2:$C$1993,MATCH(A309&amp;"ENTRADA",Movimientos!$R$2:$R$1993,0)),"-")</f>
        <v>-</v>
      </c>
      <c r="C309" s="2" t="str">
        <f>IFERROR(INDEX(Movimientos!$D$2:$D$1993,MATCH(A309&amp;"ENTRADA",Movimientos!$R$2:$R$1993,0)),"-")</f>
        <v>-</v>
      </c>
      <c r="D309" s="2" t="str">
        <f>IFERROR(INDEX(Movimientos!$E$2:$E$1993,MATCH(A309&amp;"ENTRADA",Movimientos!$R$2:$R$1993,0)),"-")</f>
        <v>-</v>
      </c>
      <c r="E309" s="2" t="str">
        <f>IFERROR(INDEX(Movimientos!$F$2:$F$1993,MATCH(A309&amp;"ENTRADA",Movimientos!$R$2:$R$1993,0)),"-")</f>
        <v>-</v>
      </c>
      <c r="F309" s="2" t="str">
        <f>IFERROR(INDEX(Movimientos!$G$2:$G$1993,MATCH(A309&amp;"ENTRADA",Movimientos!$R$2:$R$1993,0)),"-")</f>
        <v>-</v>
      </c>
      <c r="G309" s="2" t="str">
        <f>IFERROR(INDEX(Movimientos!$L$2:$L$1993,MATCH(A309&amp;"ENTRADA",Movimientos!$R$2:$R$1993,0)),"-")</f>
        <v>-</v>
      </c>
      <c r="H309" s="17" t="str">
        <f>IFERROR(IF(INDEX(Movimientos!$M$2:$M$1993,MATCH(A309&amp;"ENTRADA",Movimientos!$R$2:$R$1993,0))=0,"S/D",INDEX(Movimientos!$M$2:$M$1993,MATCH(A309&amp;"ENTRADA",Movimientos!$R$2:$R$1993,0))),"S/D")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2616</v>
      </c>
      <c r="B310" s="2" t="str">
        <f>IFERROR(INDEX(Movimientos!$C$2:$C$1993,MATCH(A310&amp;"ENTRADA",Movimientos!$R$2:$R$1993,0)),"-")</f>
        <v>-</v>
      </c>
      <c r="C310" s="2" t="str">
        <f>IFERROR(INDEX(Movimientos!$D$2:$D$1993,MATCH(A310&amp;"ENTRADA",Movimientos!$R$2:$R$1993,0)),"-")</f>
        <v>-</v>
      </c>
      <c r="D310" s="2" t="str">
        <f>IFERROR(INDEX(Movimientos!$E$2:$E$1993,MATCH(A310&amp;"ENTRADA",Movimientos!$R$2:$R$1993,0)),"-")</f>
        <v>-</v>
      </c>
      <c r="E310" s="2" t="str">
        <f>IFERROR(INDEX(Movimientos!$F$2:$F$1993,MATCH(A310&amp;"ENTRADA",Movimientos!$R$2:$R$1993,0)),"-")</f>
        <v>-</v>
      </c>
      <c r="F310" s="2" t="str">
        <f>IFERROR(INDEX(Movimientos!$G$2:$G$1993,MATCH(A310&amp;"ENTRADA",Movimientos!$R$2:$R$1993,0)),"-")</f>
        <v>-</v>
      </c>
      <c r="G310" s="2" t="str">
        <f>IFERROR(INDEX(Movimientos!$L$2:$L$1993,MATCH(A310&amp;"ENTRADA",Movimientos!$R$2:$R$1993,0)),"-")</f>
        <v>-</v>
      </c>
      <c r="H310" s="17" t="str">
        <f>IFERROR(IF(INDEX(Movimientos!$M$2:$M$1993,MATCH(A310&amp;"ENTRADA",Movimientos!$R$2:$R$1993,0))=0,"S/D",INDEX(Movimientos!$M$2:$M$1993,MATCH(A310&amp;"ENTRADA",Movimientos!$R$2:$R$1993,0))),"S/D")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2617</v>
      </c>
      <c r="B311" s="2" t="str">
        <f>IFERROR(INDEX(Movimientos!$C$2:$C$1993,MATCH(A311&amp;"ENTRADA",Movimientos!$R$2:$R$1993,0)),"-")</f>
        <v>-</v>
      </c>
      <c r="C311" s="2" t="str">
        <f>IFERROR(INDEX(Movimientos!$D$2:$D$1993,MATCH(A311&amp;"ENTRADA",Movimientos!$R$2:$R$1993,0)),"-")</f>
        <v>-</v>
      </c>
      <c r="D311" s="2" t="str">
        <f>IFERROR(INDEX(Movimientos!$E$2:$E$1993,MATCH(A311&amp;"ENTRADA",Movimientos!$R$2:$R$1993,0)),"-")</f>
        <v>-</v>
      </c>
      <c r="E311" s="2" t="str">
        <f>IFERROR(INDEX(Movimientos!$F$2:$F$1993,MATCH(A311&amp;"ENTRADA",Movimientos!$R$2:$R$1993,0)),"-")</f>
        <v>-</v>
      </c>
      <c r="F311" s="2" t="str">
        <f>IFERROR(INDEX(Movimientos!$G$2:$G$1993,MATCH(A311&amp;"ENTRADA",Movimientos!$R$2:$R$1993,0)),"-")</f>
        <v>-</v>
      </c>
      <c r="G311" s="2" t="str">
        <f>IFERROR(INDEX(Movimientos!$L$2:$L$1993,MATCH(A311&amp;"ENTRADA",Movimientos!$R$2:$R$1993,0)),"-")</f>
        <v>-</v>
      </c>
      <c r="H311" s="17" t="str">
        <f>IFERROR(IF(INDEX(Movimientos!$M$2:$M$1993,MATCH(A311&amp;"ENTRADA",Movimientos!$R$2:$R$1993,0))=0,"S/D",INDEX(Movimientos!$M$2:$M$1993,MATCH(A311&amp;"ENTRADA",Movimientos!$R$2:$R$1993,0))),"S/D")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2618</v>
      </c>
      <c r="B312" s="2" t="str">
        <f>IFERROR(INDEX(Movimientos!$C$2:$C$1993,MATCH(A312&amp;"ENTRADA",Movimientos!$R$2:$R$1993,0)),"-")</f>
        <v>-</v>
      </c>
      <c r="C312" s="2" t="str">
        <f>IFERROR(INDEX(Movimientos!$D$2:$D$1993,MATCH(A312&amp;"ENTRADA",Movimientos!$R$2:$R$1993,0)),"-")</f>
        <v>-</v>
      </c>
      <c r="D312" s="2" t="str">
        <f>IFERROR(INDEX(Movimientos!$E$2:$E$1993,MATCH(A312&amp;"ENTRADA",Movimientos!$R$2:$R$1993,0)),"-")</f>
        <v>-</v>
      </c>
      <c r="E312" s="2" t="str">
        <f>IFERROR(INDEX(Movimientos!$F$2:$F$1993,MATCH(A312&amp;"ENTRADA",Movimientos!$R$2:$R$1993,0)),"-")</f>
        <v>-</v>
      </c>
      <c r="F312" s="2" t="str">
        <f>IFERROR(INDEX(Movimientos!$G$2:$G$1993,MATCH(A312&amp;"ENTRADA",Movimientos!$R$2:$R$1993,0)),"-")</f>
        <v>-</v>
      </c>
      <c r="G312" s="2" t="str">
        <f>IFERROR(INDEX(Movimientos!$L$2:$L$1993,MATCH(A312&amp;"ENTRADA",Movimientos!$R$2:$R$1993,0)),"-")</f>
        <v>-</v>
      </c>
      <c r="H312" s="17" t="str">
        <f>IFERROR(IF(INDEX(Movimientos!$M$2:$M$1993,MATCH(A312&amp;"ENTRADA",Movimientos!$R$2:$R$1993,0))=0,"S/D",INDEX(Movimientos!$M$2:$M$1993,MATCH(A312&amp;"ENTRADA",Movimientos!$R$2:$R$1993,0))),"S/D")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2619</v>
      </c>
      <c r="B313" s="2" t="str">
        <f>IFERROR(INDEX(Movimientos!$C$2:$C$1993,MATCH(A313&amp;"ENTRADA",Movimientos!$R$2:$R$1993,0)),"-")</f>
        <v>-</v>
      </c>
      <c r="C313" s="2" t="str">
        <f>IFERROR(INDEX(Movimientos!$D$2:$D$1993,MATCH(A313&amp;"ENTRADA",Movimientos!$R$2:$R$1993,0)),"-")</f>
        <v>-</v>
      </c>
      <c r="D313" s="2" t="str">
        <f>IFERROR(INDEX(Movimientos!$E$2:$E$1993,MATCH(A313&amp;"ENTRADA",Movimientos!$R$2:$R$1993,0)),"-")</f>
        <v>-</v>
      </c>
      <c r="E313" s="2" t="str">
        <f>IFERROR(INDEX(Movimientos!$F$2:$F$1993,MATCH(A313&amp;"ENTRADA",Movimientos!$R$2:$R$1993,0)),"-")</f>
        <v>-</v>
      </c>
      <c r="F313" s="2" t="str">
        <f>IFERROR(INDEX(Movimientos!$G$2:$G$1993,MATCH(A313&amp;"ENTRADA",Movimientos!$R$2:$R$1993,0)),"-")</f>
        <v>-</v>
      </c>
      <c r="G313" s="2" t="str">
        <f>IFERROR(INDEX(Movimientos!$L$2:$L$1993,MATCH(A313&amp;"ENTRADA",Movimientos!$R$2:$R$1993,0)),"-")</f>
        <v>-</v>
      </c>
      <c r="H313" s="17" t="str">
        <f>IFERROR(IF(INDEX(Movimientos!$M$2:$M$1993,MATCH(A313&amp;"ENTRADA",Movimientos!$R$2:$R$1993,0))=0,"S/D",INDEX(Movimientos!$M$2:$M$1993,MATCH(A313&amp;"ENTRADA",Movimientos!$R$2:$R$1993,0))),"S/D")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2620</v>
      </c>
      <c r="B314" s="2" t="str">
        <f>IFERROR(INDEX(Movimientos!$C$2:$C$1993,MATCH(A314&amp;"ENTRADA",Movimientos!$R$2:$R$1993,0)),"-")</f>
        <v>-</v>
      </c>
      <c r="C314" s="2" t="str">
        <f>IFERROR(INDEX(Movimientos!$D$2:$D$1993,MATCH(A314&amp;"ENTRADA",Movimientos!$R$2:$R$1993,0)),"-")</f>
        <v>-</v>
      </c>
      <c r="D314" s="2" t="str">
        <f>IFERROR(INDEX(Movimientos!$E$2:$E$1993,MATCH(A314&amp;"ENTRADA",Movimientos!$R$2:$R$1993,0)),"-")</f>
        <v>-</v>
      </c>
      <c r="E314" s="2" t="str">
        <f>IFERROR(INDEX(Movimientos!$F$2:$F$1993,MATCH(A314&amp;"ENTRADA",Movimientos!$R$2:$R$1993,0)),"-")</f>
        <v>-</v>
      </c>
      <c r="F314" s="2" t="str">
        <f>IFERROR(INDEX(Movimientos!$G$2:$G$1993,MATCH(A314&amp;"ENTRADA",Movimientos!$R$2:$R$1993,0)),"-")</f>
        <v>-</v>
      </c>
      <c r="G314" s="2" t="str">
        <f>IFERROR(INDEX(Movimientos!$L$2:$L$1993,MATCH(A314&amp;"ENTRADA",Movimientos!$R$2:$R$1993,0)),"-")</f>
        <v>-</v>
      </c>
      <c r="H314" s="17" t="str">
        <f>IFERROR(IF(INDEX(Movimientos!$M$2:$M$1993,MATCH(A314&amp;"ENTRADA",Movimientos!$R$2:$R$1993,0))=0,"S/D",INDEX(Movimientos!$M$2:$M$1993,MATCH(A314&amp;"ENTRADA",Movimientos!$R$2:$R$1993,0))),"S/D")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2621</v>
      </c>
      <c r="B315" s="2" t="str">
        <f>IFERROR(INDEX(Movimientos!$C$2:$C$1993,MATCH(A315&amp;"ENTRADA",Movimientos!$R$2:$R$1993,0)),"-")</f>
        <v>-</v>
      </c>
      <c r="C315" s="2" t="str">
        <f>IFERROR(INDEX(Movimientos!$D$2:$D$1993,MATCH(A315&amp;"ENTRADA",Movimientos!$R$2:$R$1993,0)),"-")</f>
        <v>-</v>
      </c>
      <c r="D315" s="2" t="str">
        <f>IFERROR(INDEX(Movimientos!$E$2:$E$1993,MATCH(A315&amp;"ENTRADA",Movimientos!$R$2:$R$1993,0)),"-")</f>
        <v>-</v>
      </c>
      <c r="E315" s="2" t="str">
        <f>IFERROR(INDEX(Movimientos!$F$2:$F$1993,MATCH(A315&amp;"ENTRADA",Movimientos!$R$2:$R$1993,0)),"-")</f>
        <v>-</v>
      </c>
      <c r="F315" s="2" t="str">
        <f>IFERROR(INDEX(Movimientos!$G$2:$G$1993,MATCH(A315&amp;"ENTRADA",Movimientos!$R$2:$R$1993,0)),"-")</f>
        <v>-</v>
      </c>
      <c r="G315" s="2" t="str">
        <f>IFERROR(INDEX(Movimientos!$L$2:$L$1993,MATCH(A315&amp;"ENTRADA",Movimientos!$R$2:$R$1993,0)),"-")</f>
        <v>-</v>
      </c>
      <c r="H315" s="17" t="str">
        <f>IFERROR(IF(INDEX(Movimientos!$M$2:$M$1993,MATCH(A315&amp;"ENTRADA",Movimientos!$R$2:$R$1993,0))=0,"S/D",INDEX(Movimientos!$M$2:$M$1993,MATCH(A315&amp;"ENTRADA",Movimientos!$R$2:$R$1993,0))),"S/D")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2622</v>
      </c>
      <c r="B316" s="2" t="str">
        <f>IFERROR(INDEX(Movimientos!$C$2:$C$1993,MATCH(A316&amp;"ENTRADA",Movimientos!$R$2:$R$1993,0)),"-")</f>
        <v>-</v>
      </c>
      <c r="C316" s="2" t="str">
        <f>IFERROR(INDEX(Movimientos!$D$2:$D$1993,MATCH(A316&amp;"ENTRADA",Movimientos!$R$2:$R$1993,0)),"-")</f>
        <v>-</v>
      </c>
      <c r="D316" s="2" t="str">
        <f>IFERROR(INDEX(Movimientos!$E$2:$E$1993,MATCH(A316&amp;"ENTRADA",Movimientos!$R$2:$R$1993,0)),"-")</f>
        <v>-</v>
      </c>
      <c r="E316" s="2" t="str">
        <f>IFERROR(INDEX(Movimientos!$F$2:$F$1993,MATCH(A316&amp;"ENTRADA",Movimientos!$R$2:$R$1993,0)),"-")</f>
        <v>-</v>
      </c>
      <c r="F316" s="2" t="str">
        <f>IFERROR(INDEX(Movimientos!$G$2:$G$1993,MATCH(A316&amp;"ENTRADA",Movimientos!$R$2:$R$1993,0)),"-")</f>
        <v>-</v>
      </c>
      <c r="G316" s="2" t="str">
        <f>IFERROR(INDEX(Movimientos!$L$2:$L$1993,MATCH(A316&amp;"ENTRADA",Movimientos!$R$2:$R$1993,0)),"-")</f>
        <v>-</v>
      </c>
      <c r="H316" s="17" t="str">
        <f>IFERROR(IF(INDEX(Movimientos!$M$2:$M$1993,MATCH(A316&amp;"ENTRADA",Movimientos!$R$2:$R$1993,0))=0,"S/D",INDEX(Movimientos!$M$2:$M$1993,MATCH(A316&amp;"ENTRADA",Movimientos!$R$2:$R$1993,0))),"S/D")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2623</v>
      </c>
      <c r="B317" s="2" t="str">
        <f>IFERROR(INDEX(Movimientos!$C$2:$C$1993,MATCH(A317&amp;"ENTRADA",Movimientos!$R$2:$R$1993,0)),"-")</f>
        <v>-</v>
      </c>
      <c r="C317" s="2" t="str">
        <f>IFERROR(INDEX(Movimientos!$D$2:$D$1993,MATCH(A317&amp;"ENTRADA",Movimientos!$R$2:$R$1993,0)),"-")</f>
        <v>-</v>
      </c>
      <c r="D317" s="2" t="str">
        <f>IFERROR(INDEX(Movimientos!$E$2:$E$1993,MATCH(A317&amp;"ENTRADA",Movimientos!$R$2:$R$1993,0)),"-")</f>
        <v>-</v>
      </c>
      <c r="E317" s="2" t="str">
        <f>IFERROR(INDEX(Movimientos!$F$2:$F$1993,MATCH(A317&amp;"ENTRADA",Movimientos!$R$2:$R$1993,0)),"-")</f>
        <v>-</v>
      </c>
      <c r="F317" s="2" t="str">
        <f>IFERROR(INDEX(Movimientos!$G$2:$G$1993,MATCH(A317&amp;"ENTRADA",Movimientos!$R$2:$R$1993,0)),"-")</f>
        <v>-</v>
      </c>
      <c r="G317" s="2" t="str">
        <f>IFERROR(INDEX(Movimientos!$L$2:$L$1993,MATCH(A317&amp;"ENTRADA",Movimientos!$R$2:$R$1993,0)),"-")</f>
        <v>-</v>
      </c>
      <c r="H317" s="17" t="str">
        <f>IFERROR(IF(INDEX(Movimientos!$M$2:$M$1993,MATCH(A317&amp;"ENTRADA",Movimientos!$R$2:$R$1993,0))=0,"S/D",INDEX(Movimientos!$M$2:$M$1993,MATCH(A317&amp;"ENTRADA",Movimientos!$R$2:$R$1993,0))),"S/D")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2624</v>
      </c>
      <c r="B318" s="2" t="str">
        <f>IFERROR(INDEX(Movimientos!$C$2:$C$1993,MATCH(A318&amp;"ENTRADA",Movimientos!$R$2:$R$1993,0)),"-")</f>
        <v>-</v>
      </c>
      <c r="C318" s="2" t="str">
        <f>IFERROR(INDEX(Movimientos!$D$2:$D$1993,MATCH(A318&amp;"ENTRADA",Movimientos!$R$2:$R$1993,0)),"-")</f>
        <v>-</v>
      </c>
      <c r="D318" s="2" t="str">
        <f>IFERROR(INDEX(Movimientos!$E$2:$E$1993,MATCH(A318&amp;"ENTRADA",Movimientos!$R$2:$R$1993,0)),"-")</f>
        <v>-</v>
      </c>
      <c r="E318" s="2" t="str">
        <f>IFERROR(INDEX(Movimientos!$F$2:$F$1993,MATCH(A318&amp;"ENTRADA",Movimientos!$R$2:$R$1993,0)),"-")</f>
        <v>-</v>
      </c>
      <c r="F318" s="2" t="str">
        <f>IFERROR(INDEX(Movimientos!$G$2:$G$1993,MATCH(A318&amp;"ENTRADA",Movimientos!$R$2:$R$1993,0)),"-")</f>
        <v>-</v>
      </c>
      <c r="G318" s="2" t="str">
        <f>IFERROR(INDEX(Movimientos!$L$2:$L$1993,MATCH(A318&amp;"ENTRADA",Movimientos!$R$2:$R$1993,0)),"-")</f>
        <v>-</v>
      </c>
      <c r="H318" s="17" t="str">
        <f>IFERROR(IF(INDEX(Movimientos!$M$2:$M$1993,MATCH(A318&amp;"ENTRADA",Movimientos!$R$2:$R$1993,0))=0,"S/D",INDEX(Movimientos!$M$2:$M$1993,MATCH(A318&amp;"ENTRADA",Movimientos!$R$2:$R$1993,0))),"S/D")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2625</v>
      </c>
      <c r="B319" s="2" t="str">
        <f>IFERROR(INDEX(Movimientos!$C$2:$C$1993,MATCH(A319&amp;"ENTRADA",Movimientos!$R$2:$R$1993,0)),"-")</f>
        <v>-</v>
      </c>
      <c r="C319" s="2" t="str">
        <f>IFERROR(INDEX(Movimientos!$D$2:$D$1993,MATCH(A319&amp;"ENTRADA",Movimientos!$R$2:$R$1993,0)),"-")</f>
        <v>-</v>
      </c>
      <c r="D319" s="2" t="str">
        <f>IFERROR(INDEX(Movimientos!$E$2:$E$1993,MATCH(A319&amp;"ENTRADA",Movimientos!$R$2:$R$1993,0)),"-")</f>
        <v>-</v>
      </c>
      <c r="E319" s="2" t="str">
        <f>IFERROR(INDEX(Movimientos!$F$2:$F$1993,MATCH(A319&amp;"ENTRADA",Movimientos!$R$2:$R$1993,0)),"-")</f>
        <v>-</v>
      </c>
      <c r="F319" s="2" t="str">
        <f>IFERROR(INDEX(Movimientos!$G$2:$G$1993,MATCH(A319&amp;"ENTRADA",Movimientos!$R$2:$R$1993,0)),"-")</f>
        <v>-</v>
      </c>
      <c r="G319" s="2" t="str">
        <f>IFERROR(INDEX(Movimientos!$L$2:$L$1993,MATCH(A319&amp;"ENTRADA",Movimientos!$R$2:$R$1993,0)),"-")</f>
        <v>-</v>
      </c>
      <c r="H319" s="17" t="str">
        <f>IFERROR(IF(INDEX(Movimientos!$M$2:$M$1993,MATCH(A319&amp;"ENTRADA",Movimientos!$R$2:$R$1993,0))=0,"S/D",INDEX(Movimientos!$M$2:$M$1993,MATCH(A319&amp;"ENTRADA",Movimientos!$R$2:$R$1993,0))),"S/D")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2626</v>
      </c>
      <c r="B320" s="2" t="str">
        <f>IFERROR(INDEX(Movimientos!$C$2:$C$1993,MATCH(A320&amp;"ENTRADA",Movimientos!$R$2:$R$1993,0)),"-")</f>
        <v>-</v>
      </c>
      <c r="C320" s="2" t="str">
        <f>IFERROR(INDEX(Movimientos!$D$2:$D$1993,MATCH(A320&amp;"ENTRADA",Movimientos!$R$2:$R$1993,0)),"-")</f>
        <v>-</v>
      </c>
      <c r="D320" s="2" t="str">
        <f>IFERROR(INDEX(Movimientos!$E$2:$E$1993,MATCH(A320&amp;"ENTRADA",Movimientos!$R$2:$R$1993,0)),"-")</f>
        <v>-</v>
      </c>
      <c r="E320" s="2" t="str">
        <f>IFERROR(INDEX(Movimientos!$F$2:$F$1993,MATCH(A320&amp;"ENTRADA",Movimientos!$R$2:$R$1993,0)),"-")</f>
        <v>-</v>
      </c>
      <c r="F320" s="2" t="str">
        <f>IFERROR(INDEX(Movimientos!$G$2:$G$1993,MATCH(A320&amp;"ENTRADA",Movimientos!$R$2:$R$1993,0)),"-")</f>
        <v>-</v>
      </c>
      <c r="G320" s="2" t="str">
        <f>IFERROR(INDEX(Movimientos!$L$2:$L$1993,MATCH(A320&amp;"ENTRADA",Movimientos!$R$2:$R$1993,0)),"-")</f>
        <v>-</v>
      </c>
      <c r="H320" s="17" t="str">
        <f>IFERROR(IF(INDEX(Movimientos!$M$2:$M$1993,MATCH(A320&amp;"ENTRADA",Movimientos!$R$2:$R$1993,0))=0,"S/D",INDEX(Movimientos!$M$2:$M$1993,MATCH(A320&amp;"ENTRADA",Movimientos!$R$2:$R$1993,0))),"S/D")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2627</v>
      </c>
      <c r="B321" s="2" t="str">
        <f>IFERROR(INDEX(Movimientos!$C$2:$C$1993,MATCH(A321&amp;"ENTRADA",Movimientos!$R$2:$R$1993,0)),"-")</f>
        <v>-</v>
      </c>
      <c r="C321" s="2" t="str">
        <f>IFERROR(INDEX(Movimientos!$D$2:$D$1993,MATCH(A321&amp;"ENTRADA",Movimientos!$R$2:$R$1993,0)),"-")</f>
        <v>-</v>
      </c>
      <c r="D321" s="2" t="str">
        <f>IFERROR(INDEX(Movimientos!$E$2:$E$1993,MATCH(A321&amp;"ENTRADA",Movimientos!$R$2:$R$1993,0)),"-")</f>
        <v>-</v>
      </c>
      <c r="E321" s="2" t="str">
        <f>IFERROR(INDEX(Movimientos!$F$2:$F$1993,MATCH(A321&amp;"ENTRADA",Movimientos!$R$2:$R$1993,0)),"-")</f>
        <v>-</v>
      </c>
      <c r="F321" s="2" t="str">
        <f>IFERROR(INDEX(Movimientos!$G$2:$G$1993,MATCH(A321&amp;"ENTRADA",Movimientos!$R$2:$R$1993,0)),"-")</f>
        <v>-</v>
      </c>
      <c r="G321" s="2" t="str">
        <f>IFERROR(INDEX(Movimientos!$L$2:$L$1993,MATCH(A321&amp;"ENTRADA",Movimientos!$R$2:$R$1993,0)),"-")</f>
        <v>-</v>
      </c>
      <c r="H321" s="17" t="str">
        <f>IFERROR(IF(INDEX(Movimientos!$M$2:$M$1993,MATCH(A321&amp;"ENTRADA",Movimientos!$R$2:$R$1993,0))=0,"S/D",INDEX(Movimientos!$M$2:$M$1993,MATCH(A321&amp;"ENTRADA",Movimientos!$R$2:$R$1993,0))),"S/D")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2628</v>
      </c>
      <c r="B322" s="2" t="str">
        <f>IFERROR(INDEX(Movimientos!$C$2:$C$1993,MATCH(A322&amp;"ENTRADA",Movimientos!$R$2:$R$1993,0)),"-")</f>
        <v>-</v>
      </c>
      <c r="C322" s="2" t="str">
        <f>IFERROR(INDEX(Movimientos!$D$2:$D$1993,MATCH(A322&amp;"ENTRADA",Movimientos!$R$2:$R$1993,0)),"-")</f>
        <v>-</v>
      </c>
      <c r="D322" s="2" t="str">
        <f>IFERROR(INDEX(Movimientos!$E$2:$E$1993,MATCH(A322&amp;"ENTRADA",Movimientos!$R$2:$R$1993,0)),"-")</f>
        <v>-</v>
      </c>
      <c r="E322" s="2" t="str">
        <f>IFERROR(INDEX(Movimientos!$F$2:$F$1993,MATCH(A322&amp;"ENTRADA",Movimientos!$R$2:$R$1993,0)),"-")</f>
        <v>-</v>
      </c>
      <c r="F322" s="2" t="str">
        <f>IFERROR(INDEX(Movimientos!$G$2:$G$1993,MATCH(A322&amp;"ENTRADA",Movimientos!$R$2:$R$1993,0)),"-")</f>
        <v>-</v>
      </c>
      <c r="G322" s="2" t="str">
        <f>IFERROR(INDEX(Movimientos!$L$2:$L$1993,MATCH(A322&amp;"ENTRADA",Movimientos!$R$2:$R$1993,0)),"-")</f>
        <v>-</v>
      </c>
      <c r="H322" s="17" t="str">
        <f>IFERROR(IF(INDEX(Movimientos!$M$2:$M$1993,MATCH(A322&amp;"ENTRADA",Movimientos!$R$2:$R$1993,0))=0,"S/D",INDEX(Movimientos!$M$2:$M$1993,MATCH(A322&amp;"ENTRADA",Movimientos!$R$2:$R$1993,0))),"S/D")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2629</v>
      </c>
      <c r="B323" s="2" t="str">
        <f>IFERROR(INDEX(Movimientos!$C$2:$C$1993,MATCH(A323&amp;"ENTRADA",Movimientos!$R$2:$R$1993,0)),"-")</f>
        <v>-</v>
      </c>
      <c r="C323" s="2" t="str">
        <f>IFERROR(INDEX(Movimientos!$D$2:$D$1993,MATCH(A323&amp;"ENTRADA",Movimientos!$R$2:$R$1993,0)),"-")</f>
        <v>-</v>
      </c>
      <c r="D323" s="2" t="str">
        <f>IFERROR(INDEX(Movimientos!$E$2:$E$1993,MATCH(A323&amp;"ENTRADA",Movimientos!$R$2:$R$1993,0)),"-")</f>
        <v>-</v>
      </c>
      <c r="E323" s="2" t="str">
        <f>IFERROR(INDEX(Movimientos!$F$2:$F$1993,MATCH(A323&amp;"ENTRADA",Movimientos!$R$2:$R$1993,0)),"-")</f>
        <v>-</v>
      </c>
      <c r="F323" s="2" t="str">
        <f>IFERROR(INDEX(Movimientos!$G$2:$G$1993,MATCH(A323&amp;"ENTRADA",Movimientos!$R$2:$R$1993,0)),"-")</f>
        <v>-</v>
      </c>
      <c r="G323" s="2" t="str">
        <f>IFERROR(INDEX(Movimientos!$L$2:$L$1993,MATCH(A323&amp;"ENTRADA",Movimientos!$R$2:$R$1993,0)),"-")</f>
        <v>-</v>
      </c>
      <c r="H323" s="17" t="str">
        <f>IFERROR(IF(INDEX(Movimientos!$M$2:$M$1993,MATCH(A323&amp;"ENTRADA",Movimientos!$R$2:$R$1993,0))=0,"S/D",INDEX(Movimientos!$M$2:$M$1993,MATCH(A323&amp;"ENTRADA",Movimientos!$R$2:$R$1993,0))),"S/D")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2630</v>
      </c>
      <c r="B324" s="2" t="str">
        <f>IFERROR(INDEX(Movimientos!$C$2:$C$1993,MATCH(A324&amp;"ENTRADA",Movimientos!$R$2:$R$1993,0)),"-")</f>
        <v>-</v>
      </c>
      <c r="C324" s="2" t="str">
        <f>IFERROR(INDEX(Movimientos!$D$2:$D$1993,MATCH(A324&amp;"ENTRADA",Movimientos!$R$2:$R$1993,0)),"-")</f>
        <v>-</v>
      </c>
      <c r="D324" s="2" t="str">
        <f>IFERROR(INDEX(Movimientos!$E$2:$E$1993,MATCH(A324&amp;"ENTRADA",Movimientos!$R$2:$R$1993,0)),"-")</f>
        <v>-</v>
      </c>
      <c r="E324" s="2" t="str">
        <f>IFERROR(INDEX(Movimientos!$F$2:$F$1993,MATCH(A324&amp;"ENTRADA",Movimientos!$R$2:$R$1993,0)),"-")</f>
        <v>-</v>
      </c>
      <c r="F324" s="2" t="str">
        <f>IFERROR(INDEX(Movimientos!$G$2:$G$1993,MATCH(A324&amp;"ENTRADA",Movimientos!$R$2:$R$1993,0)),"-")</f>
        <v>-</v>
      </c>
      <c r="G324" s="2" t="str">
        <f>IFERROR(INDEX(Movimientos!$L$2:$L$1993,MATCH(A324&amp;"ENTRADA",Movimientos!$R$2:$R$1993,0)),"-")</f>
        <v>-</v>
      </c>
      <c r="H324" s="17" t="str">
        <f>IFERROR(IF(INDEX(Movimientos!$M$2:$M$1993,MATCH(A324&amp;"ENTRADA",Movimientos!$R$2:$R$1993,0))=0,"S/D",INDEX(Movimientos!$M$2:$M$1993,MATCH(A324&amp;"ENTRADA",Movimientos!$R$2:$R$1993,0))),"S/D")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2631</v>
      </c>
      <c r="B325" s="2" t="str">
        <f>IFERROR(INDEX(Movimientos!$C$2:$C$1993,MATCH(A325&amp;"ENTRADA",Movimientos!$R$2:$R$1993,0)),"-")</f>
        <v>-</v>
      </c>
      <c r="C325" s="2" t="str">
        <f>IFERROR(INDEX(Movimientos!$D$2:$D$1993,MATCH(A325&amp;"ENTRADA",Movimientos!$R$2:$R$1993,0)),"-")</f>
        <v>-</v>
      </c>
      <c r="D325" s="2" t="str">
        <f>IFERROR(INDEX(Movimientos!$E$2:$E$1993,MATCH(A325&amp;"ENTRADA",Movimientos!$R$2:$R$1993,0)),"-")</f>
        <v>-</v>
      </c>
      <c r="E325" s="2" t="str">
        <f>IFERROR(INDEX(Movimientos!$F$2:$F$1993,MATCH(A325&amp;"ENTRADA",Movimientos!$R$2:$R$1993,0)),"-")</f>
        <v>-</v>
      </c>
      <c r="F325" s="2" t="str">
        <f>IFERROR(INDEX(Movimientos!$G$2:$G$1993,MATCH(A325&amp;"ENTRADA",Movimientos!$R$2:$R$1993,0)),"-")</f>
        <v>-</v>
      </c>
      <c r="G325" s="2" t="str">
        <f>IFERROR(INDEX(Movimientos!$L$2:$L$1993,MATCH(A325&amp;"ENTRADA",Movimientos!$R$2:$R$1993,0)),"-")</f>
        <v>-</v>
      </c>
      <c r="H325" s="17" t="str">
        <f>IFERROR(IF(INDEX(Movimientos!$M$2:$M$1993,MATCH(A325&amp;"ENTRADA",Movimientos!$R$2:$R$1993,0))=0,"S/D",INDEX(Movimientos!$M$2:$M$1993,MATCH(A325&amp;"ENTRADA",Movimientos!$R$2:$R$1993,0))),"S/D")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2632</v>
      </c>
      <c r="B326" s="2" t="str">
        <f>IFERROR(INDEX(Movimientos!$C$2:$C$1993,MATCH(A326&amp;"ENTRADA",Movimientos!$R$2:$R$1993,0)),"-")</f>
        <v>-</v>
      </c>
      <c r="C326" s="2" t="str">
        <f>IFERROR(INDEX(Movimientos!$D$2:$D$1993,MATCH(A326&amp;"ENTRADA",Movimientos!$R$2:$R$1993,0)),"-")</f>
        <v>-</v>
      </c>
      <c r="D326" s="2" t="str">
        <f>IFERROR(INDEX(Movimientos!$E$2:$E$1993,MATCH(A326&amp;"ENTRADA",Movimientos!$R$2:$R$1993,0)),"-")</f>
        <v>-</v>
      </c>
      <c r="E326" s="2" t="str">
        <f>IFERROR(INDEX(Movimientos!$F$2:$F$1993,MATCH(A326&amp;"ENTRADA",Movimientos!$R$2:$R$1993,0)),"-")</f>
        <v>-</v>
      </c>
      <c r="F326" s="2" t="str">
        <f>IFERROR(INDEX(Movimientos!$G$2:$G$1993,MATCH(A326&amp;"ENTRADA",Movimientos!$R$2:$R$1993,0)),"-")</f>
        <v>-</v>
      </c>
      <c r="G326" s="2" t="str">
        <f>IFERROR(INDEX(Movimientos!$L$2:$L$1993,MATCH(A326&amp;"ENTRADA",Movimientos!$R$2:$R$1993,0)),"-")</f>
        <v>-</v>
      </c>
      <c r="H326" s="17" t="str">
        <f>IFERROR(IF(INDEX(Movimientos!$M$2:$M$1993,MATCH(A326&amp;"ENTRADA",Movimientos!$R$2:$R$1993,0))=0,"S/D",INDEX(Movimientos!$M$2:$M$1993,MATCH(A326&amp;"ENTRADA",Movimientos!$R$2:$R$1993,0))),"S/D")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2633</v>
      </c>
      <c r="B327" s="2" t="str">
        <f>IFERROR(INDEX(Movimientos!$C$2:$C$1993,MATCH(A327&amp;"ENTRADA",Movimientos!$R$2:$R$1993,0)),"-")</f>
        <v>-</v>
      </c>
      <c r="C327" s="2" t="str">
        <f>IFERROR(INDEX(Movimientos!$D$2:$D$1993,MATCH(A327&amp;"ENTRADA",Movimientos!$R$2:$R$1993,0)),"-")</f>
        <v>-</v>
      </c>
      <c r="D327" s="2" t="str">
        <f>IFERROR(INDEX(Movimientos!$E$2:$E$1993,MATCH(A327&amp;"ENTRADA",Movimientos!$R$2:$R$1993,0)),"-")</f>
        <v>-</v>
      </c>
      <c r="E327" s="2" t="str">
        <f>IFERROR(INDEX(Movimientos!$F$2:$F$1993,MATCH(A327&amp;"ENTRADA",Movimientos!$R$2:$R$1993,0)),"-")</f>
        <v>-</v>
      </c>
      <c r="F327" s="2" t="str">
        <f>IFERROR(INDEX(Movimientos!$G$2:$G$1993,MATCH(A327&amp;"ENTRADA",Movimientos!$R$2:$R$1993,0)),"-")</f>
        <v>-</v>
      </c>
      <c r="G327" s="2" t="str">
        <f>IFERROR(INDEX(Movimientos!$L$2:$L$1993,MATCH(A327&amp;"ENTRADA",Movimientos!$R$2:$R$1993,0)),"-")</f>
        <v>-</v>
      </c>
      <c r="H327" s="17" t="str">
        <f>IFERROR(IF(INDEX(Movimientos!$M$2:$M$1993,MATCH(A327&amp;"ENTRADA",Movimientos!$R$2:$R$1993,0))=0,"S/D",INDEX(Movimientos!$M$2:$M$1993,MATCH(A327&amp;"ENTRADA",Movimientos!$R$2:$R$1993,0))),"S/D")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2634</v>
      </c>
      <c r="B328" s="2" t="str">
        <f>IFERROR(INDEX(Movimientos!$C$2:$C$1993,MATCH(A328&amp;"ENTRADA",Movimientos!$R$2:$R$1993,0)),"-")</f>
        <v>-</v>
      </c>
      <c r="C328" s="2" t="str">
        <f>IFERROR(INDEX(Movimientos!$D$2:$D$1993,MATCH(A328&amp;"ENTRADA",Movimientos!$R$2:$R$1993,0)),"-")</f>
        <v>-</v>
      </c>
      <c r="D328" s="2" t="str">
        <f>IFERROR(INDEX(Movimientos!$E$2:$E$1993,MATCH(A328&amp;"ENTRADA",Movimientos!$R$2:$R$1993,0)),"-")</f>
        <v>-</v>
      </c>
      <c r="E328" s="2" t="str">
        <f>IFERROR(INDEX(Movimientos!$F$2:$F$1993,MATCH(A328&amp;"ENTRADA",Movimientos!$R$2:$R$1993,0)),"-")</f>
        <v>-</v>
      </c>
      <c r="F328" s="2" t="str">
        <f>IFERROR(INDEX(Movimientos!$G$2:$G$1993,MATCH(A328&amp;"ENTRADA",Movimientos!$R$2:$R$1993,0)),"-")</f>
        <v>-</v>
      </c>
      <c r="G328" s="2" t="str">
        <f>IFERROR(INDEX(Movimientos!$L$2:$L$1993,MATCH(A328&amp;"ENTRADA",Movimientos!$R$2:$R$1993,0)),"-")</f>
        <v>-</v>
      </c>
      <c r="H328" s="17" t="str">
        <f>IFERROR(IF(INDEX(Movimientos!$M$2:$M$1993,MATCH(A328&amp;"ENTRADA",Movimientos!$R$2:$R$1993,0))=0,"S/D",INDEX(Movimientos!$M$2:$M$1993,MATCH(A328&amp;"ENTRADA",Movimientos!$R$2:$R$1993,0))),"S/D")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2635</v>
      </c>
      <c r="B329" s="2" t="str">
        <f>IFERROR(INDEX(Movimientos!$C$2:$C$1993,MATCH(A329&amp;"ENTRADA",Movimientos!$R$2:$R$1993,0)),"-")</f>
        <v>-</v>
      </c>
      <c r="C329" s="2" t="str">
        <f>IFERROR(INDEX(Movimientos!$D$2:$D$1993,MATCH(A329&amp;"ENTRADA",Movimientos!$R$2:$R$1993,0)),"-")</f>
        <v>-</v>
      </c>
      <c r="D329" s="2" t="str">
        <f>IFERROR(INDEX(Movimientos!$E$2:$E$1993,MATCH(A329&amp;"ENTRADA",Movimientos!$R$2:$R$1993,0)),"-")</f>
        <v>-</v>
      </c>
      <c r="E329" s="2" t="str">
        <f>IFERROR(INDEX(Movimientos!$F$2:$F$1993,MATCH(A329&amp;"ENTRADA",Movimientos!$R$2:$R$1993,0)),"-")</f>
        <v>-</v>
      </c>
      <c r="F329" s="2" t="str">
        <f>IFERROR(INDEX(Movimientos!$G$2:$G$1993,MATCH(A329&amp;"ENTRADA",Movimientos!$R$2:$R$1993,0)),"-")</f>
        <v>-</v>
      </c>
      <c r="G329" s="2" t="str">
        <f>IFERROR(INDEX(Movimientos!$L$2:$L$1993,MATCH(A329&amp;"ENTRADA",Movimientos!$R$2:$R$1993,0)),"-")</f>
        <v>-</v>
      </c>
      <c r="H329" s="17" t="str">
        <f>IFERROR(IF(INDEX(Movimientos!$M$2:$M$1993,MATCH(A329&amp;"ENTRADA",Movimientos!$R$2:$R$1993,0))=0,"S/D",INDEX(Movimientos!$M$2:$M$1993,MATCH(A329&amp;"ENTRADA",Movimientos!$R$2:$R$1993,0))),"S/D")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2636</v>
      </c>
      <c r="B330" s="2" t="str">
        <f>IFERROR(INDEX(Movimientos!$C$2:$C$1993,MATCH(A330&amp;"ENTRADA",Movimientos!$R$2:$R$1993,0)),"-")</f>
        <v>-</v>
      </c>
      <c r="C330" s="2" t="str">
        <f>IFERROR(INDEX(Movimientos!$D$2:$D$1993,MATCH(A330&amp;"ENTRADA",Movimientos!$R$2:$R$1993,0)),"-")</f>
        <v>-</v>
      </c>
      <c r="D330" s="2" t="str">
        <f>IFERROR(INDEX(Movimientos!$E$2:$E$1993,MATCH(A330&amp;"ENTRADA",Movimientos!$R$2:$R$1993,0)),"-")</f>
        <v>-</v>
      </c>
      <c r="E330" s="2" t="str">
        <f>IFERROR(INDEX(Movimientos!$F$2:$F$1993,MATCH(A330&amp;"ENTRADA",Movimientos!$R$2:$R$1993,0)),"-")</f>
        <v>-</v>
      </c>
      <c r="F330" s="2" t="str">
        <f>IFERROR(INDEX(Movimientos!$G$2:$G$1993,MATCH(A330&amp;"ENTRADA",Movimientos!$R$2:$R$1993,0)),"-")</f>
        <v>-</v>
      </c>
      <c r="G330" s="2" t="str">
        <f>IFERROR(INDEX(Movimientos!$L$2:$L$1993,MATCH(A330&amp;"ENTRADA",Movimientos!$R$2:$R$1993,0)),"-")</f>
        <v>-</v>
      </c>
      <c r="H330" s="17" t="str">
        <f>IFERROR(IF(INDEX(Movimientos!$M$2:$M$1993,MATCH(A330&amp;"ENTRADA",Movimientos!$R$2:$R$1993,0))=0,"S/D",INDEX(Movimientos!$M$2:$M$1993,MATCH(A330&amp;"ENTRADA",Movimientos!$R$2:$R$1993,0))),"S/D")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2637</v>
      </c>
      <c r="B331" s="2" t="str">
        <f>IFERROR(INDEX(Movimientos!$C$2:$C$1993,MATCH(A331&amp;"ENTRADA",Movimientos!$R$2:$R$1993,0)),"-")</f>
        <v>-</v>
      </c>
      <c r="C331" s="2" t="str">
        <f>IFERROR(INDEX(Movimientos!$D$2:$D$1993,MATCH(A331&amp;"ENTRADA",Movimientos!$R$2:$R$1993,0)),"-")</f>
        <v>-</v>
      </c>
      <c r="D331" s="2" t="str">
        <f>IFERROR(INDEX(Movimientos!$E$2:$E$1993,MATCH(A331&amp;"ENTRADA",Movimientos!$R$2:$R$1993,0)),"-")</f>
        <v>-</v>
      </c>
      <c r="E331" s="2" t="str">
        <f>IFERROR(INDEX(Movimientos!$F$2:$F$1993,MATCH(A331&amp;"ENTRADA",Movimientos!$R$2:$R$1993,0)),"-")</f>
        <v>-</v>
      </c>
      <c r="F331" s="2" t="str">
        <f>IFERROR(INDEX(Movimientos!$G$2:$G$1993,MATCH(A331&amp;"ENTRADA",Movimientos!$R$2:$R$1993,0)),"-")</f>
        <v>-</v>
      </c>
      <c r="G331" s="2" t="str">
        <f>IFERROR(INDEX(Movimientos!$L$2:$L$1993,MATCH(A331&amp;"ENTRADA",Movimientos!$R$2:$R$1993,0)),"-")</f>
        <v>-</v>
      </c>
      <c r="H331" s="17" t="str">
        <f>IFERROR(IF(INDEX(Movimientos!$M$2:$M$1993,MATCH(A331&amp;"ENTRADA",Movimientos!$R$2:$R$1993,0))=0,"S/D",INDEX(Movimientos!$M$2:$M$1993,MATCH(A331&amp;"ENTRADA",Movimientos!$R$2:$R$1993,0))),"S/D")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2638</v>
      </c>
      <c r="B332" s="2" t="str">
        <f>IFERROR(INDEX(Movimientos!$C$2:$C$1993,MATCH(A332&amp;"ENTRADA",Movimientos!$R$2:$R$1993,0)),"-")</f>
        <v>-</v>
      </c>
      <c r="C332" s="2" t="str">
        <f>IFERROR(INDEX(Movimientos!$D$2:$D$1993,MATCH(A332&amp;"ENTRADA",Movimientos!$R$2:$R$1993,0)),"-")</f>
        <v>-</v>
      </c>
      <c r="D332" s="2" t="str">
        <f>IFERROR(INDEX(Movimientos!$E$2:$E$1993,MATCH(A332&amp;"ENTRADA",Movimientos!$R$2:$R$1993,0)),"-")</f>
        <v>-</v>
      </c>
      <c r="E332" s="2" t="str">
        <f>IFERROR(INDEX(Movimientos!$F$2:$F$1993,MATCH(A332&amp;"ENTRADA",Movimientos!$R$2:$R$1993,0)),"-")</f>
        <v>-</v>
      </c>
      <c r="F332" s="2" t="str">
        <f>IFERROR(INDEX(Movimientos!$G$2:$G$1993,MATCH(A332&amp;"ENTRADA",Movimientos!$R$2:$R$1993,0)),"-")</f>
        <v>-</v>
      </c>
      <c r="G332" s="2" t="str">
        <f>IFERROR(INDEX(Movimientos!$L$2:$L$1993,MATCH(A332&amp;"ENTRADA",Movimientos!$R$2:$R$1993,0)),"-")</f>
        <v>-</v>
      </c>
      <c r="H332" s="17" t="str">
        <f>IFERROR(IF(INDEX(Movimientos!$M$2:$M$1993,MATCH(A332&amp;"ENTRADA",Movimientos!$R$2:$R$1993,0))=0,"S/D",INDEX(Movimientos!$M$2:$M$1993,MATCH(A332&amp;"ENTRADA",Movimientos!$R$2:$R$1993,0))),"S/D")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2639</v>
      </c>
      <c r="B333" s="2" t="str">
        <f>IFERROR(INDEX(Movimientos!$C$2:$C$1993,MATCH(A333&amp;"ENTRADA",Movimientos!$R$2:$R$1993,0)),"-")</f>
        <v>-</v>
      </c>
      <c r="C333" s="2" t="str">
        <f>IFERROR(INDEX(Movimientos!$D$2:$D$1993,MATCH(A333&amp;"ENTRADA",Movimientos!$R$2:$R$1993,0)),"-")</f>
        <v>-</v>
      </c>
      <c r="D333" s="2" t="str">
        <f>IFERROR(INDEX(Movimientos!$E$2:$E$1993,MATCH(A333&amp;"ENTRADA",Movimientos!$R$2:$R$1993,0)),"-")</f>
        <v>-</v>
      </c>
      <c r="E333" s="2" t="str">
        <f>IFERROR(INDEX(Movimientos!$F$2:$F$1993,MATCH(A333&amp;"ENTRADA",Movimientos!$R$2:$R$1993,0)),"-")</f>
        <v>-</v>
      </c>
      <c r="F333" s="2" t="str">
        <f>IFERROR(INDEX(Movimientos!$G$2:$G$1993,MATCH(A333&amp;"ENTRADA",Movimientos!$R$2:$R$1993,0)),"-")</f>
        <v>-</v>
      </c>
      <c r="G333" s="2" t="str">
        <f>IFERROR(INDEX(Movimientos!$L$2:$L$1993,MATCH(A333&amp;"ENTRADA",Movimientos!$R$2:$R$1993,0)),"-")</f>
        <v>-</v>
      </c>
      <c r="H333" s="17" t="str">
        <f>IFERROR(IF(INDEX(Movimientos!$M$2:$M$1993,MATCH(A333&amp;"ENTRADA",Movimientos!$R$2:$R$1993,0))=0,"S/D",INDEX(Movimientos!$M$2:$M$1993,MATCH(A333&amp;"ENTRADA",Movimientos!$R$2:$R$1993,0))),"S/D")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2640</v>
      </c>
      <c r="B334" s="2" t="str">
        <f>IFERROR(INDEX(Movimientos!$C$2:$C$1993,MATCH(A334&amp;"ENTRADA",Movimientos!$R$2:$R$1993,0)),"-")</f>
        <v>-</v>
      </c>
      <c r="C334" s="2" t="str">
        <f>IFERROR(INDEX(Movimientos!$D$2:$D$1993,MATCH(A334&amp;"ENTRADA",Movimientos!$R$2:$R$1993,0)),"-")</f>
        <v>-</v>
      </c>
      <c r="D334" s="2" t="str">
        <f>IFERROR(INDEX(Movimientos!$E$2:$E$1993,MATCH(A334&amp;"ENTRADA",Movimientos!$R$2:$R$1993,0)),"-")</f>
        <v>-</v>
      </c>
      <c r="E334" s="2" t="str">
        <f>IFERROR(INDEX(Movimientos!$F$2:$F$1993,MATCH(A334&amp;"ENTRADA",Movimientos!$R$2:$R$1993,0)),"-")</f>
        <v>-</v>
      </c>
      <c r="F334" s="2" t="str">
        <f>IFERROR(INDEX(Movimientos!$G$2:$G$1993,MATCH(A334&amp;"ENTRADA",Movimientos!$R$2:$R$1993,0)),"-")</f>
        <v>-</v>
      </c>
      <c r="G334" s="2" t="str">
        <f>IFERROR(INDEX(Movimientos!$L$2:$L$1993,MATCH(A334&amp;"ENTRADA",Movimientos!$R$2:$R$1993,0)),"-")</f>
        <v>-</v>
      </c>
      <c r="H334" s="17" t="str">
        <f>IFERROR(IF(INDEX(Movimientos!$M$2:$M$1993,MATCH(A334&amp;"ENTRADA",Movimientos!$R$2:$R$1993,0))=0,"S/D",INDEX(Movimientos!$M$2:$M$1993,MATCH(A334&amp;"ENTRADA",Movimientos!$R$2:$R$1993,0))),"S/D")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2641</v>
      </c>
      <c r="B335" s="2" t="str">
        <f>IFERROR(INDEX(Movimientos!$C$2:$C$1993,MATCH(A335&amp;"ENTRADA",Movimientos!$R$2:$R$1993,0)),"-")</f>
        <v>-</v>
      </c>
      <c r="C335" s="2" t="str">
        <f>IFERROR(INDEX(Movimientos!$D$2:$D$1993,MATCH(A335&amp;"ENTRADA",Movimientos!$R$2:$R$1993,0)),"-")</f>
        <v>-</v>
      </c>
      <c r="D335" s="2" t="str">
        <f>IFERROR(INDEX(Movimientos!$E$2:$E$1993,MATCH(A335&amp;"ENTRADA",Movimientos!$R$2:$R$1993,0)),"-")</f>
        <v>-</v>
      </c>
      <c r="E335" s="2" t="str">
        <f>IFERROR(INDEX(Movimientos!$F$2:$F$1993,MATCH(A335&amp;"ENTRADA",Movimientos!$R$2:$R$1993,0)),"-")</f>
        <v>-</v>
      </c>
      <c r="F335" s="2" t="str">
        <f>IFERROR(INDEX(Movimientos!$G$2:$G$1993,MATCH(A335&amp;"ENTRADA",Movimientos!$R$2:$R$1993,0)),"-")</f>
        <v>-</v>
      </c>
      <c r="G335" s="2" t="str">
        <f>IFERROR(INDEX(Movimientos!$L$2:$L$1993,MATCH(A335&amp;"ENTRADA",Movimientos!$R$2:$R$1993,0)),"-")</f>
        <v>-</v>
      </c>
      <c r="H335" s="17" t="str">
        <f>IFERROR(IF(INDEX(Movimientos!$M$2:$M$1993,MATCH(A335&amp;"ENTRADA",Movimientos!$R$2:$R$1993,0))=0,"S/D",INDEX(Movimientos!$M$2:$M$1993,MATCH(A335&amp;"ENTRADA",Movimientos!$R$2:$R$1993,0))),"S/D")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2642</v>
      </c>
      <c r="B336" s="2" t="str">
        <f>IFERROR(INDEX(Movimientos!$C$2:$C$1993,MATCH(A336&amp;"ENTRADA",Movimientos!$R$2:$R$1993,0)),"-")</f>
        <v>-</v>
      </c>
      <c r="C336" s="2" t="str">
        <f>IFERROR(INDEX(Movimientos!$D$2:$D$1993,MATCH(A336&amp;"ENTRADA",Movimientos!$R$2:$R$1993,0)),"-")</f>
        <v>-</v>
      </c>
      <c r="D336" s="2" t="str">
        <f>IFERROR(INDEX(Movimientos!$E$2:$E$1993,MATCH(A336&amp;"ENTRADA",Movimientos!$R$2:$R$1993,0)),"-")</f>
        <v>-</v>
      </c>
      <c r="E336" s="2" t="str">
        <f>IFERROR(INDEX(Movimientos!$F$2:$F$1993,MATCH(A336&amp;"ENTRADA",Movimientos!$R$2:$R$1993,0)),"-")</f>
        <v>-</v>
      </c>
      <c r="F336" s="2" t="str">
        <f>IFERROR(INDEX(Movimientos!$G$2:$G$1993,MATCH(A336&amp;"ENTRADA",Movimientos!$R$2:$R$1993,0)),"-")</f>
        <v>-</v>
      </c>
      <c r="G336" s="2" t="str">
        <f>IFERROR(INDEX(Movimientos!$L$2:$L$1993,MATCH(A336&amp;"ENTRADA",Movimientos!$R$2:$R$1993,0)),"-")</f>
        <v>-</v>
      </c>
      <c r="H336" s="17" t="str">
        <f>IFERROR(IF(INDEX(Movimientos!$M$2:$M$1993,MATCH(A336&amp;"ENTRADA",Movimientos!$R$2:$R$1993,0))=0,"S/D",INDEX(Movimientos!$M$2:$M$1993,MATCH(A336&amp;"ENTRADA",Movimientos!$R$2:$R$1993,0))),"S/D")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2643</v>
      </c>
      <c r="B337" s="2" t="str">
        <f>IFERROR(INDEX(Movimientos!$C$2:$C$1993,MATCH(A337&amp;"ENTRADA",Movimientos!$R$2:$R$1993,0)),"-")</f>
        <v>-</v>
      </c>
      <c r="C337" s="2" t="str">
        <f>IFERROR(INDEX(Movimientos!$D$2:$D$1993,MATCH(A337&amp;"ENTRADA",Movimientos!$R$2:$R$1993,0)),"-")</f>
        <v>-</v>
      </c>
      <c r="D337" s="2" t="str">
        <f>IFERROR(INDEX(Movimientos!$E$2:$E$1993,MATCH(A337&amp;"ENTRADA",Movimientos!$R$2:$R$1993,0)),"-")</f>
        <v>-</v>
      </c>
      <c r="E337" s="2" t="str">
        <f>IFERROR(INDEX(Movimientos!$F$2:$F$1993,MATCH(A337&amp;"ENTRADA",Movimientos!$R$2:$R$1993,0)),"-")</f>
        <v>-</v>
      </c>
      <c r="F337" s="2" t="str">
        <f>IFERROR(INDEX(Movimientos!$G$2:$G$1993,MATCH(A337&amp;"ENTRADA",Movimientos!$R$2:$R$1993,0)),"-")</f>
        <v>-</v>
      </c>
      <c r="G337" s="2" t="str">
        <f>IFERROR(INDEX(Movimientos!$L$2:$L$1993,MATCH(A337&amp;"ENTRADA",Movimientos!$R$2:$R$1993,0)),"-")</f>
        <v>-</v>
      </c>
      <c r="H337" s="17" t="str">
        <f>IFERROR(IF(INDEX(Movimientos!$M$2:$M$1993,MATCH(A337&amp;"ENTRADA",Movimientos!$R$2:$R$1993,0))=0,"S/D",INDEX(Movimientos!$M$2:$M$1993,MATCH(A337&amp;"ENTRADA",Movimientos!$R$2:$R$1993,0))),"S/D")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2644</v>
      </c>
      <c r="B338" s="2" t="str">
        <f>IFERROR(INDEX(Movimientos!$C$2:$C$1993,MATCH(A338&amp;"ENTRADA",Movimientos!$R$2:$R$1993,0)),"-")</f>
        <v>-</v>
      </c>
      <c r="C338" s="2" t="str">
        <f>IFERROR(INDEX(Movimientos!$D$2:$D$1993,MATCH(A338&amp;"ENTRADA",Movimientos!$R$2:$R$1993,0)),"-")</f>
        <v>-</v>
      </c>
      <c r="D338" s="2" t="str">
        <f>IFERROR(INDEX(Movimientos!$E$2:$E$1993,MATCH(A338&amp;"ENTRADA",Movimientos!$R$2:$R$1993,0)),"-")</f>
        <v>-</v>
      </c>
      <c r="E338" s="2" t="str">
        <f>IFERROR(INDEX(Movimientos!$F$2:$F$1993,MATCH(A338&amp;"ENTRADA",Movimientos!$R$2:$R$1993,0)),"-")</f>
        <v>-</v>
      </c>
      <c r="F338" s="2" t="str">
        <f>IFERROR(INDEX(Movimientos!$G$2:$G$1993,MATCH(A338&amp;"ENTRADA",Movimientos!$R$2:$R$1993,0)),"-")</f>
        <v>-</v>
      </c>
      <c r="G338" s="2" t="str">
        <f>IFERROR(INDEX(Movimientos!$L$2:$L$1993,MATCH(A338&amp;"ENTRADA",Movimientos!$R$2:$R$1993,0)),"-")</f>
        <v>-</v>
      </c>
      <c r="H338" s="17" t="str">
        <f>IFERROR(IF(INDEX(Movimientos!$M$2:$M$1993,MATCH(A338&amp;"ENTRADA",Movimientos!$R$2:$R$1993,0))=0,"S/D",INDEX(Movimientos!$M$2:$M$1993,MATCH(A338&amp;"ENTRADA",Movimientos!$R$2:$R$1993,0))),"S/D")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2645</v>
      </c>
      <c r="B339" s="2" t="str">
        <f>IFERROR(INDEX(Movimientos!$C$2:$C$1993,MATCH(A339&amp;"ENTRADA",Movimientos!$R$2:$R$1993,0)),"-")</f>
        <v>-</v>
      </c>
      <c r="C339" s="2" t="str">
        <f>IFERROR(INDEX(Movimientos!$D$2:$D$1993,MATCH(A339&amp;"ENTRADA",Movimientos!$R$2:$R$1993,0)),"-")</f>
        <v>-</v>
      </c>
      <c r="D339" s="2" t="str">
        <f>IFERROR(INDEX(Movimientos!$E$2:$E$1993,MATCH(A339&amp;"ENTRADA",Movimientos!$R$2:$R$1993,0)),"-")</f>
        <v>-</v>
      </c>
      <c r="E339" s="2" t="str">
        <f>IFERROR(INDEX(Movimientos!$F$2:$F$1993,MATCH(A339&amp;"ENTRADA",Movimientos!$R$2:$R$1993,0)),"-")</f>
        <v>-</v>
      </c>
      <c r="F339" s="2" t="str">
        <f>IFERROR(INDEX(Movimientos!$G$2:$G$1993,MATCH(A339&amp;"ENTRADA",Movimientos!$R$2:$R$1993,0)),"-")</f>
        <v>-</v>
      </c>
      <c r="G339" s="2" t="str">
        <f>IFERROR(INDEX(Movimientos!$L$2:$L$1993,MATCH(A339&amp;"ENTRADA",Movimientos!$R$2:$R$1993,0)),"-")</f>
        <v>-</v>
      </c>
      <c r="H339" s="17" t="str">
        <f>IFERROR(IF(INDEX(Movimientos!$M$2:$M$1993,MATCH(A339&amp;"ENTRADA",Movimientos!$R$2:$R$1993,0))=0,"S/D",INDEX(Movimientos!$M$2:$M$1993,MATCH(A339&amp;"ENTRADA",Movimientos!$R$2:$R$1993,0))),"S/D")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2646</v>
      </c>
      <c r="B340" s="2" t="str">
        <f>IFERROR(INDEX(Movimientos!$C$2:$C$1993,MATCH(A340&amp;"ENTRADA",Movimientos!$R$2:$R$1993,0)),"-")</f>
        <v>-</v>
      </c>
      <c r="C340" s="2" t="str">
        <f>IFERROR(INDEX(Movimientos!$D$2:$D$1993,MATCH(A340&amp;"ENTRADA",Movimientos!$R$2:$R$1993,0)),"-")</f>
        <v>-</v>
      </c>
      <c r="D340" s="2" t="str">
        <f>IFERROR(INDEX(Movimientos!$E$2:$E$1993,MATCH(A340&amp;"ENTRADA",Movimientos!$R$2:$R$1993,0)),"-")</f>
        <v>-</v>
      </c>
      <c r="E340" s="2" t="str">
        <f>IFERROR(INDEX(Movimientos!$F$2:$F$1993,MATCH(A340&amp;"ENTRADA",Movimientos!$R$2:$R$1993,0)),"-")</f>
        <v>-</v>
      </c>
      <c r="F340" s="2" t="str">
        <f>IFERROR(INDEX(Movimientos!$G$2:$G$1993,MATCH(A340&amp;"ENTRADA",Movimientos!$R$2:$R$1993,0)),"-")</f>
        <v>-</v>
      </c>
      <c r="G340" s="2" t="str">
        <f>IFERROR(INDEX(Movimientos!$L$2:$L$1993,MATCH(A340&amp;"ENTRADA",Movimientos!$R$2:$R$1993,0)),"-")</f>
        <v>-</v>
      </c>
      <c r="H340" s="17" t="str">
        <f>IFERROR(IF(INDEX(Movimientos!$M$2:$M$1993,MATCH(A340&amp;"ENTRADA",Movimientos!$R$2:$R$1993,0))=0,"S/D",INDEX(Movimientos!$M$2:$M$1993,MATCH(A340&amp;"ENTRADA",Movimientos!$R$2:$R$1993,0))),"S/D")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2647</v>
      </c>
      <c r="B341" s="2" t="str">
        <f>IFERROR(INDEX(Movimientos!$C$2:$C$1993,MATCH(A341&amp;"ENTRADA",Movimientos!$R$2:$R$1993,0)),"-")</f>
        <v>-</v>
      </c>
      <c r="C341" s="2" t="str">
        <f>IFERROR(INDEX(Movimientos!$D$2:$D$1993,MATCH(A341&amp;"ENTRADA",Movimientos!$R$2:$R$1993,0)),"-")</f>
        <v>-</v>
      </c>
      <c r="D341" s="2" t="str">
        <f>IFERROR(INDEX(Movimientos!$E$2:$E$1993,MATCH(A341&amp;"ENTRADA",Movimientos!$R$2:$R$1993,0)),"-")</f>
        <v>-</v>
      </c>
      <c r="E341" s="2" t="str">
        <f>IFERROR(INDEX(Movimientos!$F$2:$F$1993,MATCH(A341&amp;"ENTRADA",Movimientos!$R$2:$R$1993,0)),"-")</f>
        <v>-</v>
      </c>
      <c r="F341" s="2" t="str">
        <f>IFERROR(INDEX(Movimientos!$G$2:$G$1993,MATCH(A341&amp;"ENTRADA",Movimientos!$R$2:$R$1993,0)),"-")</f>
        <v>-</v>
      </c>
      <c r="G341" s="2" t="str">
        <f>IFERROR(INDEX(Movimientos!$L$2:$L$1993,MATCH(A341&amp;"ENTRADA",Movimientos!$R$2:$R$1993,0)),"-")</f>
        <v>-</v>
      </c>
      <c r="H341" s="17" t="str">
        <f>IFERROR(IF(INDEX(Movimientos!$M$2:$M$1993,MATCH(A341&amp;"ENTRADA",Movimientos!$R$2:$R$1993,0))=0,"S/D",INDEX(Movimientos!$M$2:$M$1993,MATCH(A341&amp;"ENTRADA",Movimientos!$R$2:$R$1993,0))),"S/D")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2648</v>
      </c>
      <c r="B342" s="2" t="str">
        <f>IFERROR(INDEX(Movimientos!$C$2:$C$1993,MATCH(A342&amp;"ENTRADA",Movimientos!$R$2:$R$1993,0)),"-")</f>
        <v>-</v>
      </c>
      <c r="C342" s="2" t="str">
        <f>IFERROR(INDEX(Movimientos!$D$2:$D$1993,MATCH(A342&amp;"ENTRADA",Movimientos!$R$2:$R$1993,0)),"-")</f>
        <v>-</v>
      </c>
      <c r="D342" s="2" t="str">
        <f>IFERROR(INDEX(Movimientos!$E$2:$E$1993,MATCH(A342&amp;"ENTRADA",Movimientos!$R$2:$R$1993,0)),"-")</f>
        <v>-</v>
      </c>
      <c r="E342" s="2" t="str">
        <f>IFERROR(INDEX(Movimientos!$F$2:$F$1993,MATCH(A342&amp;"ENTRADA",Movimientos!$R$2:$R$1993,0)),"-")</f>
        <v>-</v>
      </c>
      <c r="F342" s="2" t="str">
        <f>IFERROR(INDEX(Movimientos!$G$2:$G$1993,MATCH(A342&amp;"ENTRADA",Movimientos!$R$2:$R$1993,0)),"-")</f>
        <v>-</v>
      </c>
      <c r="G342" s="2" t="str">
        <f>IFERROR(INDEX(Movimientos!$L$2:$L$1993,MATCH(A342&amp;"ENTRADA",Movimientos!$R$2:$R$1993,0)),"-")</f>
        <v>-</v>
      </c>
      <c r="H342" s="17" t="str">
        <f>IFERROR(IF(INDEX(Movimientos!$M$2:$M$1993,MATCH(A342&amp;"ENTRADA",Movimientos!$R$2:$R$1993,0))=0,"S/D",INDEX(Movimientos!$M$2:$M$1993,MATCH(A342&amp;"ENTRADA",Movimientos!$R$2:$R$1993,0))),"S/D")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2649</v>
      </c>
      <c r="B343" s="2" t="str">
        <f>IFERROR(INDEX(Movimientos!$C$2:$C$1993,MATCH(A343&amp;"ENTRADA",Movimientos!$R$2:$R$1993,0)),"-")</f>
        <v>-</v>
      </c>
      <c r="C343" s="2" t="str">
        <f>IFERROR(INDEX(Movimientos!$D$2:$D$1993,MATCH(A343&amp;"ENTRADA",Movimientos!$R$2:$R$1993,0)),"-")</f>
        <v>-</v>
      </c>
      <c r="D343" s="2" t="str">
        <f>IFERROR(INDEX(Movimientos!$E$2:$E$1993,MATCH(A343&amp;"ENTRADA",Movimientos!$R$2:$R$1993,0)),"-")</f>
        <v>-</v>
      </c>
      <c r="E343" s="2" t="str">
        <f>IFERROR(INDEX(Movimientos!$F$2:$F$1993,MATCH(A343&amp;"ENTRADA",Movimientos!$R$2:$R$1993,0)),"-")</f>
        <v>-</v>
      </c>
      <c r="F343" s="2" t="str">
        <f>IFERROR(INDEX(Movimientos!$G$2:$G$1993,MATCH(A343&amp;"ENTRADA",Movimientos!$R$2:$R$1993,0)),"-")</f>
        <v>-</v>
      </c>
      <c r="G343" s="2" t="str">
        <f>IFERROR(INDEX(Movimientos!$L$2:$L$1993,MATCH(A343&amp;"ENTRADA",Movimientos!$R$2:$R$1993,0)),"-")</f>
        <v>-</v>
      </c>
      <c r="H343" s="17" t="str">
        <f>IFERROR(IF(INDEX(Movimientos!$M$2:$M$1993,MATCH(A343&amp;"ENTRADA",Movimientos!$R$2:$R$1993,0))=0,"S/D",INDEX(Movimientos!$M$2:$M$1993,MATCH(A343&amp;"ENTRADA",Movimientos!$R$2:$R$1993,0))),"S/D")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2650</v>
      </c>
      <c r="B344" s="2" t="str">
        <f>IFERROR(INDEX(Movimientos!$C$2:$C$1993,MATCH(A344&amp;"ENTRADA",Movimientos!$R$2:$R$1993,0)),"-")</f>
        <v>-</v>
      </c>
      <c r="C344" s="2" t="str">
        <f>IFERROR(INDEX(Movimientos!$D$2:$D$1993,MATCH(A344&amp;"ENTRADA",Movimientos!$R$2:$R$1993,0)),"-")</f>
        <v>-</v>
      </c>
      <c r="D344" s="2" t="str">
        <f>IFERROR(INDEX(Movimientos!$E$2:$E$1993,MATCH(A344&amp;"ENTRADA",Movimientos!$R$2:$R$1993,0)),"-")</f>
        <v>-</v>
      </c>
      <c r="E344" s="2" t="str">
        <f>IFERROR(INDEX(Movimientos!$F$2:$F$1993,MATCH(A344&amp;"ENTRADA",Movimientos!$R$2:$R$1993,0)),"-")</f>
        <v>-</v>
      </c>
      <c r="F344" s="2" t="str">
        <f>IFERROR(INDEX(Movimientos!$G$2:$G$1993,MATCH(A344&amp;"ENTRADA",Movimientos!$R$2:$R$1993,0)),"-")</f>
        <v>-</v>
      </c>
      <c r="G344" s="2" t="str">
        <f>IFERROR(INDEX(Movimientos!$L$2:$L$1993,MATCH(A344&amp;"ENTRADA",Movimientos!$R$2:$R$1993,0)),"-")</f>
        <v>-</v>
      </c>
      <c r="H344" s="17" t="str">
        <f>IFERROR(IF(INDEX(Movimientos!$M$2:$M$1993,MATCH(A344&amp;"ENTRADA",Movimientos!$R$2:$R$1993,0))=0,"S/D",INDEX(Movimientos!$M$2:$M$1993,MATCH(A344&amp;"ENTRADA",Movimientos!$R$2:$R$1993,0))),"S/D")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2651</v>
      </c>
      <c r="B345" s="2" t="str">
        <f>IFERROR(INDEX(Movimientos!$C$2:$C$1993,MATCH(A345&amp;"ENTRADA",Movimientos!$R$2:$R$1993,0)),"-")</f>
        <v>-</v>
      </c>
      <c r="C345" s="2" t="str">
        <f>IFERROR(INDEX(Movimientos!$D$2:$D$1993,MATCH(A345&amp;"ENTRADA",Movimientos!$R$2:$R$1993,0)),"-")</f>
        <v>-</v>
      </c>
      <c r="D345" s="2" t="str">
        <f>IFERROR(INDEX(Movimientos!$E$2:$E$1993,MATCH(A345&amp;"ENTRADA",Movimientos!$R$2:$R$1993,0)),"-")</f>
        <v>-</v>
      </c>
      <c r="E345" s="2" t="str">
        <f>IFERROR(INDEX(Movimientos!$F$2:$F$1993,MATCH(A345&amp;"ENTRADA",Movimientos!$R$2:$R$1993,0)),"-")</f>
        <v>-</v>
      </c>
      <c r="F345" s="2" t="str">
        <f>IFERROR(INDEX(Movimientos!$G$2:$G$1993,MATCH(A345&amp;"ENTRADA",Movimientos!$R$2:$R$1993,0)),"-")</f>
        <v>-</v>
      </c>
      <c r="G345" s="2" t="str">
        <f>IFERROR(INDEX(Movimientos!$L$2:$L$1993,MATCH(A345&amp;"ENTRADA",Movimientos!$R$2:$R$1993,0)),"-")</f>
        <v>-</v>
      </c>
      <c r="H345" s="17" t="str">
        <f>IFERROR(IF(INDEX(Movimientos!$M$2:$M$1993,MATCH(A345&amp;"ENTRADA",Movimientos!$R$2:$R$1993,0))=0,"S/D",INDEX(Movimientos!$M$2:$M$1993,MATCH(A345&amp;"ENTRADA",Movimientos!$R$2:$R$1993,0))),"S/D")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2652</v>
      </c>
      <c r="B346" s="2" t="str">
        <f>IFERROR(INDEX(Movimientos!$C$2:$C$1993,MATCH(A346&amp;"ENTRADA",Movimientos!$R$2:$R$1993,0)),"-")</f>
        <v>-</v>
      </c>
      <c r="C346" s="2" t="str">
        <f>IFERROR(INDEX(Movimientos!$D$2:$D$1993,MATCH(A346&amp;"ENTRADA",Movimientos!$R$2:$R$1993,0)),"-")</f>
        <v>-</v>
      </c>
      <c r="D346" s="2" t="str">
        <f>IFERROR(INDEX(Movimientos!$E$2:$E$1993,MATCH(A346&amp;"ENTRADA",Movimientos!$R$2:$R$1993,0)),"-")</f>
        <v>-</v>
      </c>
      <c r="E346" s="2" t="str">
        <f>IFERROR(INDEX(Movimientos!$F$2:$F$1993,MATCH(A346&amp;"ENTRADA",Movimientos!$R$2:$R$1993,0)),"-")</f>
        <v>-</v>
      </c>
      <c r="F346" s="2" t="str">
        <f>IFERROR(INDEX(Movimientos!$G$2:$G$1993,MATCH(A346&amp;"ENTRADA",Movimientos!$R$2:$R$1993,0)),"-")</f>
        <v>-</v>
      </c>
      <c r="G346" s="2" t="str">
        <f>IFERROR(INDEX(Movimientos!$L$2:$L$1993,MATCH(A346&amp;"ENTRADA",Movimientos!$R$2:$R$1993,0)),"-")</f>
        <v>-</v>
      </c>
      <c r="H346" s="17" t="str">
        <f>IFERROR(IF(INDEX(Movimientos!$M$2:$M$1993,MATCH(A346&amp;"ENTRADA",Movimientos!$R$2:$R$1993,0))=0,"S/D",INDEX(Movimientos!$M$2:$M$1993,MATCH(A346&amp;"ENTRADA",Movimientos!$R$2:$R$1993,0))),"S/D")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2653</v>
      </c>
      <c r="B347" s="2" t="str">
        <f>IFERROR(INDEX(Movimientos!$C$2:$C$1993,MATCH(A347&amp;"ENTRADA",Movimientos!$R$2:$R$1993,0)),"-")</f>
        <v>-</v>
      </c>
      <c r="C347" s="2" t="str">
        <f>IFERROR(INDEX(Movimientos!$D$2:$D$1993,MATCH(A347&amp;"ENTRADA",Movimientos!$R$2:$R$1993,0)),"-")</f>
        <v>-</v>
      </c>
      <c r="D347" s="2" t="str">
        <f>IFERROR(INDEX(Movimientos!$E$2:$E$1993,MATCH(A347&amp;"ENTRADA",Movimientos!$R$2:$R$1993,0)),"-")</f>
        <v>-</v>
      </c>
      <c r="E347" s="2" t="str">
        <f>IFERROR(INDEX(Movimientos!$F$2:$F$1993,MATCH(A347&amp;"ENTRADA",Movimientos!$R$2:$R$1993,0)),"-")</f>
        <v>-</v>
      </c>
      <c r="F347" s="2" t="str">
        <f>IFERROR(INDEX(Movimientos!$G$2:$G$1993,MATCH(A347&amp;"ENTRADA",Movimientos!$R$2:$R$1993,0)),"-")</f>
        <v>-</v>
      </c>
      <c r="G347" s="2" t="str">
        <f>IFERROR(INDEX(Movimientos!$L$2:$L$1993,MATCH(A347&amp;"ENTRADA",Movimientos!$R$2:$R$1993,0)),"-")</f>
        <v>-</v>
      </c>
      <c r="H347" s="17" t="str">
        <f>IFERROR(IF(INDEX(Movimientos!$M$2:$M$1993,MATCH(A347&amp;"ENTRADA",Movimientos!$R$2:$R$1993,0))=0,"S/D",INDEX(Movimientos!$M$2:$M$1993,MATCH(A347&amp;"ENTRADA",Movimientos!$R$2:$R$1993,0))),"S/D")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2654</v>
      </c>
      <c r="B348" s="2" t="str">
        <f>IFERROR(INDEX(Movimientos!$C$2:$C$1993,MATCH(A348&amp;"ENTRADA",Movimientos!$R$2:$R$1993,0)),"-")</f>
        <v>-</v>
      </c>
      <c r="C348" s="2" t="str">
        <f>IFERROR(INDEX(Movimientos!$D$2:$D$1993,MATCH(A348&amp;"ENTRADA",Movimientos!$R$2:$R$1993,0)),"-")</f>
        <v>-</v>
      </c>
      <c r="D348" s="2" t="str">
        <f>IFERROR(INDEX(Movimientos!$E$2:$E$1993,MATCH(A348&amp;"ENTRADA",Movimientos!$R$2:$R$1993,0)),"-")</f>
        <v>-</v>
      </c>
      <c r="E348" s="2" t="str">
        <f>IFERROR(INDEX(Movimientos!$F$2:$F$1993,MATCH(A348&amp;"ENTRADA",Movimientos!$R$2:$R$1993,0)),"-")</f>
        <v>-</v>
      </c>
      <c r="F348" s="2" t="str">
        <f>IFERROR(INDEX(Movimientos!$G$2:$G$1993,MATCH(A348&amp;"ENTRADA",Movimientos!$R$2:$R$1993,0)),"-")</f>
        <v>-</v>
      </c>
      <c r="G348" s="2" t="str">
        <f>IFERROR(INDEX(Movimientos!$L$2:$L$1993,MATCH(A348&amp;"ENTRADA",Movimientos!$R$2:$R$1993,0)),"-")</f>
        <v>-</v>
      </c>
      <c r="H348" s="17" t="str">
        <f>IFERROR(IF(INDEX(Movimientos!$M$2:$M$1993,MATCH(A348&amp;"ENTRADA",Movimientos!$R$2:$R$1993,0))=0,"S/D",INDEX(Movimientos!$M$2:$M$1993,MATCH(A348&amp;"ENTRADA",Movimientos!$R$2:$R$1993,0))),"S/D")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2655</v>
      </c>
      <c r="B349" s="2" t="str">
        <f>IFERROR(INDEX(Movimientos!$C$2:$C$1993,MATCH(A349&amp;"ENTRADA",Movimientos!$R$2:$R$1993,0)),"-")</f>
        <v>-</v>
      </c>
      <c r="C349" s="2" t="str">
        <f>IFERROR(INDEX(Movimientos!$D$2:$D$1993,MATCH(A349&amp;"ENTRADA",Movimientos!$R$2:$R$1993,0)),"-")</f>
        <v>-</v>
      </c>
      <c r="D349" s="2" t="str">
        <f>IFERROR(INDEX(Movimientos!$E$2:$E$1993,MATCH(A349&amp;"ENTRADA",Movimientos!$R$2:$R$1993,0)),"-")</f>
        <v>-</v>
      </c>
      <c r="E349" s="2" t="str">
        <f>IFERROR(INDEX(Movimientos!$F$2:$F$1993,MATCH(A349&amp;"ENTRADA",Movimientos!$R$2:$R$1993,0)),"-")</f>
        <v>-</v>
      </c>
      <c r="F349" s="2" t="str">
        <f>IFERROR(INDEX(Movimientos!$G$2:$G$1993,MATCH(A349&amp;"ENTRADA",Movimientos!$R$2:$R$1993,0)),"-")</f>
        <v>-</v>
      </c>
      <c r="G349" s="2" t="str">
        <f>IFERROR(INDEX(Movimientos!$L$2:$L$1993,MATCH(A349&amp;"ENTRADA",Movimientos!$R$2:$R$1993,0)),"-")</f>
        <v>-</v>
      </c>
      <c r="H349" s="17" t="str">
        <f>IFERROR(IF(INDEX(Movimientos!$M$2:$M$1993,MATCH(A349&amp;"ENTRADA",Movimientos!$R$2:$R$1993,0))=0,"S/D",INDEX(Movimientos!$M$2:$M$1993,MATCH(A349&amp;"ENTRADA",Movimientos!$R$2:$R$1993,0))),"S/D")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2656</v>
      </c>
      <c r="B350" s="2" t="str">
        <f>IFERROR(INDEX(Movimientos!$C$2:$C$1993,MATCH(A350&amp;"ENTRADA",Movimientos!$R$2:$R$1993,0)),"-")</f>
        <v>-</v>
      </c>
      <c r="C350" s="2" t="str">
        <f>IFERROR(INDEX(Movimientos!$D$2:$D$1993,MATCH(A350&amp;"ENTRADA",Movimientos!$R$2:$R$1993,0)),"-")</f>
        <v>-</v>
      </c>
      <c r="D350" s="2" t="str">
        <f>IFERROR(INDEX(Movimientos!$E$2:$E$1993,MATCH(A350&amp;"ENTRADA",Movimientos!$R$2:$R$1993,0)),"-")</f>
        <v>-</v>
      </c>
      <c r="E350" s="2" t="str">
        <f>IFERROR(INDEX(Movimientos!$F$2:$F$1993,MATCH(A350&amp;"ENTRADA",Movimientos!$R$2:$R$1993,0)),"-")</f>
        <v>-</v>
      </c>
      <c r="F350" s="2" t="str">
        <f>IFERROR(INDEX(Movimientos!$G$2:$G$1993,MATCH(A350&amp;"ENTRADA",Movimientos!$R$2:$R$1993,0)),"-")</f>
        <v>-</v>
      </c>
      <c r="G350" s="2" t="str">
        <f>IFERROR(INDEX(Movimientos!$L$2:$L$1993,MATCH(A350&amp;"ENTRADA",Movimientos!$R$2:$R$1993,0)),"-")</f>
        <v>-</v>
      </c>
      <c r="H350" s="17" t="str">
        <f>IFERROR(IF(INDEX(Movimientos!$M$2:$M$1993,MATCH(A350&amp;"ENTRADA",Movimientos!$R$2:$R$1993,0))=0,"S/D",INDEX(Movimientos!$M$2:$M$1993,MATCH(A350&amp;"ENTRADA",Movimientos!$R$2:$R$1993,0))),"S/D")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2657</v>
      </c>
      <c r="B351" s="2" t="str">
        <f>IFERROR(INDEX(Movimientos!$C$2:$C$1993,MATCH(A351&amp;"ENTRADA",Movimientos!$R$2:$R$1993,0)),"-")</f>
        <v>-</v>
      </c>
      <c r="C351" s="2" t="str">
        <f>IFERROR(INDEX(Movimientos!$D$2:$D$1993,MATCH(A351&amp;"ENTRADA",Movimientos!$R$2:$R$1993,0)),"-")</f>
        <v>-</v>
      </c>
      <c r="D351" s="2" t="str">
        <f>IFERROR(INDEX(Movimientos!$E$2:$E$1993,MATCH(A351&amp;"ENTRADA",Movimientos!$R$2:$R$1993,0)),"-")</f>
        <v>-</v>
      </c>
      <c r="E351" s="2" t="str">
        <f>IFERROR(INDEX(Movimientos!$F$2:$F$1993,MATCH(A351&amp;"ENTRADA",Movimientos!$R$2:$R$1993,0)),"-")</f>
        <v>-</v>
      </c>
      <c r="F351" s="2" t="str">
        <f>IFERROR(INDEX(Movimientos!$G$2:$G$1993,MATCH(A351&amp;"ENTRADA",Movimientos!$R$2:$R$1993,0)),"-")</f>
        <v>-</v>
      </c>
      <c r="G351" s="2" t="str">
        <f>IFERROR(INDEX(Movimientos!$L$2:$L$1993,MATCH(A351&amp;"ENTRADA",Movimientos!$R$2:$R$1993,0)),"-")</f>
        <v>-</v>
      </c>
      <c r="H351" s="17" t="str">
        <f>IFERROR(IF(INDEX(Movimientos!$M$2:$M$1993,MATCH(A351&amp;"ENTRADA",Movimientos!$R$2:$R$1993,0))=0,"S/D",INDEX(Movimientos!$M$2:$M$1993,MATCH(A351&amp;"ENTRADA",Movimientos!$R$2:$R$1993,0))),"S/D")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2658</v>
      </c>
      <c r="B352" s="2" t="str">
        <f>IFERROR(INDEX(Movimientos!$C$2:$C$1993,MATCH(A352&amp;"ENTRADA",Movimientos!$R$2:$R$1993,0)),"-")</f>
        <v>-</v>
      </c>
      <c r="C352" s="2" t="str">
        <f>IFERROR(INDEX(Movimientos!$D$2:$D$1993,MATCH(A352&amp;"ENTRADA",Movimientos!$R$2:$R$1993,0)),"-")</f>
        <v>-</v>
      </c>
      <c r="D352" s="2" t="str">
        <f>IFERROR(INDEX(Movimientos!$E$2:$E$1993,MATCH(A352&amp;"ENTRADA",Movimientos!$R$2:$R$1993,0)),"-")</f>
        <v>-</v>
      </c>
      <c r="E352" s="2" t="str">
        <f>IFERROR(INDEX(Movimientos!$F$2:$F$1993,MATCH(A352&amp;"ENTRADA",Movimientos!$R$2:$R$1993,0)),"-")</f>
        <v>-</v>
      </c>
      <c r="F352" s="2" t="str">
        <f>IFERROR(INDEX(Movimientos!$G$2:$G$1993,MATCH(A352&amp;"ENTRADA",Movimientos!$R$2:$R$1993,0)),"-")</f>
        <v>-</v>
      </c>
      <c r="G352" s="2" t="str">
        <f>IFERROR(INDEX(Movimientos!$L$2:$L$1993,MATCH(A352&amp;"ENTRADA",Movimientos!$R$2:$R$1993,0)),"-")</f>
        <v>-</v>
      </c>
      <c r="H352" s="17" t="str">
        <f>IFERROR(IF(INDEX(Movimientos!$M$2:$M$1993,MATCH(A352&amp;"ENTRADA",Movimientos!$R$2:$R$1993,0))=0,"S/D",INDEX(Movimientos!$M$2:$M$1993,MATCH(A352&amp;"ENTRADA",Movimientos!$R$2:$R$1993,0))),"S/D")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2659</v>
      </c>
      <c r="B353" s="2" t="str">
        <f>IFERROR(INDEX(Movimientos!$C$2:$C$1993,MATCH(A353&amp;"ENTRADA",Movimientos!$R$2:$R$1993,0)),"-")</f>
        <v>-</v>
      </c>
      <c r="C353" s="2" t="str">
        <f>IFERROR(INDEX(Movimientos!$D$2:$D$1993,MATCH(A353&amp;"ENTRADA",Movimientos!$R$2:$R$1993,0)),"-")</f>
        <v>-</v>
      </c>
      <c r="D353" s="2" t="str">
        <f>IFERROR(INDEX(Movimientos!$E$2:$E$1993,MATCH(A353&amp;"ENTRADA",Movimientos!$R$2:$R$1993,0)),"-")</f>
        <v>-</v>
      </c>
      <c r="E353" s="2" t="str">
        <f>IFERROR(INDEX(Movimientos!$F$2:$F$1993,MATCH(A353&amp;"ENTRADA",Movimientos!$R$2:$R$1993,0)),"-")</f>
        <v>-</v>
      </c>
      <c r="F353" s="2" t="str">
        <f>IFERROR(INDEX(Movimientos!$G$2:$G$1993,MATCH(A353&amp;"ENTRADA",Movimientos!$R$2:$R$1993,0)),"-")</f>
        <v>-</v>
      </c>
      <c r="G353" s="2" t="str">
        <f>IFERROR(INDEX(Movimientos!$L$2:$L$1993,MATCH(A353&amp;"ENTRADA",Movimientos!$R$2:$R$1993,0)),"-")</f>
        <v>-</v>
      </c>
      <c r="H353" s="17" t="str">
        <f>IFERROR(IF(INDEX(Movimientos!$M$2:$M$1993,MATCH(A353&amp;"ENTRADA",Movimientos!$R$2:$R$1993,0))=0,"S/D",INDEX(Movimientos!$M$2:$M$1993,MATCH(A353&amp;"ENTRADA",Movimientos!$R$2:$R$1993,0))),"S/D")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2660</v>
      </c>
      <c r="B354" s="2" t="str">
        <f>IFERROR(INDEX(Movimientos!$C$2:$C$1993,MATCH(A354&amp;"ENTRADA",Movimientos!$R$2:$R$1993,0)),"-")</f>
        <v>-</v>
      </c>
      <c r="C354" s="2" t="str">
        <f>IFERROR(INDEX(Movimientos!$D$2:$D$1993,MATCH(A354&amp;"ENTRADA",Movimientos!$R$2:$R$1993,0)),"-")</f>
        <v>-</v>
      </c>
      <c r="D354" s="2" t="str">
        <f>IFERROR(INDEX(Movimientos!$E$2:$E$1993,MATCH(A354&amp;"ENTRADA",Movimientos!$R$2:$R$1993,0)),"-")</f>
        <v>-</v>
      </c>
      <c r="E354" s="2" t="str">
        <f>IFERROR(INDEX(Movimientos!$F$2:$F$1993,MATCH(A354&amp;"ENTRADA",Movimientos!$R$2:$R$1993,0)),"-")</f>
        <v>-</v>
      </c>
      <c r="F354" s="2" t="str">
        <f>IFERROR(INDEX(Movimientos!$G$2:$G$1993,MATCH(A354&amp;"ENTRADA",Movimientos!$R$2:$R$1993,0)),"-")</f>
        <v>-</v>
      </c>
      <c r="G354" s="2" t="str">
        <f>IFERROR(INDEX(Movimientos!$L$2:$L$1993,MATCH(A354&amp;"ENTRADA",Movimientos!$R$2:$R$1993,0)),"-")</f>
        <v>-</v>
      </c>
      <c r="H354" s="17" t="str">
        <f>IFERROR(IF(INDEX(Movimientos!$M$2:$M$1993,MATCH(A354&amp;"ENTRADA",Movimientos!$R$2:$R$1993,0))=0,"S/D",INDEX(Movimientos!$M$2:$M$1993,MATCH(A354&amp;"ENTRADA",Movimientos!$R$2:$R$1993,0))),"S/D")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2661</v>
      </c>
      <c r="B355" s="2" t="str">
        <f>IFERROR(INDEX(Movimientos!$C$2:$C$1993,MATCH(A355&amp;"ENTRADA",Movimientos!$R$2:$R$1993,0)),"-")</f>
        <v>-</v>
      </c>
      <c r="C355" s="2" t="str">
        <f>IFERROR(INDEX(Movimientos!$D$2:$D$1993,MATCH(A355&amp;"ENTRADA",Movimientos!$R$2:$R$1993,0)),"-")</f>
        <v>-</v>
      </c>
      <c r="D355" s="2" t="str">
        <f>IFERROR(INDEX(Movimientos!$E$2:$E$1993,MATCH(A355&amp;"ENTRADA",Movimientos!$R$2:$R$1993,0)),"-")</f>
        <v>-</v>
      </c>
      <c r="E355" s="2" t="str">
        <f>IFERROR(INDEX(Movimientos!$F$2:$F$1993,MATCH(A355&amp;"ENTRADA",Movimientos!$R$2:$R$1993,0)),"-")</f>
        <v>-</v>
      </c>
      <c r="F355" s="2" t="str">
        <f>IFERROR(INDEX(Movimientos!$G$2:$G$1993,MATCH(A355&amp;"ENTRADA",Movimientos!$R$2:$R$1993,0)),"-")</f>
        <v>-</v>
      </c>
      <c r="G355" s="2" t="str">
        <f>IFERROR(INDEX(Movimientos!$L$2:$L$1993,MATCH(A355&amp;"ENTRADA",Movimientos!$R$2:$R$1993,0)),"-")</f>
        <v>-</v>
      </c>
      <c r="H355" s="17" t="str">
        <f>IFERROR(IF(INDEX(Movimientos!$M$2:$M$1993,MATCH(A355&amp;"ENTRADA",Movimientos!$R$2:$R$1993,0))=0,"S/D",INDEX(Movimientos!$M$2:$M$1993,MATCH(A355&amp;"ENTRADA",Movimientos!$R$2:$R$1993,0))),"S/D")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2662</v>
      </c>
      <c r="B356" s="2" t="str">
        <f>IFERROR(INDEX(Movimientos!$C$2:$C$1993,MATCH(A356&amp;"ENTRADA",Movimientos!$R$2:$R$1993,0)),"-")</f>
        <v>-</v>
      </c>
      <c r="C356" s="2" t="str">
        <f>IFERROR(INDEX(Movimientos!$D$2:$D$1993,MATCH(A356&amp;"ENTRADA",Movimientos!$R$2:$R$1993,0)),"-")</f>
        <v>-</v>
      </c>
      <c r="D356" s="2" t="str">
        <f>IFERROR(INDEX(Movimientos!$E$2:$E$1993,MATCH(A356&amp;"ENTRADA",Movimientos!$R$2:$R$1993,0)),"-")</f>
        <v>-</v>
      </c>
      <c r="E356" s="2" t="str">
        <f>IFERROR(INDEX(Movimientos!$F$2:$F$1993,MATCH(A356&amp;"ENTRADA",Movimientos!$R$2:$R$1993,0)),"-")</f>
        <v>-</v>
      </c>
      <c r="F356" s="2" t="str">
        <f>IFERROR(INDEX(Movimientos!$G$2:$G$1993,MATCH(A356&amp;"ENTRADA",Movimientos!$R$2:$R$1993,0)),"-")</f>
        <v>-</v>
      </c>
      <c r="G356" s="2" t="str">
        <f>IFERROR(INDEX(Movimientos!$L$2:$L$1993,MATCH(A356&amp;"ENTRADA",Movimientos!$R$2:$R$1993,0)),"-")</f>
        <v>-</v>
      </c>
      <c r="H356" s="17" t="str">
        <f>IFERROR(IF(INDEX(Movimientos!$M$2:$M$1993,MATCH(A356&amp;"ENTRADA",Movimientos!$R$2:$R$1993,0))=0,"S/D",INDEX(Movimientos!$M$2:$M$1993,MATCH(A356&amp;"ENTRADA",Movimientos!$R$2:$R$1993,0))),"S/D")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2663</v>
      </c>
      <c r="B357" s="2" t="str">
        <f>IFERROR(INDEX(Movimientos!$C$2:$C$1993,MATCH(A357&amp;"ENTRADA",Movimientos!$R$2:$R$1993,0)),"-")</f>
        <v>-</v>
      </c>
      <c r="C357" s="2" t="str">
        <f>IFERROR(INDEX(Movimientos!$D$2:$D$1993,MATCH(A357&amp;"ENTRADA",Movimientos!$R$2:$R$1993,0)),"-")</f>
        <v>-</v>
      </c>
      <c r="D357" s="2" t="str">
        <f>IFERROR(INDEX(Movimientos!$E$2:$E$1993,MATCH(A357&amp;"ENTRADA",Movimientos!$R$2:$R$1993,0)),"-")</f>
        <v>-</v>
      </c>
      <c r="E357" s="2" t="str">
        <f>IFERROR(INDEX(Movimientos!$F$2:$F$1993,MATCH(A357&amp;"ENTRADA",Movimientos!$R$2:$R$1993,0)),"-")</f>
        <v>-</v>
      </c>
      <c r="F357" s="2" t="str">
        <f>IFERROR(INDEX(Movimientos!$G$2:$G$1993,MATCH(A357&amp;"ENTRADA",Movimientos!$R$2:$R$1993,0)),"-")</f>
        <v>-</v>
      </c>
      <c r="G357" s="2" t="str">
        <f>IFERROR(INDEX(Movimientos!$L$2:$L$1993,MATCH(A357&amp;"ENTRADA",Movimientos!$R$2:$R$1993,0)),"-")</f>
        <v>-</v>
      </c>
      <c r="H357" s="17" t="str">
        <f>IFERROR(IF(INDEX(Movimientos!$M$2:$M$1993,MATCH(A357&amp;"ENTRADA",Movimientos!$R$2:$R$1993,0))=0,"S/D",INDEX(Movimientos!$M$2:$M$1993,MATCH(A357&amp;"ENTRADA",Movimientos!$R$2:$R$1993,0))),"S/D")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2664</v>
      </c>
      <c r="B358" s="2" t="str">
        <f>IFERROR(INDEX(Movimientos!$C$2:$C$1993,MATCH(A358&amp;"ENTRADA",Movimientos!$R$2:$R$1993,0)),"-")</f>
        <v>-</v>
      </c>
      <c r="C358" s="2" t="str">
        <f>IFERROR(INDEX(Movimientos!$D$2:$D$1993,MATCH(A358&amp;"ENTRADA",Movimientos!$R$2:$R$1993,0)),"-")</f>
        <v>-</v>
      </c>
      <c r="D358" s="2" t="str">
        <f>IFERROR(INDEX(Movimientos!$E$2:$E$1993,MATCH(A358&amp;"ENTRADA",Movimientos!$R$2:$R$1993,0)),"-")</f>
        <v>-</v>
      </c>
      <c r="E358" s="2" t="str">
        <f>IFERROR(INDEX(Movimientos!$F$2:$F$1993,MATCH(A358&amp;"ENTRADA",Movimientos!$R$2:$R$1993,0)),"-")</f>
        <v>-</v>
      </c>
      <c r="F358" s="2" t="str">
        <f>IFERROR(INDEX(Movimientos!$G$2:$G$1993,MATCH(A358&amp;"ENTRADA",Movimientos!$R$2:$R$1993,0)),"-")</f>
        <v>-</v>
      </c>
      <c r="G358" s="2" t="str">
        <f>IFERROR(INDEX(Movimientos!$L$2:$L$1993,MATCH(A358&amp;"ENTRADA",Movimientos!$R$2:$R$1993,0)),"-")</f>
        <v>-</v>
      </c>
      <c r="H358" s="17" t="str">
        <f>IFERROR(IF(INDEX(Movimientos!$M$2:$M$1993,MATCH(A358&amp;"ENTRADA",Movimientos!$R$2:$R$1993,0))=0,"S/D",INDEX(Movimientos!$M$2:$M$1993,MATCH(A358&amp;"ENTRADA",Movimientos!$R$2:$R$1993,0))),"S/D")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2665</v>
      </c>
      <c r="B359" s="2" t="str">
        <f>IFERROR(INDEX(Movimientos!$C$2:$C$1993,MATCH(A359&amp;"ENTRADA",Movimientos!$R$2:$R$1993,0)),"-")</f>
        <v>-</v>
      </c>
      <c r="C359" s="2" t="str">
        <f>IFERROR(INDEX(Movimientos!$D$2:$D$1993,MATCH(A359&amp;"ENTRADA",Movimientos!$R$2:$R$1993,0)),"-")</f>
        <v>-</v>
      </c>
      <c r="D359" s="2" t="str">
        <f>IFERROR(INDEX(Movimientos!$E$2:$E$1993,MATCH(A359&amp;"ENTRADA",Movimientos!$R$2:$R$1993,0)),"-")</f>
        <v>-</v>
      </c>
      <c r="E359" s="2" t="str">
        <f>IFERROR(INDEX(Movimientos!$F$2:$F$1993,MATCH(A359&amp;"ENTRADA",Movimientos!$R$2:$R$1993,0)),"-")</f>
        <v>-</v>
      </c>
      <c r="F359" s="2" t="str">
        <f>IFERROR(INDEX(Movimientos!$G$2:$G$1993,MATCH(A359&amp;"ENTRADA",Movimientos!$R$2:$R$1993,0)),"-")</f>
        <v>-</v>
      </c>
      <c r="G359" s="2" t="str">
        <f>IFERROR(INDEX(Movimientos!$L$2:$L$1993,MATCH(A359&amp;"ENTRADA",Movimientos!$R$2:$R$1993,0)),"-")</f>
        <v>-</v>
      </c>
      <c r="H359" s="17" t="str">
        <f>IFERROR(IF(INDEX(Movimientos!$M$2:$M$1993,MATCH(A359&amp;"ENTRADA",Movimientos!$R$2:$R$1993,0))=0,"S/D",INDEX(Movimientos!$M$2:$M$1993,MATCH(A359&amp;"ENTRADA",Movimientos!$R$2:$R$1993,0))),"S/D")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2666</v>
      </c>
      <c r="B360" s="2" t="str">
        <f>IFERROR(INDEX(Movimientos!$C$2:$C$1993,MATCH(A360&amp;"ENTRADA",Movimientos!$R$2:$R$1993,0)),"-")</f>
        <v>-</v>
      </c>
      <c r="C360" s="2" t="str">
        <f>IFERROR(INDEX(Movimientos!$D$2:$D$1993,MATCH(A360&amp;"ENTRADA",Movimientos!$R$2:$R$1993,0)),"-")</f>
        <v>-</v>
      </c>
      <c r="D360" s="2" t="str">
        <f>IFERROR(INDEX(Movimientos!$E$2:$E$1993,MATCH(A360&amp;"ENTRADA",Movimientos!$R$2:$R$1993,0)),"-")</f>
        <v>-</v>
      </c>
      <c r="E360" s="2" t="str">
        <f>IFERROR(INDEX(Movimientos!$F$2:$F$1993,MATCH(A360&amp;"ENTRADA",Movimientos!$R$2:$R$1993,0)),"-")</f>
        <v>-</v>
      </c>
      <c r="F360" s="2" t="str">
        <f>IFERROR(INDEX(Movimientos!$G$2:$G$1993,MATCH(A360&amp;"ENTRADA",Movimientos!$R$2:$R$1993,0)),"-")</f>
        <v>-</v>
      </c>
      <c r="G360" s="2" t="str">
        <f>IFERROR(INDEX(Movimientos!$L$2:$L$1993,MATCH(A360&amp;"ENTRADA",Movimientos!$R$2:$R$1993,0)),"-")</f>
        <v>-</v>
      </c>
      <c r="H360" s="17" t="str">
        <f>IFERROR(IF(INDEX(Movimientos!$M$2:$M$1993,MATCH(A360&amp;"ENTRADA",Movimientos!$R$2:$R$1993,0))=0,"S/D",INDEX(Movimientos!$M$2:$M$1993,MATCH(A360&amp;"ENTRADA",Movimientos!$R$2:$R$1993,0))),"S/D")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2667</v>
      </c>
      <c r="B361" s="2" t="str">
        <f>IFERROR(INDEX(Movimientos!$C$2:$C$1993,MATCH(A361&amp;"ENTRADA",Movimientos!$R$2:$R$1993,0)),"-")</f>
        <v>-</v>
      </c>
      <c r="C361" s="2" t="str">
        <f>IFERROR(INDEX(Movimientos!$D$2:$D$1993,MATCH(A361&amp;"ENTRADA",Movimientos!$R$2:$R$1993,0)),"-")</f>
        <v>-</v>
      </c>
      <c r="D361" s="2" t="str">
        <f>IFERROR(INDEX(Movimientos!$E$2:$E$1993,MATCH(A361&amp;"ENTRADA",Movimientos!$R$2:$R$1993,0)),"-")</f>
        <v>-</v>
      </c>
      <c r="E361" s="2" t="str">
        <f>IFERROR(INDEX(Movimientos!$F$2:$F$1993,MATCH(A361&amp;"ENTRADA",Movimientos!$R$2:$R$1993,0)),"-")</f>
        <v>-</v>
      </c>
      <c r="F361" s="2" t="str">
        <f>IFERROR(INDEX(Movimientos!$G$2:$G$1993,MATCH(A361&amp;"ENTRADA",Movimientos!$R$2:$R$1993,0)),"-")</f>
        <v>-</v>
      </c>
      <c r="G361" s="2" t="str">
        <f>IFERROR(INDEX(Movimientos!$L$2:$L$1993,MATCH(A361&amp;"ENTRADA",Movimientos!$R$2:$R$1993,0)),"-")</f>
        <v>-</v>
      </c>
      <c r="H361" s="17" t="str">
        <f>IFERROR(IF(INDEX(Movimientos!$M$2:$M$1993,MATCH(A361&amp;"ENTRADA",Movimientos!$R$2:$R$1993,0))=0,"S/D",INDEX(Movimientos!$M$2:$M$1993,MATCH(A361&amp;"ENTRADA",Movimientos!$R$2:$R$1993,0))),"S/D")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2668</v>
      </c>
      <c r="B362" s="2" t="str">
        <f>IFERROR(INDEX(Movimientos!$C$2:$C$1993,MATCH(A362&amp;"ENTRADA",Movimientos!$R$2:$R$1993,0)),"-")</f>
        <v>-</v>
      </c>
      <c r="C362" s="2" t="str">
        <f>IFERROR(INDEX(Movimientos!$D$2:$D$1993,MATCH(A362&amp;"ENTRADA",Movimientos!$R$2:$R$1993,0)),"-")</f>
        <v>-</v>
      </c>
      <c r="D362" s="2" t="str">
        <f>IFERROR(INDEX(Movimientos!$E$2:$E$1993,MATCH(A362&amp;"ENTRADA",Movimientos!$R$2:$R$1993,0)),"-")</f>
        <v>-</v>
      </c>
      <c r="E362" s="2" t="str">
        <f>IFERROR(INDEX(Movimientos!$F$2:$F$1993,MATCH(A362&amp;"ENTRADA",Movimientos!$R$2:$R$1993,0)),"-")</f>
        <v>-</v>
      </c>
      <c r="F362" s="2" t="str">
        <f>IFERROR(INDEX(Movimientos!$G$2:$G$1993,MATCH(A362&amp;"ENTRADA",Movimientos!$R$2:$R$1993,0)),"-")</f>
        <v>-</v>
      </c>
      <c r="G362" s="2" t="str">
        <f>IFERROR(INDEX(Movimientos!$L$2:$L$1993,MATCH(A362&amp;"ENTRADA",Movimientos!$R$2:$R$1993,0)),"-")</f>
        <v>-</v>
      </c>
      <c r="H362" s="17" t="str">
        <f>IFERROR(IF(INDEX(Movimientos!$M$2:$M$1993,MATCH(A362&amp;"ENTRADA",Movimientos!$R$2:$R$1993,0))=0,"S/D",INDEX(Movimientos!$M$2:$M$1993,MATCH(A362&amp;"ENTRADA",Movimientos!$R$2:$R$1993,0))),"S/D")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2669</v>
      </c>
      <c r="B363" s="2" t="str">
        <f>IFERROR(INDEX(Movimientos!$C$2:$C$1993,MATCH(A363&amp;"ENTRADA",Movimientos!$R$2:$R$1993,0)),"-")</f>
        <v>-</v>
      </c>
      <c r="C363" s="2" t="str">
        <f>IFERROR(INDEX(Movimientos!$D$2:$D$1993,MATCH(A363&amp;"ENTRADA",Movimientos!$R$2:$R$1993,0)),"-")</f>
        <v>-</v>
      </c>
      <c r="D363" s="2" t="str">
        <f>IFERROR(INDEX(Movimientos!$E$2:$E$1993,MATCH(A363&amp;"ENTRADA",Movimientos!$R$2:$R$1993,0)),"-")</f>
        <v>-</v>
      </c>
      <c r="E363" s="2" t="str">
        <f>IFERROR(INDEX(Movimientos!$F$2:$F$1993,MATCH(A363&amp;"ENTRADA",Movimientos!$R$2:$R$1993,0)),"-")</f>
        <v>-</v>
      </c>
      <c r="F363" s="2" t="str">
        <f>IFERROR(INDEX(Movimientos!$G$2:$G$1993,MATCH(A363&amp;"ENTRADA",Movimientos!$R$2:$R$1993,0)),"-")</f>
        <v>-</v>
      </c>
      <c r="G363" s="2" t="str">
        <f>IFERROR(INDEX(Movimientos!$L$2:$L$1993,MATCH(A363&amp;"ENTRADA",Movimientos!$R$2:$R$1993,0)),"-")</f>
        <v>-</v>
      </c>
      <c r="H363" s="17" t="str">
        <f>IFERROR(IF(INDEX(Movimientos!$M$2:$M$1993,MATCH(A363&amp;"ENTRADA",Movimientos!$R$2:$R$1993,0))=0,"S/D",INDEX(Movimientos!$M$2:$M$1993,MATCH(A363&amp;"ENTRADA",Movimientos!$R$2:$R$1993,0))),"S/D")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2670</v>
      </c>
      <c r="B364" s="2" t="str">
        <f>IFERROR(INDEX(Movimientos!$C$2:$C$1993,MATCH(A364&amp;"ENTRADA",Movimientos!$R$2:$R$1993,0)),"-")</f>
        <v>-</v>
      </c>
      <c r="C364" s="2" t="str">
        <f>IFERROR(INDEX(Movimientos!$D$2:$D$1993,MATCH(A364&amp;"ENTRADA",Movimientos!$R$2:$R$1993,0)),"-")</f>
        <v>-</v>
      </c>
      <c r="D364" s="2" t="str">
        <f>IFERROR(INDEX(Movimientos!$E$2:$E$1993,MATCH(A364&amp;"ENTRADA",Movimientos!$R$2:$R$1993,0)),"-")</f>
        <v>-</v>
      </c>
      <c r="E364" s="2" t="str">
        <f>IFERROR(INDEX(Movimientos!$F$2:$F$1993,MATCH(A364&amp;"ENTRADA",Movimientos!$R$2:$R$1993,0)),"-")</f>
        <v>-</v>
      </c>
      <c r="F364" s="2" t="str">
        <f>IFERROR(INDEX(Movimientos!$G$2:$G$1993,MATCH(A364&amp;"ENTRADA",Movimientos!$R$2:$R$1993,0)),"-")</f>
        <v>-</v>
      </c>
      <c r="G364" s="2" t="str">
        <f>IFERROR(INDEX(Movimientos!$L$2:$L$1993,MATCH(A364&amp;"ENTRADA",Movimientos!$R$2:$R$1993,0)),"-")</f>
        <v>-</v>
      </c>
      <c r="H364" s="17" t="str">
        <f>IFERROR(IF(INDEX(Movimientos!$M$2:$M$1993,MATCH(A364&amp;"ENTRADA",Movimientos!$R$2:$R$1993,0))=0,"S/D",INDEX(Movimientos!$M$2:$M$1993,MATCH(A364&amp;"ENTRADA",Movimientos!$R$2:$R$1993,0))),"S/D")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2671</v>
      </c>
      <c r="B365" s="2" t="str">
        <f>IFERROR(INDEX(Movimientos!$C$2:$C$1993,MATCH(A365&amp;"ENTRADA",Movimientos!$R$2:$R$1993,0)),"-")</f>
        <v>-</v>
      </c>
      <c r="C365" s="2" t="str">
        <f>IFERROR(INDEX(Movimientos!$D$2:$D$1993,MATCH(A365&amp;"ENTRADA",Movimientos!$R$2:$R$1993,0)),"-")</f>
        <v>-</v>
      </c>
      <c r="D365" s="2" t="str">
        <f>IFERROR(INDEX(Movimientos!$E$2:$E$1993,MATCH(A365&amp;"ENTRADA",Movimientos!$R$2:$R$1993,0)),"-")</f>
        <v>-</v>
      </c>
      <c r="E365" s="2" t="str">
        <f>IFERROR(INDEX(Movimientos!$F$2:$F$1993,MATCH(A365&amp;"ENTRADA",Movimientos!$R$2:$R$1993,0)),"-")</f>
        <v>-</v>
      </c>
      <c r="F365" s="2" t="str">
        <f>IFERROR(INDEX(Movimientos!$G$2:$G$1993,MATCH(A365&amp;"ENTRADA",Movimientos!$R$2:$R$1993,0)),"-")</f>
        <v>-</v>
      </c>
      <c r="G365" s="2" t="str">
        <f>IFERROR(INDEX(Movimientos!$L$2:$L$1993,MATCH(A365&amp;"ENTRADA",Movimientos!$R$2:$R$1993,0)),"-")</f>
        <v>-</v>
      </c>
      <c r="H365" s="17" t="str">
        <f>IFERROR(IF(INDEX(Movimientos!$M$2:$M$1993,MATCH(A365&amp;"ENTRADA",Movimientos!$R$2:$R$1993,0))=0,"S/D",INDEX(Movimientos!$M$2:$M$1993,MATCH(A365&amp;"ENTRADA",Movimientos!$R$2:$R$1993,0))),"S/D")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2672</v>
      </c>
      <c r="B366" s="2" t="str">
        <f>IFERROR(INDEX(Movimientos!$C$2:$C$1993,MATCH(A366&amp;"ENTRADA",Movimientos!$R$2:$R$1993,0)),"-")</f>
        <v>-</v>
      </c>
      <c r="C366" s="2" t="str">
        <f>IFERROR(INDEX(Movimientos!$D$2:$D$1993,MATCH(A366&amp;"ENTRADA",Movimientos!$R$2:$R$1993,0)),"-")</f>
        <v>-</v>
      </c>
      <c r="D366" s="2" t="str">
        <f>IFERROR(INDEX(Movimientos!$E$2:$E$1993,MATCH(A366&amp;"ENTRADA",Movimientos!$R$2:$R$1993,0)),"-")</f>
        <v>-</v>
      </c>
      <c r="E366" s="2" t="str">
        <f>IFERROR(INDEX(Movimientos!$F$2:$F$1993,MATCH(A366&amp;"ENTRADA",Movimientos!$R$2:$R$1993,0)),"-")</f>
        <v>-</v>
      </c>
      <c r="F366" s="2" t="str">
        <f>IFERROR(INDEX(Movimientos!$G$2:$G$1993,MATCH(A366&amp;"ENTRADA",Movimientos!$R$2:$R$1993,0)),"-")</f>
        <v>-</v>
      </c>
      <c r="G366" s="2" t="str">
        <f>IFERROR(INDEX(Movimientos!$L$2:$L$1993,MATCH(A366&amp;"ENTRADA",Movimientos!$R$2:$R$1993,0)),"-")</f>
        <v>-</v>
      </c>
      <c r="H366" s="17" t="str">
        <f>IFERROR(IF(INDEX(Movimientos!$M$2:$M$1993,MATCH(A366&amp;"ENTRADA",Movimientos!$R$2:$R$1993,0))=0,"S/D",INDEX(Movimientos!$M$2:$M$1993,MATCH(A366&amp;"ENTRADA",Movimientos!$R$2:$R$1993,0))),"S/D")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2673</v>
      </c>
      <c r="B367" s="2" t="str">
        <f>IFERROR(INDEX(Movimientos!$C$2:$C$1993,MATCH(A367&amp;"ENTRADA",Movimientos!$R$2:$R$1993,0)),"-")</f>
        <v>-</v>
      </c>
      <c r="C367" s="2" t="str">
        <f>IFERROR(INDEX(Movimientos!$D$2:$D$1993,MATCH(A367&amp;"ENTRADA",Movimientos!$R$2:$R$1993,0)),"-")</f>
        <v>-</v>
      </c>
      <c r="D367" s="2" t="str">
        <f>IFERROR(INDEX(Movimientos!$E$2:$E$1993,MATCH(A367&amp;"ENTRADA",Movimientos!$R$2:$R$1993,0)),"-")</f>
        <v>-</v>
      </c>
      <c r="E367" s="2" t="str">
        <f>IFERROR(INDEX(Movimientos!$F$2:$F$1993,MATCH(A367&amp;"ENTRADA",Movimientos!$R$2:$R$1993,0)),"-")</f>
        <v>-</v>
      </c>
      <c r="F367" s="2" t="str">
        <f>IFERROR(INDEX(Movimientos!$G$2:$G$1993,MATCH(A367&amp;"ENTRADA",Movimientos!$R$2:$R$1993,0)),"-")</f>
        <v>-</v>
      </c>
      <c r="G367" s="2" t="str">
        <f>IFERROR(INDEX(Movimientos!$L$2:$L$1993,MATCH(A367&amp;"ENTRADA",Movimientos!$R$2:$R$1993,0)),"-")</f>
        <v>-</v>
      </c>
      <c r="H367" s="17" t="str">
        <f>IFERROR(IF(INDEX(Movimientos!$M$2:$M$1993,MATCH(A367&amp;"ENTRADA",Movimientos!$R$2:$R$1993,0))=0,"S/D",INDEX(Movimientos!$M$2:$M$1993,MATCH(A367&amp;"ENTRADA",Movimientos!$R$2:$R$1993,0))),"S/D")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2674</v>
      </c>
      <c r="B368" s="2" t="str">
        <f>IFERROR(INDEX(Movimientos!$C$2:$C$1993,MATCH(A368&amp;"ENTRADA",Movimientos!$R$2:$R$1993,0)),"-")</f>
        <v>-</v>
      </c>
      <c r="C368" s="2" t="str">
        <f>IFERROR(INDEX(Movimientos!$D$2:$D$1993,MATCH(A368&amp;"ENTRADA",Movimientos!$R$2:$R$1993,0)),"-")</f>
        <v>-</v>
      </c>
      <c r="D368" s="2" t="str">
        <f>IFERROR(INDEX(Movimientos!$E$2:$E$1993,MATCH(A368&amp;"ENTRADA",Movimientos!$R$2:$R$1993,0)),"-")</f>
        <v>-</v>
      </c>
      <c r="E368" s="2" t="str">
        <f>IFERROR(INDEX(Movimientos!$F$2:$F$1993,MATCH(A368&amp;"ENTRADA",Movimientos!$R$2:$R$1993,0)),"-")</f>
        <v>-</v>
      </c>
      <c r="F368" s="2" t="str">
        <f>IFERROR(INDEX(Movimientos!$G$2:$G$1993,MATCH(A368&amp;"ENTRADA",Movimientos!$R$2:$R$1993,0)),"-")</f>
        <v>-</v>
      </c>
      <c r="G368" s="2" t="str">
        <f>IFERROR(INDEX(Movimientos!$L$2:$L$1993,MATCH(A368&amp;"ENTRADA",Movimientos!$R$2:$R$1993,0)),"-")</f>
        <v>-</v>
      </c>
      <c r="H368" s="17" t="str">
        <f>IFERROR(IF(INDEX(Movimientos!$M$2:$M$1993,MATCH(A368&amp;"ENTRADA",Movimientos!$R$2:$R$1993,0))=0,"S/D",INDEX(Movimientos!$M$2:$M$1993,MATCH(A368&amp;"ENTRADA",Movimientos!$R$2:$R$1993,0))),"S/D")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2675</v>
      </c>
      <c r="B369" s="2" t="str">
        <f>IFERROR(INDEX(Movimientos!$C$2:$C$1993,MATCH(A369&amp;"ENTRADA",Movimientos!$R$2:$R$1993,0)),"-")</f>
        <v>-</v>
      </c>
      <c r="C369" s="2" t="str">
        <f>IFERROR(INDEX(Movimientos!$D$2:$D$1993,MATCH(A369&amp;"ENTRADA",Movimientos!$R$2:$R$1993,0)),"-")</f>
        <v>-</v>
      </c>
      <c r="D369" s="2" t="str">
        <f>IFERROR(INDEX(Movimientos!$E$2:$E$1993,MATCH(A369&amp;"ENTRADA",Movimientos!$R$2:$R$1993,0)),"-")</f>
        <v>-</v>
      </c>
      <c r="E369" s="2" t="str">
        <f>IFERROR(INDEX(Movimientos!$F$2:$F$1993,MATCH(A369&amp;"ENTRADA",Movimientos!$R$2:$R$1993,0)),"-")</f>
        <v>-</v>
      </c>
      <c r="F369" s="2" t="str">
        <f>IFERROR(INDEX(Movimientos!$G$2:$G$1993,MATCH(A369&amp;"ENTRADA",Movimientos!$R$2:$R$1993,0)),"-")</f>
        <v>-</v>
      </c>
      <c r="G369" s="2" t="str">
        <f>IFERROR(INDEX(Movimientos!$L$2:$L$1993,MATCH(A369&amp;"ENTRADA",Movimientos!$R$2:$R$1993,0)),"-")</f>
        <v>-</v>
      </c>
      <c r="H369" s="17" t="str">
        <f>IFERROR(IF(INDEX(Movimientos!$M$2:$M$1993,MATCH(A369&amp;"ENTRADA",Movimientos!$R$2:$R$1993,0))=0,"S/D",INDEX(Movimientos!$M$2:$M$1993,MATCH(A369&amp;"ENTRADA",Movimientos!$R$2:$R$1993,0))),"S/D")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2676</v>
      </c>
      <c r="B370" s="2" t="str">
        <f>IFERROR(INDEX(Movimientos!$C$2:$C$1993,MATCH(A370&amp;"ENTRADA",Movimientos!$R$2:$R$1993,0)),"-")</f>
        <v>-</v>
      </c>
      <c r="C370" s="2" t="str">
        <f>IFERROR(INDEX(Movimientos!$D$2:$D$1993,MATCH(A370&amp;"ENTRADA",Movimientos!$R$2:$R$1993,0)),"-")</f>
        <v>-</v>
      </c>
      <c r="D370" s="2" t="str">
        <f>IFERROR(INDEX(Movimientos!$E$2:$E$1993,MATCH(A370&amp;"ENTRADA",Movimientos!$R$2:$R$1993,0)),"-")</f>
        <v>-</v>
      </c>
      <c r="E370" s="2" t="str">
        <f>IFERROR(INDEX(Movimientos!$F$2:$F$1993,MATCH(A370&amp;"ENTRADA",Movimientos!$R$2:$R$1993,0)),"-")</f>
        <v>-</v>
      </c>
      <c r="F370" s="2" t="str">
        <f>IFERROR(INDEX(Movimientos!$G$2:$G$1993,MATCH(A370&amp;"ENTRADA",Movimientos!$R$2:$R$1993,0)),"-")</f>
        <v>-</v>
      </c>
      <c r="G370" s="2" t="str">
        <f>IFERROR(INDEX(Movimientos!$L$2:$L$1993,MATCH(A370&amp;"ENTRADA",Movimientos!$R$2:$R$1993,0)),"-")</f>
        <v>-</v>
      </c>
      <c r="H370" s="17" t="str">
        <f>IFERROR(IF(INDEX(Movimientos!$M$2:$M$1993,MATCH(A370&amp;"ENTRADA",Movimientos!$R$2:$R$1993,0))=0,"S/D",INDEX(Movimientos!$M$2:$M$1993,MATCH(A370&amp;"ENTRADA",Movimientos!$R$2:$R$1993,0))),"S/D")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2677</v>
      </c>
      <c r="B371" s="2" t="str">
        <f>IFERROR(INDEX(Movimientos!$C$2:$C$1993,MATCH(A371&amp;"ENTRADA",Movimientos!$R$2:$R$1993,0)),"-")</f>
        <v>-</v>
      </c>
      <c r="C371" s="2" t="str">
        <f>IFERROR(INDEX(Movimientos!$D$2:$D$1993,MATCH(A371&amp;"ENTRADA",Movimientos!$R$2:$R$1993,0)),"-")</f>
        <v>-</v>
      </c>
      <c r="D371" s="2" t="str">
        <f>IFERROR(INDEX(Movimientos!$E$2:$E$1993,MATCH(A371&amp;"ENTRADA",Movimientos!$R$2:$R$1993,0)),"-")</f>
        <v>-</v>
      </c>
      <c r="E371" s="2" t="str">
        <f>IFERROR(INDEX(Movimientos!$F$2:$F$1993,MATCH(A371&amp;"ENTRADA",Movimientos!$R$2:$R$1993,0)),"-")</f>
        <v>-</v>
      </c>
      <c r="F371" s="2" t="str">
        <f>IFERROR(INDEX(Movimientos!$G$2:$G$1993,MATCH(A371&amp;"ENTRADA",Movimientos!$R$2:$R$1993,0)),"-")</f>
        <v>-</v>
      </c>
      <c r="G371" s="2" t="str">
        <f>IFERROR(INDEX(Movimientos!$L$2:$L$1993,MATCH(A371&amp;"ENTRADA",Movimientos!$R$2:$R$1993,0)),"-")</f>
        <v>-</v>
      </c>
      <c r="H371" s="17" t="str">
        <f>IFERROR(IF(INDEX(Movimientos!$M$2:$M$1993,MATCH(A371&amp;"ENTRADA",Movimientos!$R$2:$R$1993,0))=0,"S/D",INDEX(Movimientos!$M$2:$M$1993,MATCH(A371&amp;"ENTRADA",Movimientos!$R$2:$R$1993,0))),"S/D")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2678</v>
      </c>
      <c r="B372" s="2" t="str">
        <f>IFERROR(INDEX(Movimientos!$C$2:$C$1993,MATCH(A372&amp;"ENTRADA",Movimientos!$R$2:$R$1993,0)),"-")</f>
        <v>-</v>
      </c>
      <c r="C372" s="2" t="str">
        <f>IFERROR(INDEX(Movimientos!$D$2:$D$1993,MATCH(A372&amp;"ENTRADA",Movimientos!$R$2:$R$1993,0)),"-")</f>
        <v>-</v>
      </c>
      <c r="D372" s="2" t="str">
        <f>IFERROR(INDEX(Movimientos!$E$2:$E$1993,MATCH(A372&amp;"ENTRADA",Movimientos!$R$2:$R$1993,0)),"-")</f>
        <v>-</v>
      </c>
      <c r="E372" s="2" t="str">
        <f>IFERROR(INDEX(Movimientos!$F$2:$F$1993,MATCH(A372&amp;"ENTRADA",Movimientos!$R$2:$R$1993,0)),"-")</f>
        <v>-</v>
      </c>
      <c r="F372" s="2" t="str">
        <f>IFERROR(INDEX(Movimientos!$G$2:$G$1993,MATCH(A372&amp;"ENTRADA",Movimientos!$R$2:$R$1993,0)),"-")</f>
        <v>-</v>
      </c>
      <c r="G372" s="2" t="str">
        <f>IFERROR(INDEX(Movimientos!$L$2:$L$1993,MATCH(A372&amp;"ENTRADA",Movimientos!$R$2:$R$1993,0)),"-")</f>
        <v>-</v>
      </c>
      <c r="H372" s="17" t="str">
        <f>IFERROR(IF(INDEX(Movimientos!$M$2:$M$1993,MATCH(A372&amp;"ENTRADA",Movimientos!$R$2:$R$1993,0))=0,"S/D",INDEX(Movimientos!$M$2:$M$1993,MATCH(A372&amp;"ENTRADA",Movimientos!$R$2:$R$1993,0))),"S/D")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2679</v>
      </c>
      <c r="B373" s="2" t="str">
        <f>IFERROR(INDEX(Movimientos!$C$2:$C$1993,MATCH(A373&amp;"ENTRADA",Movimientos!$R$2:$R$1993,0)),"-")</f>
        <v>-</v>
      </c>
      <c r="C373" s="2" t="str">
        <f>IFERROR(INDEX(Movimientos!$D$2:$D$1993,MATCH(A373&amp;"ENTRADA",Movimientos!$R$2:$R$1993,0)),"-")</f>
        <v>-</v>
      </c>
      <c r="D373" s="2" t="str">
        <f>IFERROR(INDEX(Movimientos!$E$2:$E$1993,MATCH(A373&amp;"ENTRADA",Movimientos!$R$2:$R$1993,0)),"-")</f>
        <v>-</v>
      </c>
      <c r="E373" s="2" t="str">
        <f>IFERROR(INDEX(Movimientos!$F$2:$F$1993,MATCH(A373&amp;"ENTRADA",Movimientos!$R$2:$R$1993,0)),"-")</f>
        <v>-</v>
      </c>
      <c r="F373" s="2" t="str">
        <f>IFERROR(INDEX(Movimientos!$G$2:$G$1993,MATCH(A373&amp;"ENTRADA",Movimientos!$R$2:$R$1993,0)),"-")</f>
        <v>-</v>
      </c>
      <c r="G373" s="2" t="str">
        <f>IFERROR(INDEX(Movimientos!$L$2:$L$1993,MATCH(A373&amp;"ENTRADA",Movimientos!$R$2:$R$1993,0)),"-")</f>
        <v>-</v>
      </c>
      <c r="H373" s="17" t="str">
        <f>IFERROR(IF(INDEX(Movimientos!$M$2:$M$1993,MATCH(A373&amp;"ENTRADA",Movimientos!$R$2:$R$1993,0))=0,"S/D",INDEX(Movimientos!$M$2:$M$1993,MATCH(A373&amp;"ENTRADA",Movimientos!$R$2:$R$1993,0))),"S/D")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2680</v>
      </c>
      <c r="B374" s="2" t="str">
        <f>IFERROR(INDEX(Movimientos!$C$2:$C$1993,MATCH(A374&amp;"ENTRADA",Movimientos!$R$2:$R$1993,0)),"-")</f>
        <v>-</v>
      </c>
      <c r="C374" s="2" t="str">
        <f>IFERROR(INDEX(Movimientos!$D$2:$D$1993,MATCH(A374&amp;"ENTRADA",Movimientos!$R$2:$R$1993,0)),"-")</f>
        <v>-</v>
      </c>
      <c r="D374" s="2" t="str">
        <f>IFERROR(INDEX(Movimientos!$E$2:$E$1993,MATCH(A374&amp;"ENTRADA",Movimientos!$R$2:$R$1993,0)),"-")</f>
        <v>-</v>
      </c>
      <c r="E374" s="2" t="str">
        <f>IFERROR(INDEX(Movimientos!$F$2:$F$1993,MATCH(A374&amp;"ENTRADA",Movimientos!$R$2:$R$1993,0)),"-")</f>
        <v>-</v>
      </c>
      <c r="F374" s="2" t="str">
        <f>IFERROR(INDEX(Movimientos!$G$2:$G$1993,MATCH(A374&amp;"ENTRADA",Movimientos!$R$2:$R$1993,0)),"-")</f>
        <v>-</v>
      </c>
      <c r="G374" s="2" t="str">
        <f>IFERROR(INDEX(Movimientos!$L$2:$L$1993,MATCH(A374&amp;"ENTRADA",Movimientos!$R$2:$R$1993,0)),"-")</f>
        <v>-</v>
      </c>
      <c r="H374" s="17" t="str">
        <f>IFERROR(IF(INDEX(Movimientos!$M$2:$M$1993,MATCH(A374&amp;"ENTRADA",Movimientos!$R$2:$R$1993,0))=0,"S/D",INDEX(Movimientos!$M$2:$M$1993,MATCH(A374&amp;"ENTRADA",Movimientos!$R$2:$R$1993,0))),"S/D")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2681</v>
      </c>
      <c r="B375" s="2" t="str">
        <f>IFERROR(INDEX(Movimientos!$C$2:$C$1993,MATCH(A375&amp;"ENTRADA",Movimientos!$R$2:$R$1993,0)),"-")</f>
        <v>-</v>
      </c>
      <c r="C375" s="2" t="str">
        <f>IFERROR(INDEX(Movimientos!$D$2:$D$1993,MATCH(A375&amp;"ENTRADA",Movimientos!$R$2:$R$1993,0)),"-")</f>
        <v>-</v>
      </c>
      <c r="D375" s="2" t="str">
        <f>IFERROR(INDEX(Movimientos!$E$2:$E$1993,MATCH(A375&amp;"ENTRADA",Movimientos!$R$2:$R$1993,0)),"-")</f>
        <v>-</v>
      </c>
      <c r="E375" s="2" t="str">
        <f>IFERROR(INDEX(Movimientos!$F$2:$F$1993,MATCH(A375&amp;"ENTRADA",Movimientos!$R$2:$R$1993,0)),"-")</f>
        <v>-</v>
      </c>
      <c r="F375" s="2" t="str">
        <f>IFERROR(INDEX(Movimientos!$G$2:$G$1993,MATCH(A375&amp;"ENTRADA",Movimientos!$R$2:$R$1993,0)),"-")</f>
        <v>-</v>
      </c>
      <c r="G375" s="2" t="str">
        <f>IFERROR(INDEX(Movimientos!$L$2:$L$1993,MATCH(A375&amp;"ENTRADA",Movimientos!$R$2:$R$1993,0)),"-")</f>
        <v>-</v>
      </c>
      <c r="H375" s="17" t="str">
        <f>IFERROR(IF(INDEX(Movimientos!$M$2:$M$1993,MATCH(A375&amp;"ENTRADA",Movimientos!$R$2:$R$1993,0))=0,"S/D",INDEX(Movimientos!$M$2:$M$1993,MATCH(A375&amp;"ENTRADA",Movimientos!$R$2:$R$1993,0))),"S/D")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2682</v>
      </c>
      <c r="B376" s="2" t="str">
        <f>IFERROR(INDEX(Movimientos!$C$2:$C$1993,MATCH(A376&amp;"ENTRADA",Movimientos!$R$2:$R$1993,0)),"-")</f>
        <v>-</v>
      </c>
      <c r="C376" s="2" t="str">
        <f>IFERROR(INDEX(Movimientos!$D$2:$D$1993,MATCH(A376&amp;"ENTRADA",Movimientos!$R$2:$R$1993,0)),"-")</f>
        <v>-</v>
      </c>
      <c r="D376" s="2" t="str">
        <f>IFERROR(INDEX(Movimientos!$E$2:$E$1993,MATCH(A376&amp;"ENTRADA",Movimientos!$R$2:$R$1993,0)),"-")</f>
        <v>-</v>
      </c>
      <c r="E376" s="2" t="str">
        <f>IFERROR(INDEX(Movimientos!$F$2:$F$1993,MATCH(A376&amp;"ENTRADA",Movimientos!$R$2:$R$1993,0)),"-")</f>
        <v>-</v>
      </c>
      <c r="F376" s="2" t="str">
        <f>IFERROR(INDEX(Movimientos!$G$2:$G$1993,MATCH(A376&amp;"ENTRADA",Movimientos!$R$2:$R$1993,0)),"-")</f>
        <v>-</v>
      </c>
      <c r="G376" s="2" t="str">
        <f>IFERROR(INDEX(Movimientos!$L$2:$L$1993,MATCH(A376&amp;"ENTRADA",Movimientos!$R$2:$R$1993,0)),"-")</f>
        <v>-</v>
      </c>
      <c r="H376" s="17" t="str">
        <f>IFERROR(IF(INDEX(Movimientos!$M$2:$M$1993,MATCH(A376&amp;"ENTRADA",Movimientos!$R$2:$R$1993,0))=0,"S/D",INDEX(Movimientos!$M$2:$M$1993,MATCH(A376&amp;"ENTRADA",Movimientos!$R$2:$R$1993,0))),"S/D")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2683</v>
      </c>
      <c r="B377" s="2" t="str">
        <f>IFERROR(INDEX(Movimientos!$C$2:$C$1993,MATCH(A377&amp;"ENTRADA",Movimientos!$R$2:$R$1993,0)),"-")</f>
        <v>-</v>
      </c>
      <c r="C377" s="2" t="str">
        <f>IFERROR(INDEX(Movimientos!$D$2:$D$1993,MATCH(A377&amp;"ENTRADA",Movimientos!$R$2:$R$1993,0)),"-")</f>
        <v>-</v>
      </c>
      <c r="D377" s="2" t="str">
        <f>IFERROR(INDEX(Movimientos!$E$2:$E$1993,MATCH(A377&amp;"ENTRADA",Movimientos!$R$2:$R$1993,0)),"-")</f>
        <v>-</v>
      </c>
      <c r="E377" s="2" t="str">
        <f>IFERROR(INDEX(Movimientos!$F$2:$F$1993,MATCH(A377&amp;"ENTRADA",Movimientos!$R$2:$R$1993,0)),"-")</f>
        <v>-</v>
      </c>
      <c r="F377" s="2" t="str">
        <f>IFERROR(INDEX(Movimientos!$G$2:$G$1993,MATCH(A377&amp;"ENTRADA",Movimientos!$R$2:$R$1993,0)),"-")</f>
        <v>-</v>
      </c>
      <c r="G377" s="2" t="str">
        <f>IFERROR(INDEX(Movimientos!$L$2:$L$1993,MATCH(A377&amp;"ENTRADA",Movimientos!$R$2:$R$1993,0)),"-")</f>
        <v>-</v>
      </c>
      <c r="H377" s="17" t="str">
        <f>IFERROR(IF(INDEX(Movimientos!$M$2:$M$1993,MATCH(A377&amp;"ENTRADA",Movimientos!$R$2:$R$1993,0))=0,"S/D",INDEX(Movimientos!$M$2:$M$1993,MATCH(A377&amp;"ENTRADA",Movimientos!$R$2:$R$1993,0))),"S/D")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2684</v>
      </c>
      <c r="B378" s="2" t="str">
        <f>IFERROR(INDEX(Movimientos!$C$2:$C$1993,MATCH(A378&amp;"ENTRADA",Movimientos!$R$2:$R$1993,0)),"-")</f>
        <v>-</v>
      </c>
      <c r="C378" s="2" t="str">
        <f>IFERROR(INDEX(Movimientos!$D$2:$D$1993,MATCH(A378&amp;"ENTRADA",Movimientos!$R$2:$R$1993,0)),"-")</f>
        <v>-</v>
      </c>
      <c r="D378" s="2" t="str">
        <f>IFERROR(INDEX(Movimientos!$E$2:$E$1993,MATCH(A378&amp;"ENTRADA",Movimientos!$R$2:$R$1993,0)),"-")</f>
        <v>-</v>
      </c>
      <c r="E378" s="2" t="str">
        <f>IFERROR(INDEX(Movimientos!$F$2:$F$1993,MATCH(A378&amp;"ENTRADA",Movimientos!$R$2:$R$1993,0)),"-")</f>
        <v>-</v>
      </c>
      <c r="F378" s="2" t="str">
        <f>IFERROR(INDEX(Movimientos!$G$2:$G$1993,MATCH(A378&amp;"ENTRADA",Movimientos!$R$2:$R$1993,0)),"-")</f>
        <v>-</v>
      </c>
      <c r="G378" s="2" t="str">
        <f>IFERROR(INDEX(Movimientos!$L$2:$L$1993,MATCH(A378&amp;"ENTRADA",Movimientos!$R$2:$R$1993,0)),"-")</f>
        <v>-</v>
      </c>
      <c r="H378" s="17" t="str">
        <f>IFERROR(IF(INDEX(Movimientos!$M$2:$M$1993,MATCH(A378&amp;"ENTRADA",Movimientos!$R$2:$R$1993,0))=0,"S/D",INDEX(Movimientos!$M$2:$M$1993,MATCH(A378&amp;"ENTRADA",Movimientos!$R$2:$R$1993,0))),"S/D")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2685</v>
      </c>
      <c r="B379" s="2" t="str">
        <f>IFERROR(INDEX(Movimientos!$C$2:$C$1993,MATCH(A379&amp;"ENTRADA",Movimientos!$R$2:$R$1993,0)),"-")</f>
        <v>-</v>
      </c>
      <c r="C379" s="2" t="str">
        <f>IFERROR(INDEX(Movimientos!$D$2:$D$1993,MATCH(A379&amp;"ENTRADA",Movimientos!$R$2:$R$1993,0)),"-")</f>
        <v>-</v>
      </c>
      <c r="D379" s="2" t="str">
        <f>IFERROR(INDEX(Movimientos!$E$2:$E$1993,MATCH(A379&amp;"ENTRADA",Movimientos!$R$2:$R$1993,0)),"-")</f>
        <v>-</v>
      </c>
      <c r="E379" s="2" t="str">
        <f>IFERROR(INDEX(Movimientos!$F$2:$F$1993,MATCH(A379&amp;"ENTRADA",Movimientos!$R$2:$R$1993,0)),"-")</f>
        <v>-</v>
      </c>
      <c r="F379" s="2" t="str">
        <f>IFERROR(INDEX(Movimientos!$G$2:$G$1993,MATCH(A379&amp;"ENTRADA",Movimientos!$R$2:$R$1993,0)),"-")</f>
        <v>-</v>
      </c>
      <c r="G379" s="2" t="str">
        <f>IFERROR(INDEX(Movimientos!$L$2:$L$1993,MATCH(A379&amp;"ENTRADA",Movimientos!$R$2:$R$1993,0)),"-")</f>
        <v>-</v>
      </c>
      <c r="H379" s="17" t="str">
        <f>IFERROR(IF(INDEX(Movimientos!$M$2:$M$1993,MATCH(A379&amp;"ENTRADA",Movimientos!$R$2:$R$1993,0))=0,"S/D",INDEX(Movimientos!$M$2:$M$1993,MATCH(A379&amp;"ENTRADA",Movimientos!$R$2:$R$1993,0))),"S/D")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2686</v>
      </c>
      <c r="B380" s="2" t="str">
        <f>IFERROR(INDEX(Movimientos!$C$2:$C$1993,MATCH(A380&amp;"ENTRADA",Movimientos!$R$2:$R$1993,0)),"-")</f>
        <v>-</v>
      </c>
      <c r="C380" s="2" t="str">
        <f>IFERROR(INDEX(Movimientos!$D$2:$D$1993,MATCH(A380&amp;"ENTRADA",Movimientos!$R$2:$R$1993,0)),"-")</f>
        <v>-</v>
      </c>
      <c r="D380" s="2" t="str">
        <f>IFERROR(INDEX(Movimientos!$E$2:$E$1993,MATCH(A380&amp;"ENTRADA",Movimientos!$R$2:$R$1993,0)),"-")</f>
        <v>-</v>
      </c>
      <c r="E380" s="2" t="str">
        <f>IFERROR(INDEX(Movimientos!$F$2:$F$1993,MATCH(A380&amp;"ENTRADA",Movimientos!$R$2:$R$1993,0)),"-")</f>
        <v>-</v>
      </c>
      <c r="F380" s="2" t="str">
        <f>IFERROR(INDEX(Movimientos!$G$2:$G$1993,MATCH(A380&amp;"ENTRADA",Movimientos!$R$2:$R$1993,0)),"-")</f>
        <v>-</v>
      </c>
      <c r="G380" s="2" t="str">
        <f>IFERROR(INDEX(Movimientos!$L$2:$L$1993,MATCH(A380&amp;"ENTRADA",Movimientos!$R$2:$R$1993,0)),"-")</f>
        <v>-</v>
      </c>
      <c r="H380" s="17" t="str">
        <f>IFERROR(IF(INDEX(Movimientos!$M$2:$M$1993,MATCH(A380&amp;"ENTRADA",Movimientos!$R$2:$R$1993,0))=0,"S/D",INDEX(Movimientos!$M$2:$M$1993,MATCH(A380&amp;"ENTRADA",Movimientos!$R$2:$R$1993,0))),"S/D")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2687</v>
      </c>
      <c r="B381" s="2" t="str">
        <f>IFERROR(INDEX(Movimientos!$C$2:$C$1993,MATCH(A381&amp;"ENTRADA",Movimientos!$R$2:$R$1993,0)),"-")</f>
        <v>-</v>
      </c>
      <c r="C381" s="2" t="str">
        <f>IFERROR(INDEX(Movimientos!$D$2:$D$1993,MATCH(A381&amp;"ENTRADA",Movimientos!$R$2:$R$1993,0)),"-")</f>
        <v>-</v>
      </c>
      <c r="D381" s="2" t="str">
        <f>IFERROR(INDEX(Movimientos!$E$2:$E$1993,MATCH(A381&amp;"ENTRADA",Movimientos!$R$2:$R$1993,0)),"-")</f>
        <v>-</v>
      </c>
      <c r="E381" s="2" t="str">
        <f>IFERROR(INDEX(Movimientos!$F$2:$F$1993,MATCH(A381&amp;"ENTRADA",Movimientos!$R$2:$R$1993,0)),"-")</f>
        <v>-</v>
      </c>
      <c r="F381" s="2" t="str">
        <f>IFERROR(INDEX(Movimientos!$G$2:$G$1993,MATCH(A381&amp;"ENTRADA",Movimientos!$R$2:$R$1993,0)),"-")</f>
        <v>-</v>
      </c>
      <c r="G381" s="2" t="str">
        <f>IFERROR(INDEX(Movimientos!$L$2:$L$1993,MATCH(A381&amp;"ENTRADA",Movimientos!$R$2:$R$1993,0)),"-")</f>
        <v>-</v>
      </c>
      <c r="H381" s="17" t="str">
        <f>IFERROR(IF(INDEX(Movimientos!$M$2:$M$1993,MATCH(A381&amp;"ENTRADA",Movimientos!$R$2:$R$1993,0))=0,"S/D",INDEX(Movimientos!$M$2:$M$1993,MATCH(A381&amp;"ENTRADA",Movimientos!$R$2:$R$1993,0))),"S/D")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2688</v>
      </c>
      <c r="B382" s="2" t="str">
        <f>IFERROR(INDEX(Movimientos!$C$2:$C$1993,MATCH(A382&amp;"ENTRADA",Movimientos!$R$2:$R$1993,0)),"-")</f>
        <v>-</v>
      </c>
      <c r="C382" s="2" t="str">
        <f>IFERROR(INDEX(Movimientos!$D$2:$D$1993,MATCH(A382&amp;"ENTRADA",Movimientos!$R$2:$R$1993,0)),"-")</f>
        <v>-</v>
      </c>
      <c r="D382" s="2" t="str">
        <f>IFERROR(INDEX(Movimientos!$E$2:$E$1993,MATCH(A382&amp;"ENTRADA",Movimientos!$R$2:$R$1993,0)),"-")</f>
        <v>-</v>
      </c>
      <c r="E382" s="2" t="str">
        <f>IFERROR(INDEX(Movimientos!$F$2:$F$1993,MATCH(A382&amp;"ENTRADA",Movimientos!$R$2:$R$1993,0)),"-")</f>
        <v>-</v>
      </c>
      <c r="F382" s="2" t="str">
        <f>IFERROR(INDEX(Movimientos!$G$2:$G$1993,MATCH(A382&amp;"ENTRADA",Movimientos!$R$2:$R$1993,0)),"-")</f>
        <v>-</v>
      </c>
      <c r="G382" s="2" t="str">
        <f>IFERROR(INDEX(Movimientos!$L$2:$L$1993,MATCH(A382&amp;"ENTRADA",Movimientos!$R$2:$R$1993,0)),"-")</f>
        <v>-</v>
      </c>
      <c r="H382" s="17" t="str">
        <f>IFERROR(IF(INDEX(Movimientos!$M$2:$M$1993,MATCH(A382&amp;"ENTRADA",Movimientos!$R$2:$R$1993,0))=0,"S/D",INDEX(Movimientos!$M$2:$M$1993,MATCH(A382&amp;"ENTRADA",Movimientos!$R$2:$R$1993,0))),"S/D")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2689</v>
      </c>
      <c r="B383" s="2" t="str">
        <f>IFERROR(INDEX(Movimientos!$C$2:$C$1993,MATCH(A383&amp;"ENTRADA",Movimientos!$R$2:$R$1993,0)),"-")</f>
        <v>-</v>
      </c>
      <c r="C383" s="2" t="str">
        <f>IFERROR(INDEX(Movimientos!$D$2:$D$1993,MATCH(A383&amp;"ENTRADA",Movimientos!$R$2:$R$1993,0)),"-")</f>
        <v>-</v>
      </c>
      <c r="D383" s="2" t="str">
        <f>IFERROR(INDEX(Movimientos!$E$2:$E$1993,MATCH(A383&amp;"ENTRADA",Movimientos!$R$2:$R$1993,0)),"-")</f>
        <v>-</v>
      </c>
      <c r="E383" s="2" t="str">
        <f>IFERROR(INDEX(Movimientos!$F$2:$F$1993,MATCH(A383&amp;"ENTRADA",Movimientos!$R$2:$R$1993,0)),"-")</f>
        <v>-</v>
      </c>
      <c r="F383" s="2" t="str">
        <f>IFERROR(INDEX(Movimientos!$G$2:$G$1993,MATCH(A383&amp;"ENTRADA",Movimientos!$R$2:$R$1993,0)),"-")</f>
        <v>-</v>
      </c>
      <c r="G383" s="2" t="str">
        <f>IFERROR(INDEX(Movimientos!$L$2:$L$1993,MATCH(A383&amp;"ENTRADA",Movimientos!$R$2:$R$1993,0)),"-")</f>
        <v>-</v>
      </c>
      <c r="H383" s="17" t="str">
        <f>IFERROR(IF(INDEX(Movimientos!$M$2:$M$1993,MATCH(A383&amp;"ENTRADA",Movimientos!$R$2:$R$1993,0))=0,"S/D",INDEX(Movimientos!$M$2:$M$1993,MATCH(A383&amp;"ENTRADA",Movimientos!$R$2:$R$1993,0))),"S/D")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2690</v>
      </c>
      <c r="B384" s="2" t="str">
        <f>IFERROR(INDEX(Movimientos!$C$2:$C$1993,MATCH(A384&amp;"ENTRADA",Movimientos!$R$2:$R$1993,0)),"-")</f>
        <v>-</v>
      </c>
      <c r="C384" s="2" t="str">
        <f>IFERROR(INDEX(Movimientos!$D$2:$D$1993,MATCH(A384&amp;"ENTRADA",Movimientos!$R$2:$R$1993,0)),"-")</f>
        <v>-</v>
      </c>
      <c r="D384" s="2" t="str">
        <f>IFERROR(INDEX(Movimientos!$E$2:$E$1993,MATCH(A384&amp;"ENTRADA",Movimientos!$R$2:$R$1993,0)),"-")</f>
        <v>-</v>
      </c>
      <c r="E384" s="2" t="str">
        <f>IFERROR(INDEX(Movimientos!$F$2:$F$1993,MATCH(A384&amp;"ENTRADA",Movimientos!$R$2:$R$1993,0)),"-")</f>
        <v>-</v>
      </c>
      <c r="F384" s="2" t="str">
        <f>IFERROR(INDEX(Movimientos!$G$2:$G$1993,MATCH(A384&amp;"ENTRADA",Movimientos!$R$2:$R$1993,0)),"-")</f>
        <v>-</v>
      </c>
      <c r="G384" s="2" t="str">
        <f>IFERROR(INDEX(Movimientos!$L$2:$L$1993,MATCH(A384&amp;"ENTRADA",Movimientos!$R$2:$R$1993,0)),"-")</f>
        <v>-</v>
      </c>
      <c r="H384" s="17" t="str">
        <f>IFERROR(IF(INDEX(Movimientos!$M$2:$M$1993,MATCH(A384&amp;"ENTRADA",Movimientos!$R$2:$R$1993,0))=0,"S/D",INDEX(Movimientos!$M$2:$M$1993,MATCH(A384&amp;"ENTRADA",Movimientos!$R$2:$R$1993,0))),"S/D")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2691</v>
      </c>
      <c r="B385" s="2" t="str">
        <f>IFERROR(INDEX(Movimientos!$C$2:$C$1993,MATCH(A385&amp;"ENTRADA",Movimientos!$R$2:$R$1993,0)),"-")</f>
        <v>-</v>
      </c>
      <c r="C385" s="2" t="str">
        <f>IFERROR(INDEX(Movimientos!$D$2:$D$1993,MATCH(A385&amp;"ENTRADA",Movimientos!$R$2:$R$1993,0)),"-")</f>
        <v>-</v>
      </c>
      <c r="D385" s="2" t="str">
        <f>IFERROR(INDEX(Movimientos!$E$2:$E$1993,MATCH(A385&amp;"ENTRADA",Movimientos!$R$2:$R$1993,0)),"-")</f>
        <v>-</v>
      </c>
      <c r="E385" s="2" t="str">
        <f>IFERROR(INDEX(Movimientos!$F$2:$F$1993,MATCH(A385&amp;"ENTRADA",Movimientos!$R$2:$R$1993,0)),"-")</f>
        <v>-</v>
      </c>
      <c r="F385" s="2" t="str">
        <f>IFERROR(INDEX(Movimientos!$G$2:$G$1993,MATCH(A385&amp;"ENTRADA",Movimientos!$R$2:$R$1993,0)),"-")</f>
        <v>-</v>
      </c>
      <c r="G385" s="2" t="str">
        <f>IFERROR(INDEX(Movimientos!$L$2:$L$1993,MATCH(A385&amp;"ENTRADA",Movimientos!$R$2:$R$1993,0)),"-")</f>
        <v>-</v>
      </c>
      <c r="H385" s="17" t="str">
        <f>IFERROR(IF(INDEX(Movimientos!$M$2:$M$1993,MATCH(A385&amp;"ENTRADA",Movimientos!$R$2:$R$1993,0))=0,"S/D",INDEX(Movimientos!$M$2:$M$1993,MATCH(A385&amp;"ENTRADA",Movimientos!$R$2:$R$1993,0))),"S/D")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2692</v>
      </c>
      <c r="B386" s="2" t="str">
        <f>IFERROR(INDEX(Movimientos!$C$2:$C$1993,MATCH(A386&amp;"ENTRADA",Movimientos!$R$2:$R$1993,0)),"-")</f>
        <v>-</v>
      </c>
      <c r="C386" s="2" t="str">
        <f>IFERROR(INDEX(Movimientos!$D$2:$D$1993,MATCH(A386&amp;"ENTRADA",Movimientos!$R$2:$R$1993,0)),"-")</f>
        <v>-</v>
      </c>
      <c r="D386" s="2" t="str">
        <f>IFERROR(INDEX(Movimientos!$E$2:$E$1993,MATCH(A386&amp;"ENTRADA",Movimientos!$R$2:$R$1993,0)),"-")</f>
        <v>-</v>
      </c>
      <c r="E386" s="2" t="str">
        <f>IFERROR(INDEX(Movimientos!$F$2:$F$1993,MATCH(A386&amp;"ENTRADA",Movimientos!$R$2:$R$1993,0)),"-")</f>
        <v>-</v>
      </c>
      <c r="F386" s="2" t="str">
        <f>IFERROR(INDEX(Movimientos!$G$2:$G$1993,MATCH(A386&amp;"ENTRADA",Movimientos!$R$2:$R$1993,0)),"-")</f>
        <v>-</v>
      </c>
      <c r="G386" s="2" t="str">
        <f>IFERROR(INDEX(Movimientos!$L$2:$L$1993,MATCH(A386&amp;"ENTRADA",Movimientos!$R$2:$R$1993,0)),"-")</f>
        <v>-</v>
      </c>
      <c r="H386" s="17" t="str">
        <f>IFERROR(IF(INDEX(Movimientos!$M$2:$M$1993,MATCH(A386&amp;"ENTRADA",Movimientos!$R$2:$R$1993,0))=0,"S/D",INDEX(Movimientos!$M$2:$M$1993,MATCH(A386&amp;"ENTRADA",Movimientos!$R$2:$R$1993,0))),"S/D")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2693</v>
      </c>
      <c r="B387" s="2" t="str">
        <f>IFERROR(INDEX(Movimientos!$C$2:$C$1993,MATCH(A387&amp;"ENTRADA",Movimientos!$R$2:$R$1993,0)),"-")</f>
        <v>-</v>
      </c>
      <c r="C387" s="2" t="str">
        <f>IFERROR(INDEX(Movimientos!$D$2:$D$1993,MATCH(A387&amp;"ENTRADA",Movimientos!$R$2:$R$1993,0)),"-")</f>
        <v>-</v>
      </c>
      <c r="D387" s="2" t="str">
        <f>IFERROR(INDEX(Movimientos!$E$2:$E$1993,MATCH(A387&amp;"ENTRADA",Movimientos!$R$2:$R$1993,0)),"-")</f>
        <v>-</v>
      </c>
      <c r="E387" s="2" t="str">
        <f>IFERROR(INDEX(Movimientos!$F$2:$F$1993,MATCH(A387&amp;"ENTRADA",Movimientos!$R$2:$R$1993,0)),"-")</f>
        <v>-</v>
      </c>
      <c r="F387" s="2" t="str">
        <f>IFERROR(INDEX(Movimientos!$G$2:$G$1993,MATCH(A387&amp;"ENTRADA",Movimientos!$R$2:$R$1993,0)),"-")</f>
        <v>-</v>
      </c>
      <c r="G387" s="2" t="str">
        <f>IFERROR(INDEX(Movimientos!$L$2:$L$1993,MATCH(A387&amp;"ENTRADA",Movimientos!$R$2:$R$1993,0)),"-")</f>
        <v>-</v>
      </c>
      <c r="H387" s="17" t="str">
        <f>IFERROR(IF(INDEX(Movimientos!$M$2:$M$1993,MATCH(A387&amp;"ENTRADA",Movimientos!$R$2:$R$1993,0))=0,"S/D",INDEX(Movimientos!$M$2:$M$1993,MATCH(A387&amp;"ENTRADA",Movimientos!$R$2:$R$1993,0))),"S/D")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2694</v>
      </c>
      <c r="B388" s="2" t="str">
        <f>IFERROR(INDEX(Movimientos!$C$2:$C$1993,MATCH(A388&amp;"ENTRADA",Movimientos!$R$2:$R$1993,0)),"-")</f>
        <v>-</v>
      </c>
      <c r="C388" s="2" t="str">
        <f>IFERROR(INDEX(Movimientos!$D$2:$D$1993,MATCH(A388&amp;"ENTRADA",Movimientos!$R$2:$R$1993,0)),"-")</f>
        <v>-</v>
      </c>
      <c r="D388" s="2" t="str">
        <f>IFERROR(INDEX(Movimientos!$E$2:$E$1993,MATCH(A388&amp;"ENTRADA",Movimientos!$R$2:$R$1993,0)),"-")</f>
        <v>-</v>
      </c>
      <c r="E388" s="2" t="str">
        <f>IFERROR(INDEX(Movimientos!$F$2:$F$1993,MATCH(A388&amp;"ENTRADA",Movimientos!$R$2:$R$1993,0)),"-")</f>
        <v>-</v>
      </c>
      <c r="F388" s="2" t="str">
        <f>IFERROR(INDEX(Movimientos!$G$2:$G$1993,MATCH(A388&amp;"ENTRADA",Movimientos!$R$2:$R$1993,0)),"-")</f>
        <v>-</v>
      </c>
      <c r="G388" s="2" t="str">
        <f>IFERROR(INDEX(Movimientos!$L$2:$L$1993,MATCH(A388&amp;"ENTRADA",Movimientos!$R$2:$R$1993,0)),"-")</f>
        <v>-</v>
      </c>
      <c r="H388" s="17" t="str">
        <f>IFERROR(IF(INDEX(Movimientos!$M$2:$M$1993,MATCH(A388&amp;"ENTRADA",Movimientos!$R$2:$R$1993,0))=0,"S/D",INDEX(Movimientos!$M$2:$M$1993,MATCH(A388&amp;"ENTRADA",Movimientos!$R$2:$R$1993,0))),"S/D")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2695</v>
      </c>
      <c r="B389" s="2" t="str">
        <f>IFERROR(INDEX(Movimientos!$C$2:$C$1993,MATCH(A389&amp;"ENTRADA",Movimientos!$R$2:$R$1993,0)),"-")</f>
        <v>-</v>
      </c>
      <c r="C389" s="2" t="str">
        <f>IFERROR(INDEX(Movimientos!$D$2:$D$1993,MATCH(A389&amp;"ENTRADA",Movimientos!$R$2:$R$1993,0)),"-")</f>
        <v>-</v>
      </c>
      <c r="D389" s="2" t="str">
        <f>IFERROR(INDEX(Movimientos!$E$2:$E$1993,MATCH(A389&amp;"ENTRADA",Movimientos!$R$2:$R$1993,0)),"-")</f>
        <v>-</v>
      </c>
      <c r="E389" s="2" t="str">
        <f>IFERROR(INDEX(Movimientos!$F$2:$F$1993,MATCH(A389&amp;"ENTRADA",Movimientos!$R$2:$R$1993,0)),"-")</f>
        <v>-</v>
      </c>
      <c r="F389" s="2" t="str">
        <f>IFERROR(INDEX(Movimientos!$G$2:$G$1993,MATCH(A389&amp;"ENTRADA",Movimientos!$R$2:$R$1993,0)),"-")</f>
        <v>-</v>
      </c>
      <c r="G389" s="2" t="str">
        <f>IFERROR(INDEX(Movimientos!$L$2:$L$1993,MATCH(A389&amp;"ENTRADA",Movimientos!$R$2:$R$1993,0)),"-")</f>
        <v>-</v>
      </c>
      <c r="H389" s="17" t="str">
        <f>IFERROR(IF(INDEX(Movimientos!$M$2:$M$1993,MATCH(A389&amp;"ENTRADA",Movimientos!$R$2:$R$1993,0))=0,"S/D",INDEX(Movimientos!$M$2:$M$1993,MATCH(A389&amp;"ENTRADA",Movimientos!$R$2:$R$1993,0))),"S/D")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2696</v>
      </c>
      <c r="B390" s="2" t="str">
        <f>IFERROR(INDEX(Movimientos!$C$2:$C$1993,MATCH(A390&amp;"ENTRADA",Movimientos!$R$2:$R$1993,0)),"-")</f>
        <v>-</v>
      </c>
      <c r="C390" s="2" t="str">
        <f>IFERROR(INDEX(Movimientos!$D$2:$D$1993,MATCH(A390&amp;"ENTRADA",Movimientos!$R$2:$R$1993,0)),"-")</f>
        <v>-</v>
      </c>
      <c r="D390" s="2" t="str">
        <f>IFERROR(INDEX(Movimientos!$E$2:$E$1993,MATCH(A390&amp;"ENTRADA",Movimientos!$R$2:$R$1993,0)),"-")</f>
        <v>-</v>
      </c>
      <c r="E390" s="2" t="str">
        <f>IFERROR(INDEX(Movimientos!$F$2:$F$1993,MATCH(A390&amp;"ENTRADA",Movimientos!$R$2:$R$1993,0)),"-")</f>
        <v>-</v>
      </c>
      <c r="F390" s="2" t="str">
        <f>IFERROR(INDEX(Movimientos!$G$2:$G$1993,MATCH(A390&amp;"ENTRADA",Movimientos!$R$2:$R$1993,0)),"-")</f>
        <v>-</v>
      </c>
      <c r="G390" s="2" t="str">
        <f>IFERROR(INDEX(Movimientos!$L$2:$L$1993,MATCH(A390&amp;"ENTRADA",Movimientos!$R$2:$R$1993,0)),"-")</f>
        <v>-</v>
      </c>
      <c r="H390" s="17" t="str">
        <f>IFERROR(IF(INDEX(Movimientos!$M$2:$M$1993,MATCH(A390&amp;"ENTRADA",Movimientos!$R$2:$R$1993,0))=0,"S/D",INDEX(Movimientos!$M$2:$M$1993,MATCH(A390&amp;"ENTRADA",Movimientos!$R$2:$R$1993,0))),"S/D")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2697</v>
      </c>
      <c r="B391" s="2" t="str">
        <f>IFERROR(INDEX(Movimientos!$C$2:$C$1993,MATCH(A391&amp;"ENTRADA",Movimientos!$R$2:$R$1993,0)),"-")</f>
        <v>-</v>
      </c>
      <c r="C391" s="2" t="str">
        <f>IFERROR(INDEX(Movimientos!$D$2:$D$1993,MATCH(A391&amp;"ENTRADA",Movimientos!$R$2:$R$1993,0)),"-")</f>
        <v>-</v>
      </c>
      <c r="D391" s="2" t="str">
        <f>IFERROR(INDEX(Movimientos!$E$2:$E$1993,MATCH(A391&amp;"ENTRADA",Movimientos!$R$2:$R$1993,0)),"-")</f>
        <v>-</v>
      </c>
      <c r="E391" s="2" t="str">
        <f>IFERROR(INDEX(Movimientos!$F$2:$F$1993,MATCH(A391&amp;"ENTRADA",Movimientos!$R$2:$R$1993,0)),"-")</f>
        <v>-</v>
      </c>
      <c r="F391" s="2" t="str">
        <f>IFERROR(INDEX(Movimientos!$G$2:$G$1993,MATCH(A391&amp;"ENTRADA",Movimientos!$R$2:$R$1993,0)),"-")</f>
        <v>-</v>
      </c>
      <c r="G391" s="2" t="str">
        <f>IFERROR(INDEX(Movimientos!$L$2:$L$1993,MATCH(A391&amp;"ENTRADA",Movimientos!$R$2:$R$1993,0)),"-")</f>
        <v>-</v>
      </c>
      <c r="H391" s="17" t="str">
        <f>IFERROR(IF(INDEX(Movimientos!$M$2:$M$1993,MATCH(A391&amp;"ENTRADA",Movimientos!$R$2:$R$1993,0))=0,"S/D",INDEX(Movimientos!$M$2:$M$1993,MATCH(A391&amp;"ENTRADA",Movimientos!$R$2:$R$1993,0))),"S/D")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2698</v>
      </c>
      <c r="B392" s="2" t="str">
        <f>IFERROR(INDEX(Movimientos!$C$2:$C$1993,MATCH(A392&amp;"ENTRADA",Movimientos!$R$2:$R$1993,0)),"-")</f>
        <v>-</v>
      </c>
      <c r="C392" s="2" t="str">
        <f>IFERROR(INDEX(Movimientos!$D$2:$D$1993,MATCH(A392&amp;"ENTRADA",Movimientos!$R$2:$R$1993,0)),"-")</f>
        <v>-</v>
      </c>
      <c r="D392" s="2" t="str">
        <f>IFERROR(INDEX(Movimientos!$E$2:$E$1993,MATCH(A392&amp;"ENTRADA",Movimientos!$R$2:$R$1993,0)),"-")</f>
        <v>-</v>
      </c>
      <c r="E392" s="2" t="str">
        <f>IFERROR(INDEX(Movimientos!$F$2:$F$1993,MATCH(A392&amp;"ENTRADA",Movimientos!$R$2:$R$1993,0)),"-")</f>
        <v>-</v>
      </c>
      <c r="F392" s="2" t="str">
        <f>IFERROR(INDEX(Movimientos!$G$2:$G$1993,MATCH(A392&amp;"ENTRADA",Movimientos!$R$2:$R$1993,0)),"-")</f>
        <v>-</v>
      </c>
      <c r="G392" s="2" t="str">
        <f>IFERROR(INDEX(Movimientos!$L$2:$L$1993,MATCH(A392&amp;"ENTRADA",Movimientos!$R$2:$R$1993,0)),"-")</f>
        <v>-</v>
      </c>
      <c r="H392" s="17" t="str">
        <f>IFERROR(IF(INDEX(Movimientos!$M$2:$M$1993,MATCH(A392&amp;"ENTRADA",Movimientos!$R$2:$R$1993,0))=0,"S/D",INDEX(Movimientos!$M$2:$M$1993,MATCH(A392&amp;"ENTRADA",Movimientos!$R$2:$R$1993,0))),"S/D")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2699</v>
      </c>
      <c r="B393" s="2" t="str">
        <f>IFERROR(INDEX(Movimientos!$C$2:$C$1993,MATCH(A393&amp;"ENTRADA",Movimientos!$R$2:$R$1993,0)),"-")</f>
        <v>-</v>
      </c>
      <c r="C393" s="2" t="str">
        <f>IFERROR(INDEX(Movimientos!$D$2:$D$1993,MATCH(A393&amp;"ENTRADA",Movimientos!$R$2:$R$1993,0)),"-")</f>
        <v>-</v>
      </c>
      <c r="D393" s="2" t="str">
        <f>IFERROR(INDEX(Movimientos!$E$2:$E$1993,MATCH(A393&amp;"ENTRADA",Movimientos!$R$2:$R$1993,0)),"-")</f>
        <v>-</v>
      </c>
      <c r="E393" s="2" t="str">
        <f>IFERROR(INDEX(Movimientos!$F$2:$F$1993,MATCH(A393&amp;"ENTRADA",Movimientos!$R$2:$R$1993,0)),"-")</f>
        <v>-</v>
      </c>
      <c r="F393" s="2" t="str">
        <f>IFERROR(INDEX(Movimientos!$G$2:$G$1993,MATCH(A393&amp;"ENTRADA",Movimientos!$R$2:$R$1993,0)),"-")</f>
        <v>-</v>
      </c>
      <c r="G393" s="2" t="str">
        <f>IFERROR(INDEX(Movimientos!$L$2:$L$1993,MATCH(A393&amp;"ENTRADA",Movimientos!$R$2:$R$1993,0)),"-")</f>
        <v>-</v>
      </c>
      <c r="H393" s="17" t="str">
        <f>IFERROR(IF(INDEX(Movimientos!$M$2:$M$1993,MATCH(A393&amp;"ENTRADA",Movimientos!$R$2:$R$1993,0))=0,"S/D",INDEX(Movimientos!$M$2:$M$1993,MATCH(A393&amp;"ENTRADA",Movimientos!$R$2:$R$1993,0))),"S/D")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2700</v>
      </c>
      <c r="B394" s="2" t="str">
        <f>IFERROR(INDEX(Movimientos!$C$2:$C$1993,MATCH(A394&amp;"ENTRADA",Movimientos!$R$2:$R$1993,0)),"-")</f>
        <v>-</v>
      </c>
      <c r="C394" s="2" t="str">
        <f>IFERROR(INDEX(Movimientos!$D$2:$D$1993,MATCH(A394&amp;"ENTRADA",Movimientos!$R$2:$R$1993,0)),"-")</f>
        <v>-</v>
      </c>
      <c r="D394" s="2" t="str">
        <f>IFERROR(INDEX(Movimientos!$E$2:$E$1993,MATCH(A394&amp;"ENTRADA",Movimientos!$R$2:$R$1993,0)),"-")</f>
        <v>-</v>
      </c>
      <c r="E394" s="2" t="str">
        <f>IFERROR(INDEX(Movimientos!$F$2:$F$1993,MATCH(A394&amp;"ENTRADA",Movimientos!$R$2:$R$1993,0)),"-")</f>
        <v>-</v>
      </c>
      <c r="F394" s="2" t="str">
        <f>IFERROR(INDEX(Movimientos!$G$2:$G$1993,MATCH(A394&amp;"ENTRADA",Movimientos!$R$2:$R$1993,0)),"-")</f>
        <v>-</v>
      </c>
      <c r="G394" s="2" t="str">
        <f>IFERROR(INDEX(Movimientos!$L$2:$L$1993,MATCH(A394&amp;"ENTRADA",Movimientos!$R$2:$R$1993,0)),"-")</f>
        <v>-</v>
      </c>
      <c r="H394" s="17" t="str">
        <f>IFERROR(IF(INDEX(Movimientos!$M$2:$M$1993,MATCH(A394&amp;"ENTRADA",Movimientos!$R$2:$R$1993,0))=0,"S/D",INDEX(Movimientos!$M$2:$M$1993,MATCH(A394&amp;"ENTRADA",Movimientos!$R$2:$R$1993,0))),"S/D")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2701</v>
      </c>
      <c r="B395" s="2" t="str">
        <f>IFERROR(INDEX(Movimientos!$C$2:$C$1993,MATCH(A395&amp;"ENTRADA",Movimientos!$R$2:$R$1993,0)),"-")</f>
        <v>-</v>
      </c>
      <c r="C395" s="2" t="str">
        <f>IFERROR(INDEX(Movimientos!$D$2:$D$1993,MATCH(A395&amp;"ENTRADA",Movimientos!$R$2:$R$1993,0)),"-")</f>
        <v>-</v>
      </c>
      <c r="D395" s="2" t="str">
        <f>IFERROR(INDEX(Movimientos!$E$2:$E$1993,MATCH(A395&amp;"ENTRADA",Movimientos!$R$2:$R$1993,0)),"-")</f>
        <v>-</v>
      </c>
      <c r="E395" s="2" t="str">
        <f>IFERROR(INDEX(Movimientos!$F$2:$F$1993,MATCH(A395&amp;"ENTRADA",Movimientos!$R$2:$R$1993,0)),"-")</f>
        <v>-</v>
      </c>
      <c r="F395" s="2" t="str">
        <f>IFERROR(INDEX(Movimientos!$G$2:$G$1993,MATCH(A395&amp;"ENTRADA",Movimientos!$R$2:$R$1993,0)),"-")</f>
        <v>-</v>
      </c>
      <c r="G395" s="2" t="str">
        <f>IFERROR(INDEX(Movimientos!$L$2:$L$1993,MATCH(A395&amp;"ENTRADA",Movimientos!$R$2:$R$1993,0)),"-")</f>
        <v>-</v>
      </c>
      <c r="H395" s="17" t="str">
        <f>IFERROR(IF(INDEX(Movimientos!$M$2:$M$1993,MATCH(A395&amp;"ENTRADA",Movimientos!$R$2:$R$1993,0))=0,"S/D",INDEX(Movimientos!$M$2:$M$1993,MATCH(A395&amp;"ENTRADA",Movimientos!$R$2:$R$1993,0))),"S/D")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2702</v>
      </c>
      <c r="B396" s="2" t="str">
        <f>IFERROR(INDEX(Movimientos!$C$2:$C$1993,MATCH(A396&amp;"ENTRADA",Movimientos!$R$2:$R$1993,0)),"-")</f>
        <v>-</v>
      </c>
      <c r="C396" s="2" t="str">
        <f>IFERROR(INDEX(Movimientos!$D$2:$D$1993,MATCH(A396&amp;"ENTRADA",Movimientos!$R$2:$R$1993,0)),"-")</f>
        <v>-</v>
      </c>
      <c r="D396" s="2" t="str">
        <f>IFERROR(INDEX(Movimientos!$E$2:$E$1993,MATCH(A396&amp;"ENTRADA",Movimientos!$R$2:$R$1993,0)),"-")</f>
        <v>-</v>
      </c>
      <c r="E396" s="2" t="str">
        <f>IFERROR(INDEX(Movimientos!$F$2:$F$1993,MATCH(A396&amp;"ENTRADA",Movimientos!$R$2:$R$1993,0)),"-")</f>
        <v>-</v>
      </c>
      <c r="F396" s="2" t="str">
        <f>IFERROR(INDEX(Movimientos!$G$2:$G$1993,MATCH(A396&amp;"ENTRADA",Movimientos!$R$2:$R$1993,0)),"-")</f>
        <v>-</v>
      </c>
      <c r="G396" s="2" t="str">
        <f>IFERROR(INDEX(Movimientos!$L$2:$L$1993,MATCH(A396&amp;"ENTRADA",Movimientos!$R$2:$R$1993,0)),"-")</f>
        <v>-</v>
      </c>
      <c r="H396" s="17" t="str">
        <f>IFERROR(IF(INDEX(Movimientos!$M$2:$M$1993,MATCH(A396&amp;"ENTRADA",Movimientos!$R$2:$R$1993,0))=0,"S/D",INDEX(Movimientos!$M$2:$M$1993,MATCH(A396&amp;"ENTRADA",Movimientos!$R$2:$R$1993,0))),"S/D")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2703</v>
      </c>
      <c r="B397" s="2" t="str">
        <f>IFERROR(INDEX(Movimientos!$C$2:$C$1993,MATCH(A397&amp;"ENTRADA",Movimientos!$R$2:$R$1993,0)),"-")</f>
        <v>-</v>
      </c>
      <c r="C397" s="2" t="str">
        <f>IFERROR(INDEX(Movimientos!$D$2:$D$1993,MATCH(A397&amp;"ENTRADA",Movimientos!$R$2:$R$1993,0)),"-")</f>
        <v>-</v>
      </c>
      <c r="D397" s="2" t="str">
        <f>IFERROR(INDEX(Movimientos!$E$2:$E$1993,MATCH(A397&amp;"ENTRADA",Movimientos!$R$2:$R$1993,0)),"-")</f>
        <v>-</v>
      </c>
      <c r="E397" s="2" t="str">
        <f>IFERROR(INDEX(Movimientos!$F$2:$F$1993,MATCH(A397&amp;"ENTRADA",Movimientos!$R$2:$R$1993,0)),"-")</f>
        <v>-</v>
      </c>
      <c r="F397" s="2" t="str">
        <f>IFERROR(INDEX(Movimientos!$G$2:$G$1993,MATCH(A397&amp;"ENTRADA",Movimientos!$R$2:$R$1993,0)),"-")</f>
        <v>-</v>
      </c>
      <c r="G397" s="2" t="str">
        <f>IFERROR(INDEX(Movimientos!$L$2:$L$1993,MATCH(A397&amp;"ENTRADA",Movimientos!$R$2:$R$1993,0)),"-")</f>
        <v>-</v>
      </c>
      <c r="H397" s="17" t="str">
        <f>IFERROR(IF(INDEX(Movimientos!$M$2:$M$1993,MATCH(A397&amp;"ENTRADA",Movimientos!$R$2:$R$1993,0))=0,"S/D",INDEX(Movimientos!$M$2:$M$1993,MATCH(A397&amp;"ENTRADA",Movimientos!$R$2:$R$1993,0))),"S/D")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2704</v>
      </c>
      <c r="B398" s="2" t="str">
        <f>IFERROR(INDEX(Movimientos!$C$2:$C$1993,MATCH(A398&amp;"ENTRADA",Movimientos!$R$2:$R$1993,0)),"-")</f>
        <v>-</v>
      </c>
      <c r="C398" s="2" t="str">
        <f>IFERROR(INDEX(Movimientos!$D$2:$D$1993,MATCH(A398&amp;"ENTRADA",Movimientos!$R$2:$R$1993,0)),"-")</f>
        <v>-</v>
      </c>
      <c r="D398" s="2" t="str">
        <f>IFERROR(INDEX(Movimientos!$E$2:$E$1993,MATCH(A398&amp;"ENTRADA",Movimientos!$R$2:$R$1993,0)),"-")</f>
        <v>-</v>
      </c>
      <c r="E398" s="2" t="str">
        <f>IFERROR(INDEX(Movimientos!$F$2:$F$1993,MATCH(A398&amp;"ENTRADA",Movimientos!$R$2:$R$1993,0)),"-")</f>
        <v>-</v>
      </c>
      <c r="F398" s="2" t="str">
        <f>IFERROR(INDEX(Movimientos!$G$2:$G$1993,MATCH(A398&amp;"ENTRADA",Movimientos!$R$2:$R$1993,0)),"-")</f>
        <v>-</v>
      </c>
      <c r="G398" s="2" t="str">
        <f>IFERROR(INDEX(Movimientos!$L$2:$L$1993,MATCH(A398&amp;"ENTRADA",Movimientos!$R$2:$R$1993,0)),"-")</f>
        <v>-</v>
      </c>
      <c r="H398" s="17" t="str">
        <f>IFERROR(IF(INDEX(Movimientos!$M$2:$M$1993,MATCH(A398&amp;"ENTRADA",Movimientos!$R$2:$R$1993,0))=0,"S/D",INDEX(Movimientos!$M$2:$M$1993,MATCH(A398&amp;"ENTRADA",Movimientos!$R$2:$R$1993,0))),"S/D")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2705</v>
      </c>
      <c r="B399" s="2" t="str">
        <f>IFERROR(INDEX(Movimientos!$C$2:$C$1993,MATCH(A399&amp;"ENTRADA",Movimientos!$R$2:$R$1993,0)),"-")</f>
        <v>-</v>
      </c>
      <c r="C399" s="2" t="str">
        <f>IFERROR(INDEX(Movimientos!$D$2:$D$1993,MATCH(A399&amp;"ENTRADA",Movimientos!$R$2:$R$1993,0)),"-")</f>
        <v>-</v>
      </c>
      <c r="D399" s="2" t="str">
        <f>IFERROR(INDEX(Movimientos!$E$2:$E$1993,MATCH(A399&amp;"ENTRADA",Movimientos!$R$2:$R$1993,0)),"-")</f>
        <v>-</v>
      </c>
      <c r="E399" s="2" t="str">
        <f>IFERROR(INDEX(Movimientos!$F$2:$F$1993,MATCH(A399&amp;"ENTRADA",Movimientos!$R$2:$R$1993,0)),"-")</f>
        <v>-</v>
      </c>
      <c r="F399" s="2" t="str">
        <f>IFERROR(INDEX(Movimientos!$G$2:$G$1993,MATCH(A399&amp;"ENTRADA",Movimientos!$R$2:$R$1993,0)),"-")</f>
        <v>-</v>
      </c>
      <c r="G399" s="2" t="str">
        <f>IFERROR(INDEX(Movimientos!$L$2:$L$1993,MATCH(A399&amp;"ENTRADA",Movimientos!$R$2:$R$1993,0)),"-")</f>
        <v>-</v>
      </c>
      <c r="H399" s="17" t="str">
        <f>IFERROR(IF(INDEX(Movimientos!$M$2:$M$1993,MATCH(A399&amp;"ENTRADA",Movimientos!$R$2:$R$1993,0))=0,"S/D",INDEX(Movimientos!$M$2:$M$1993,MATCH(A399&amp;"ENTRADA",Movimientos!$R$2:$R$1993,0))),"S/D")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2706</v>
      </c>
      <c r="B400" s="2" t="str">
        <f>IFERROR(INDEX(Movimientos!$C$2:$C$1993,MATCH(A400&amp;"ENTRADA",Movimientos!$R$2:$R$1993,0)),"-")</f>
        <v>-</v>
      </c>
      <c r="C400" s="2" t="str">
        <f>IFERROR(INDEX(Movimientos!$D$2:$D$1993,MATCH(A400&amp;"ENTRADA",Movimientos!$R$2:$R$1993,0)),"-")</f>
        <v>-</v>
      </c>
      <c r="D400" s="2" t="str">
        <f>IFERROR(INDEX(Movimientos!$E$2:$E$1993,MATCH(A400&amp;"ENTRADA",Movimientos!$R$2:$R$1993,0)),"-")</f>
        <v>-</v>
      </c>
      <c r="E400" s="2" t="str">
        <f>IFERROR(INDEX(Movimientos!$F$2:$F$1993,MATCH(A400&amp;"ENTRADA",Movimientos!$R$2:$R$1993,0)),"-")</f>
        <v>-</v>
      </c>
      <c r="F400" s="2" t="str">
        <f>IFERROR(INDEX(Movimientos!$G$2:$G$1993,MATCH(A400&amp;"ENTRADA",Movimientos!$R$2:$R$1993,0)),"-")</f>
        <v>-</v>
      </c>
      <c r="G400" s="2" t="str">
        <f>IFERROR(INDEX(Movimientos!$L$2:$L$1993,MATCH(A400&amp;"ENTRADA",Movimientos!$R$2:$R$1993,0)),"-")</f>
        <v>-</v>
      </c>
      <c r="H400" s="17" t="str">
        <f>IFERROR(IF(INDEX(Movimientos!$M$2:$M$1993,MATCH(A400&amp;"ENTRADA",Movimientos!$R$2:$R$1993,0))=0,"S/D",INDEX(Movimientos!$M$2:$M$1993,MATCH(A400&amp;"ENTRADA",Movimientos!$R$2:$R$1993,0))),"S/D")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2707</v>
      </c>
      <c r="B401" s="2" t="str">
        <f>IFERROR(INDEX(Movimientos!$C$2:$C$1993,MATCH(A401&amp;"ENTRADA",Movimientos!$R$2:$R$1993,0)),"-")</f>
        <v>-</v>
      </c>
      <c r="C401" s="2" t="str">
        <f>IFERROR(INDEX(Movimientos!$D$2:$D$1993,MATCH(A401&amp;"ENTRADA",Movimientos!$R$2:$R$1993,0)),"-")</f>
        <v>-</v>
      </c>
      <c r="D401" s="2" t="str">
        <f>IFERROR(INDEX(Movimientos!$E$2:$E$1993,MATCH(A401&amp;"ENTRADA",Movimientos!$R$2:$R$1993,0)),"-")</f>
        <v>-</v>
      </c>
      <c r="E401" s="2" t="str">
        <f>IFERROR(INDEX(Movimientos!$F$2:$F$1993,MATCH(A401&amp;"ENTRADA",Movimientos!$R$2:$R$1993,0)),"-")</f>
        <v>-</v>
      </c>
      <c r="F401" s="2" t="str">
        <f>IFERROR(INDEX(Movimientos!$G$2:$G$1993,MATCH(A401&amp;"ENTRADA",Movimientos!$R$2:$R$1993,0)),"-")</f>
        <v>-</v>
      </c>
      <c r="G401" s="2" t="str">
        <f>IFERROR(INDEX(Movimientos!$L$2:$L$1993,MATCH(A401&amp;"ENTRADA",Movimientos!$R$2:$R$1993,0)),"-")</f>
        <v>-</v>
      </c>
      <c r="H401" s="17" t="str">
        <f>IFERROR(IF(INDEX(Movimientos!$M$2:$M$1993,MATCH(A401&amp;"ENTRADA",Movimientos!$R$2:$R$1993,0))=0,"S/D",INDEX(Movimientos!$M$2:$M$1993,MATCH(A401&amp;"ENTRADA",Movimientos!$R$2:$R$1993,0))),"S/D")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2708</v>
      </c>
      <c r="B402" s="2" t="str">
        <f>IFERROR(INDEX(Movimientos!$C$2:$C$1993,MATCH(A402&amp;"ENTRADA",Movimientos!$R$2:$R$1993,0)),"-")</f>
        <v>-</v>
      </c>
      <c r="C402" s="2" t="str">
        <f>IFERROR(INDEX(Movimientos!$D$2:$D$1993,MATCH(A402&amp;"ENTRADA",Movimientos!$R$2:$R$1993,0)),"-")</f>
        <v>-</v>
      </c>
      <c r="D402" s="2" t="str">
        <f>IFERROR(INDEX(Movimientos!$E$2:$E$1993,MATCH(A402&amp;"ENTRADA",Movimientos!$R$2:$R$1993,0)),"-")</f>
        <v>-</v>
      </c>
      <c r="E402" s="2" t="str">
        <f>IFERROR(INDEX(Movimientos!$F$2:$F$1993,MATCH(A402&amp;"ENTRADA",Movimientos!$R$2:$R$1993,0)),"-")</f>
        <v>-</v>
      </c>
      <c r="F402" s="2" t="str">
        <f>IFERROR(INDEX(Movimientos!$G$2:$G$1993,MATCH(A402&amp;"ENTRADA",Movimientos!$R$2:$R$1993,0)),"-")</f>
        <v>-</v>
      </c>
      <c r="G402" s="2" t="str">
        <f>IFERROR(INDEX(Movimientos!$L$2:$L$1993,MATCH(A402&amp;"ENTRADA",Movimientos!$R$2:$R$1993,0)),"-")</f>
        <v>-</v>
      </c>
      <c r="H402" s="17" t="str">
        <f>IFERROR(IF(INDEX(Movimientos!$M$2:$M$1993,MATCH(A402&amp;"ENTRADA",Movimientos!$R$2:$R$1993,0))=0,"S/D",INDEX(Movimientos!$M$2:$M$1993,MATCH(A402&amp;"ENTRADA",Movimientos!$R$2:$R$1993,0))),"S/D")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2709</v>
      </c>
      <c r="B403" s="2" t="str">
        <f>IFERROR(INDEX(Movimientos!$C$2:$C$1993,MATCH(A403&amp;"ENTRADA",Movimientos!$R$2:$R$1993,0)),"-")</f>
        <v>-</v>
      </c>
      <c r="C403" s="2" t="str">
        <f>IFERROR(INDEX(Movimientos!$D$2:$D$1993,MATCH(A403&amp;"ENTRADA",Movimientos!$R$2:$R$1993,0)),"-")</f>
        <v>-</v>
      </c>
      <c r="D403" s="2" t="str">
        <f>IFERROR(INDEX(Movimientos!$E$2:$E$1993,MATCH(A403&amp;"ENTRADA",Movimientos!$R$2:$R$1993,0)),"-")</f>
        <v>-</v>
      </c>
      <c r="E403" s="2" t="str">
        <f>IFERROR(INDEX(Movimientos!$F$2:$F$1993,MATCH(A403&amp;"ENTRADA",Movimientos!$R$2:$R$1993,0)),"-")</f>
        <v>-</v>
      </c>
      <c r="F403" s="2" t="str">
        <f>IFERROR(INDEX(Movimientos!$G$2:$G$1993,MATCH(A403&amp;"ENTRADA",Movimientos!$R$2:$R$1993,0)),"-")</f>
        <v>-</v>
      </c>
      <c r="G403" s="2" t="str">
        <f>IFERROR(INDEX(Movimientos!$L$2:$L$1993,MATCH(A403&amp;"ENTRADA",Movimientos!$R$2:$R$1993,0)),"-")</f>
        <v>-</v>
      </c>
      <c r="H403" s="17" t="str">
        <f>IFERROR(IF(INDEX(Movimientos!$M$2:$M$1993,MATCH(A403&amp;"ENTRADA",Movimientos!$R$2:$R$1993,0))=0,"S/D",INDEX(Movimientos!$M$2:$M$1993,MATCH(A403&amp;"ENTRADA",Movimientos!$R$2:$R$1993,0))),"S/D")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2710</v>
      </c>
      <c r="B404" s="2" t="str">
        <f>IFERROR(INDEX(Movimientos!$C$2:$C$1993,MATCH(A404&amp;"ENTRADA",Movimientos!$R$2:$R$1993,0)),"-")</f>
        <v>-</v>
      </c>
      <c r="C404" s="2" t="str">
        <f>IFERROR(INDEX(Movimientos!$D$2:$D$1993,MATCH(A404&amp;"ENTRADA",Movimientos!$R$2:$R$1993,0)),"-")</f>
        <v>-</v>
      </c>
      <c r="D404" s="2" t="str">
        <f>IFERROR(INDEX(Movimientos!$E$2:$E$1993,MATCH(A404&amp;"ENTRADA",Movimientos!$R$2:$R$1993,0)),"-")</f>
        <v>-</v>
      </c>
      <c r="E404" s="2" t="str">
        <f>IFERROR(INDEX(Movimientos!$F$2:$F$1993,MATCH(A404&amp;"ENTRADA",Movimientos!$R$2:$R$1993,0)),"-")</f>
        <v>-</v>
      </c>
      <c r="F404" s="2" t="str">
        <f>IFERROR(INDEX(Movimientos!$G$2:$G$1993,MATCH(A404&amp;"ENTRADA",Movimientos!$R$2:$R$1993,0)),"-")</f>
        <v>-</v>
      </c>
      <c r="G404" s="2" t="str">
        <f>IFERROR(INDEX(Movimientos!$L$2:$L$1993,MATCH(A404&amp;"ENTRADA",Movimientos!$R$2:$R$1993,0)),"-")</f>
        <v>-</v>
      </c>
      <c r="H404" s="17" t="str">
        <f>IFERROR(IF(INDEX(Movimientos!$M$2:$M$1993,MATCH(A404&amp;"ENTRADA",Movimientos!$R$2:$R$1993,0))=0,"S/D",INDEX(Movimientos!$M$2:$M$1993,MATCH(A404&amp;"ENTRADA",Movimientos!$R$2:$R$1993,0))),"S/D")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2711</v>
      </c>
      <c r="B405" s="2" t="str">
        <f>IFERROR(INDEX(Movimientos!$C$2:$C$1993,MATCH(A405&amp;"ENTRADA",Movimientos!$R$2:$R$1993,0)),"-")</f>
        <v>-</v>
      </c>
      <c r="C405" s="2" t="str">
        <f>IFERROR(INDEX(Movimientos!$D$2:$D$1993,MATCH(A405&amp;"ENTRADA",Movimientos!$R$2:$R$1993,0)),"-")</f>
        <v>-</v>
      </c>
      <c r="D405" s="2" t="str">
        <f>IFERROR(INDEX(Movimientos!$E$2:$E$1993,MATCH(A405&amp;"ENTRADA",Movimientos!$R$2:$R$1993,0)),"-")</f>
        <v>-</v>
      </c>
      <c r="E405" s="2" t="str">
        <f>IFERROR(INDEX(Movimientos!$F$2:$F$1993,MATCH(A405&amp;"ENTRADA",Movimientos!$R$2:$R$1993,0)),"-")</f>
        <v>-</v>
      </c>
      <c r="F405" s="2" t="str">
        <f>IFERROR(INDEX(Movimientos!$G$2:$G$1993,MATCH(A405&amp;"ENTRADA",Movimientos!$R$2:$R$1993,0)),"-")</f>
        <v>-</v>
      </c>
      <c r="G405" s="2" t="str">
        <f>IFERROR(INDEX(Movimientos!$L$2:$L$1993,MATCH(A405&amp;"ENTRADA",Movimientos!$R$2:$R$1993,0)),"-")</f>
        <v>-</v>
      </c>
      <c r="H405" s="17" t="str">
        <f>IFERROR(IF(INDEX(Movimientos!$M$2:$M$1993,MATCH(A405&amp;"ENTRADA",Movimientos!$R$2:$R$1993,0))=0,"S/D",INDEX(Movimientos!$M$2:$M$1993,MATCH(A405&amp;"ENTRADA",Movimientos!$R$2:$R$1993,0))),"S/D")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2712</v>
      </c>
      <c r="B406" s="2" t="str">
        <f>IFERROR(INDEX(Movimientos!$C$2:$C$1993,MATCH(A406&amp;"ENTRADA",Movimientos!$R$2:$R$1993,0)),"-")</f>
        <v>-</v>
      </c>
      <c r="C406" s="2" t="str">
        <f>IFERROR(INDEX(Movimientos!$D$2:$D$1993,MATCH(A406&amp;"ENTRADA",Movimientos!$R$2:$R$1993,0)),"-")</f>
        <v>-</v>
      </c>
      <c r="D406" s="2" t="str">
        <f>IFERROR(INDEX(Movimientos!$E$2:$E$1993,MATCH(A406&amp;"ENTRADA",Movimientos!$R$2:$R$1993,0)),"-")</f>
        <v>-</v>
      </c>
      <c r="E406" s="2" t="str">
        <f>IFERROR(INDEX(Movimientos!$F$2:$F$1993,MATCH(A406&amp;"ENTRADA",Movimientos!$R$2:$R$1993,0)),"-")</f>
        <v>-</v>
      </c>
      <c r="F406" s="2" t="str">
        <f>IFERROR(INDEX(Movimientos!$G$2:$G$1993,MATCH(A406&amp;"ENTRADA",Movimientos!$R$2:$R$1993,0)),"-")</f>
        <v>-</v>
      </c>
      <c r="G406" s="2" t="str">
        <f>IFERROR(INDEX(Movimientos!$L$2:$L$1993,MATCH(A406&amp;"ENTRADA",Movimientos!$R$2:$R$1993,0)),"-")</f>
        <v>-</v>
      </c>
      <c r="H406" s="17" t="str">
        <f>IFERROR(IF(INDEX(Movimientos!$M$2:$M$1993,MATCH(A406&amp;"ENTRADA",Movimientos!$R$2:$R$1993,0))=0,"S/D",INDEX(Movimientos!$M$2:$M$1993,MATCH(A406&amp;"ENTRADA",Movimientos!$R$2:$R$1993,0))),"S/D")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2713</v>
      </c>
      <c r="B407" s="2" t="str">
        <f>IFERROR(INDEX(Movimientos!$C$2:$C$1993,MATCH(A407&amp;"ENTRADA",Movimientos!$R$2:$R$1993,0)),"-")</f>
        <v>-</v>
      </c>
      <c r="C407" s="2" t="str">
        <f>IFERROR(INDEX(Movimientos!$D$2:$D$1993,MATCH(A407&amp;"ENTRADA",Movimientos!$R$2:$R$1993,0)),"-")</f>
        <v>-</v>
      </c>
      <c r="D407" s="2" t="str">
        <f>IFERROR(INDEX(Movimientos!$E$2:$E$1993,MATCH(A407&amp;"ENTRADA",Movimientos!$R$2:$R$1993,0)),"-")</f>
        <v>-</v>
      </c>
      <c r="E407" s="2" t="str">
        <f>IFERROR(INDEX(Movimientos!$F$2:$F$1993,MATCH(A407&amp;"ENTRADA",Movimientos!$R$2:$R$1993,0)),"-")</f>
        <v>-</v>
      </c>
      <c r="F407" s="2" t="str">
        <f>IFERROR(INDEX(Movimientos!$G$2:$G$1993,MATCH(A407&amp;"ENTRADA",Movimientos!$R$2:$R$1993,0)),"-")</f>
        <v>-</v>
      </c>
      <c r="G407" s="2" t="str">
        <f>IFERROR(INDEX(Movimientos!$L$2:$L$1993,MATCH(A407&amp;"ENTRADA",Movimientos!$R$2:$R$1993,0)),"-")</f>
        <v>-</v>
      </c>
      <c r="H407" s="17" t="str">
        <f>IFERROR(IF(INDEX(Movimientos!$M$2:$M$1993,MATCH(A407&amp;"ENTRADA",Movimientos!$R$2:$R$1993,0))=0,"S/D",INDEX(Movimientos!$M$2:$M$1993,MATCH(A407&amp;"ENTRADA",Movimientos!$R$2:$R$1993,0))),"S/D")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2714</v>
      </c>
      <c r="B408" s="2" t="str">
        <f>IFERROR(INDEX(Movimientos!$C$2:$C$1993,MATCH(A408&amp;"ENTRADA",Movimientos!$R$2:$R$1993,0)),"-")</f>
        <v>-</v>
      </c>
      <c r="C408" s="2" t="str">
        <f>IFERROR(INDEX(Movimientos!$D$2:$D$1993,MATCH(A408&amp;"ENTRADA",Movimientos!$R$2:$R$1993,0)),"-")</f>
        <v>-</v>
      </c>
      <c r="D408" s="2" t="str">
        <f>IFERROR(INDEX(Movimientos!$E$2:$E$1993,MATCH(A408&amp;"ENTRADA",Movimientos!$R$2:$R$1993,0)),"-")</f>
        <v>-</v>
      </c>
      <c r="E408" s="2" t="str">
        <f>IFERROR(INDEX(Movimientos!$F$2:$F$1993,MATCH(A408&amp;"ENTRADA",Movimientos!$R$2:$R$1993,0)),"-")</f>
        <v>-</v>
      </c>
      <c r="F408" s="2" t="str">
        <f>IFERROR(INDEX(Movimientos!$G$2:$G$1993,MATCH(A408&amp;"ENTRADA",Movimientos!$R$2:$R$1993,0)),"-")</f>
        <v>-</v>
      </c>
      <c r="G408" s="2" t="str">
        <f>IFERROR(INDEX(Movimientos!$L$2:$L$1993,MATCH(A408&amp;"ENTRADA",Movimientos!$R$2:$R$1993,0)),"-")</f>
        <v>-</v>
      </c>
      <c r="H408" s="17" t="str">
        <f>IFERROR(IF(INDEX(Movimientos!$M$2:$M$1993,MATCH(A408&amp;"ENTRADA",Movimientos!$R$2:$R$1993,0))=0,"S/D",INDEX(Movimientos!$M$2:$M$1993,MATCH(A408&amp;"ENTRADA",Movimientos!$R$2:$R$1993,0))),"S/D")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2715</v>
      </c>
      <c r="B409" s="2" t="str">
        <f>IFERROR(INDEX(Movimientos!$C$2:$C$1993,MATCH(A409&amp;"ENTRADA",Movimientos!$R$2:$R$1993,0)),"-")</f>
        <v>-</v>
      </c>
      <c r="C409" s="2" t="str">
        <f>IFERROR(INDEX(Movimientos!$D$2:$D$1993,MATCH(A409&amp;"ENTRADA",Movimientos!$R$2:$R$1993,0)),"-")</f>
        <v>-</v>
      </c>
      <c r="D409" s="2" t="str">
        <f>IFERROR(INDEX(Movimientos!$E$2:$E$1993,MATCH(A409&amp;"ENTRADA",Movimientos!$R$2:$R$1993,0)),"-")</f>
        <v>-</v>
      </c>
      <c r="E409" s="2" t="str">
        <f>IFERROR(INDEX(Movimientos!$F$2:$F$1993,MATCH(A409&amp;"ENTRADA",Movimientos!$R$2:$R$1993,0)),"-")</f>
        <v>-</v>
      </c>
      <c r="F409" s="2" t="str">
        <f>IFERROR(INDEX(Movimientos!$G$2:$G$1993,MATCH(A409&amp;"ENTRADA",Movimientos!$R$2:$R$1993,0)),"-")</f>
        <v>-</v>
      </c>
      <c r="G409" s="2" t="str">
        <f>IFERROR(INDEX(Movimientos!$L$2:$L$1993,MATCH(A409&amp;"ENTRADA",Movimientos!$R$2:$R$1993,0)),"-")</f>
        <v>-</v>
      </c>
      <c r="H409" s="17" t="str">
        <f>IFERROR(IF(INDEX(Movimientos!$M$2:$M$1993,MATCH(A409&amp;"ENTRADA",Movimientos!$R$2:$R$1993,0))=0,"S/D",INDEX(Movimientos!$M$2:$M$1993,MATCH(A409&amp;"ENTRADA",Movimientos!$R$2:$R$1993,0))),"S/D")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2716</v>
      </c>
      <c r="B410" s="2" t="str">
        <f>IFERROR(INDEX(Movimientos!$C$2:$C$1993,MATCH(A410&amp;"ENTRADA",Movimientos!$R$2:$R$1993,0)),"-")</f>
        <v>-</v>
      </c>
      <c r="C410" s="2" t="str">
        <f>IFERROR(INDEX(Movimientos!$D$2:$D$1993,MATCH(A410&amp;"ENTRADA",Movimientos!$R$2:$R$1993,0)),"-")</f>
        <v>-</v>
      </c>
      <c r="D410" s="2" t="str">
        <f>IFERROR(INDEX(Movimientos!$E$2:$E$1993,MATCH(A410&amp;"ENTRADA",Movimientos!$R$2:$R$1993,0)),"-")</f>
        <v>-</v>
      </c>
      <c r="E410" s="2" t="str">
        <f>IFERROR(INDEX(Movimientos!$F$2:$F$1993,MATCH(A410&amp;"ENTRADA",Movimientos!$R$2:$R$1993,0)),"-")</f>
        <v>-</v>
      </c>
      <c r="F410" s="2" t="str">
        <f>IFERROR(INDEX(Movimientos!$G$2:$G$1993,MATCH(A410&amp;"ENTRADA",Movimientos!$R$2:$R$1993,0)),"-")</f>
        <v>-</v>
      </c>
      <c r="G410" s="2" t="str">
        <f>IFERROR(INDEX(Movimientos!$L$2:$L$1993,MATCH(A410&amp;"ENTRADA",Movimientos!$R$2:$R$1993,0)),"-")</f>
        <v>-</v>
      </c>
      <c r="H410" s="17" t="str">
        <f>IFERROR(IF(INDEX(Movimientos!$M$2:$M$1993,MATCH(A410&amp;"ENTRADA",Movimientos!$R$2:$R$1993,0))=0,"S/D",INDEX(Movimientos!$M$2:$M$1993,MATCH(A410&amp;"ENTRADA",Movimientos!$R$2:$R$1993,0))),"S/D")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2717</v>
      </c>
      <c r="B411" s="2" t="str">
        <f>IFERROR(INDEX(Movimientos!$C$2:$C$1993,MATCH(A411&amp;"ENTRADA",Movimientos!$R$2:$R$1993,0)),"-")</f>
        <v>-</v>
      </c>
      <c r="C411" s="2" t="str">
        <f>IFERROR(INDEX(Movimientos!$D$2:$D$1993,MATCH(A411&amp;"ENTRADA",Movimientos!$R$2:$R$1993,0)),"-")</f>
        <v>-</v>
      </c>
      <c r="D411" s="2" t="str">
        <f>IFERROR(INDEX(Movimientos!$E$2:$E$1993,MATCH(A411&amp;"ENTRADA",Movimientos!$R$2:$R$1993,0)),"-")</f>
        <v>-</v>
      </c>
      <c r="E411" s="2" t="str">
        <f>IFERROR(INDEX(Movimientos!$F$2:$F$1993,MATCH(A411&amp;"ENTRADA",Movimientos!$R$2:$R$1993,0)),"-")</f>
        <v>-</v>
      </c>
      <c r="F411" s="2" t="str">
        <f>IFERROR(INDEX(Movimientos!$G$2:$G$1993,MATCH(A411&amp;"ENTRADA",Movimientos!$R$2:$R$1993,0)),"-")</f>
        <v>-</v>
      </c>
      <c r="G411" s="2" t="str">
        <f>IFERROR(INDEX(Movimientos!$L$2:$L$1993,MATCH(A411&amp;"ENTRADA",Movimientos!$R$2:$R$1993,0)),"-")</f>
        <v>-</v>
      </c>
      <c r="H411" s="17" t="str">
        <f>IFERROR(IF(INDEX(Movimientos!$M$2:$M$1993,MATCH(A411&amp;"ENTRADA",Movimientos!$R$2:$R$1993,0))=0,"S/D",INDEX(Movimientos!$M$2:$M$1993,MATCH(A411&amp;"ENTRADA",Movimientos!$R$2:$R$1993,0))),"S/D")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2718</v>
      </c>
      <c r="B412" s="2" t="str">
        <f>IFERROR(INDEX(Movimientos!$C$2:$C$1993,MATCH(A412&amp;"ENTRADA",Movimientos!$R$2:$R$1993,0)),"-")</f>
        <v>-</v>
      </c>
      <c r="C412" s="2" t="str">
        <f>IFERROR(INDEX(Movimientos!$D$2:$D$1993,MATCH(A412&amp;"ENTRADA",Movimientos!$R$2:$R$1993,0)),"-")</f>
        <v>-</v>
      </c>
      <c r="D412" s="2" t="str">
        <f>IFERROR(INDEX(Movimientos!$E$2:$E$1993,MATCH(A412&amp;"ENTRADA",Movimientos!$R$2:$R$1993,0)),"-")</f>
        <v>-</v>
      </c>
      <c r="E412" s="2" t="str">
        <f>IFERROR(INDEX(Movimientos!$F$2:$F$1993,MATCH(A412&amp;"ENTRADA",Movimientos!$R$2:$R$1993,0)),"-")</f>
        <v>-</v>
      </c>
      <c r="F412" s="2" t="str">
        <f>IFERROR(INDEX(Movimientos!$G$2:$G$1993,MATCH(A412&amp;"ENTRADA",Movimientos!$R$2:$R$1993,0)),"-")</f>
        <v>-</v>
      </c>
      <c r="G412" s="2" t="str">
        <f>IFERROR(INDEX(Movimientos!$L$2:$L$1993,MATCH(A412&amp;"ENTRADA",Movimientos!$R$2:$R$1993,0)),"-")</f>
        <v>-</v>
      </c>
      <c r="H412" s="17" t="str">
        <f>IFERROR(IF(INDEX(Movimientos!$M$2:$M$1993,MATCH(A412&amp;"ENTRADA",Movimientos!$R$2:$R$1993,0))=0,"S/D",INDEX(Movimientos!$M$2:$M$1993,MATCH(A412&amp;"ENTRADA",Movimientos!$R$2:$R$1993,0))),"S/D")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2719</v>
      </c>
      <c r="B413" s="2" t="str">
        <f>IFERROR(INDEX(Movimientos!$C$2:$C$1993,MATCH(A413&amp;"ENTRADA",Movimientos!$R$2:$R$1993,0)),"-")</f>
        <v>-</v>
      </c>
      <c r="C413" s="2" t="str">
        <f>IFERROR(INDEX(Movimientos!$D$2:$D$1993,MATCH(A413&amp;"ENTRADA",Movimientos!$R$2:$R$1993,0)),"-")</f>
        <v>-</v>
      </c>
      <c r="D413" s="2" t="str">
        <f>IFERROR(INDEX(Movimientos!$E$2:$E$1993,MATCH(A413&amp;"ENTRADA",Movimientos!$R$2:$R$1993,0)),"-")</f>
        <v>-</v>
      </c>
      <c r="E413" s="2" t="str">
        <f>IFERROR(INDEX(Movimientos!$F$2:$F$1993,MATCH(A413&amp;"ENTRADA",Movimientos!$R$2:$R$1993,0)),"-")</f>
        <v>-</v>
      </c>
      <c r="F413" s="2" t="str">
        <f>IFERROR(INDEX(Movimientos!$G$2:$G$1993,MATCH(A413&amp;"ENTRADA",Movimientos!$R$2:$R$1993,0)),"-")</f>
        <v>-</v>
      </c>
      <c r="G413" s="2" t="str">
        <f>IFERROR(INDEX(Movimientos!$L$2:$L$1993,MATCH(A413&amp;"ENTRADA",Movimientos!$R$2:$R$1993,0)),"-")</f>
        <v>-</v>
      </c>
      <c r="H413" s="17" t="str">
        <f>IFERROR(IF(INDEX(Movimientos!$M$2:$M$1993,MATCH(A413&amp;"ENTRADA",Movimientos!$R$2:$R$1993,0))=0,"S/D",INDEX(Movimientos!$M$2:$M$1993,MATCH(A413&amp;"ENTRADA",Movimientos!$R$2:$R$1993,0))),"S/D")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2720</v>
      </c>
      <c r="B414" s="2" t="str">
        <f>IFERROR(INDEX(Movimientos!$C$2:$C$1993,MATCH(A414&amp;"ENTRADA",Movimientos!$R$2:$R$1993,0)),"-")</f>
        <v>-</v>
      </c>
      <c r="C414" s="2" t="str">
        <f>IFERROR(INDEX(Movimientos!$D$2:$D$1993,MATCH(A414&amp;"ENTRADA",Movimientos!$R$2:$R$1993,0)),"-")</f>
        <v>-</v>
      </c>
      <c r="D414" s="2" t="str">
        <f>IFERROR(INDEX(Movimientos!$E$2:$E$1993,MATCH(A414&amp;"ENTRADA",Movimientos!$R$2:$R$1993,0)),"-")</f>
        <v>-</v>
      </c>
      <c r="E414" s="2" t="str">
        <f>IFERROR(INDEX(Movimientos!$F$2:$F$1993,MATCH(A414&amp;"ENTRADA",Movimientos!$R$2:$R$1993,0)),"-")</f>
        <v>-</v>
      </c>
      <c r="F414" s="2" t="str">
        <f>IFERROR(INDEX(Movimientos!$G$2:$G$1993,MATCH(A414&amp;"ENTRADA",Movimientos!$R$2:$R$1993,0)),"-")</f>
        <v>-</v>
      </c>
      <c r="G414" s="2" t="str">
        <f>IFERROR(INDEX(Movimientos!$L$2:$L$1993,MATCH(A414&amp;"ENTRADA",Movimientos!$R$2:$R$1993,0)),"-")</f>
        <v>-</v>
      </c>
      <c r="H414" s="17" t="str">
        <f>IFERROR(IF(INDEX(Movimientos!$M$2:$M$1993,MATCH(A414&amp;"ENTRADA",Movimientos!$R$2:$R$1993,0))=0,"S/D",INDEX(Movimientos!$M$2:$M$1993,MATCH(A414&amp;"ENTRADA",Movimientos!$R$2:$R$1993,0))),"S/D")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2721</v>
      </c>
      <c r="B415" s="2" t="str">
        <f>IFERROR(INDEX(Movimientos!$C$2:$C$1993,MATCH(A415&amp;"ENTRADA",Movimientos!$R$2:$R$1993,0)),"-")</f>
        <v>-</v>
      </c>
      <c r="C415" s="2" t="str">
        <f>IFERROR(INDEX(Movimientos!$D$2:$D$1993,MATCH(A415&amp;"ENTRADA",Movimientos!$R$2:$R$1993,0)),"-")</f>
        <v>-</v>
      </c>
      <c r="D415" s="2" t="str">
        <f>IFERROR(INDEX(Movimientos!$E$2:$E$1993,MATCH(A415&amp;"ENTRADA",Movimientos!$R$2:$R$1993,0)),"-")</f>
        <v>-</v>
      </c>
      <c r="E415" s="2" t="str">
        <f>IFERROR(INDEX(Movimientos!$F$2:$F$1993,MATCH(A415&amp;"ENTRADA",Movimientos!$R$2:$R$1993,0)),"-")</f>
        <v>-</v>
      </c>
      <c r="F415" s="2" t="str">
        <f>IFERROR(INDEX(Movimientos!$G$2:$G$1993,MATCH(A415&amp;"ENTRADA",Movimientos!$R$2:$R$1993,0)),"-")</f>
        <v>-</v>
      </c>
      <c r="G415" s="2" t="str">
        <f>IFERROR(INDEX(Movimientos!$L$2:$L$1993,MATCH(A415&amp;"ENTRADA",Movimientos!$R$2:$R$1993,0)),"-")</f>
        <v>-</v>
      </c>
      <c r="H415" s="17" t="str">
        <f>IFERROR(IF(INDEX(Movimientos!$M$2:$M$1993,MATCH(A415&amp;"ENTRADA",Movimientos!$R$2:$R$1993,0))=0,"S/D",INDEX(Movimientos!$M$2:$M$1993,MATCH(A415&amp;"ENTRADA",Movimientos!$R$2:$R$1993,0))),"S/D")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2722</v>
      </c>
      <c r="B416" s="2" t="str">
        <f>IFERROR(INDEX(Movimientos!$C$2:$C$1993,MATCH(A416&amp;"ENTRADA",Movimientos!$R$2:$R$1993,0)),"-")</f>
        <v>-</v>
      </c>
      <c r="C416" s="2" t="str">
        <f>IFERROR(INDEX(Movimientos!$D$2:$D$1993,MATCH(A416&amp;"ENTRADA",Movimientos!$R$2:$R$1993,0)),"-")</f>
        <v>-</v>
      </c>
      <c r="D416" s="2" t="str">
        <f>IFERROR(INDEX(Movimientos!$E$2:$E$1993,MATCH(A416&amp;"ENTRADA",Movimientos!$R$2:$R$1993,0)),"-")</f>
        <v>-</v>
      </c>
      <c r="E416" s="2" t="str">
        <f>IFERROR(INDEX(Movimientos!$F$2:$F$1993,MATCH(A416&amp;"ENTRADA",Movimientos!$R$2:$R$1993,0)),"-")</f>
        <v>-</v>
      </c>
      <c r="F416" s="2" t="str">
        <f>IFERROR(INDEX(Movimientos!$G$2:$G$1993,MATCH(A416&amp;"ENTRADA",Movimientos!$R$2:$R$1993,0)),"-")</f>
        <v>-</v>
      </c>
      <c r="G416" s="2" t="str">
        <f>IFERROR(INDEX(Movimientos!$L$2:$L$1993,MATCH(A416&amp;"ENTRADA",Movimientos!$R$2:$R$1993,0)),"-")</f>
        <v>-</v>
      </c>
      <c r="H416" s="17" t="str">
        <f>IFERROR(IF(INDEX(Movimientos!$M$2:$M$1993,MATCH(A416&amp;"ENTRADA",Movimientos!$R$2:$R$1993,0))=0,"S/D",INDEX(Movimientos!$M$2:$M$1993,MATCH(A416&amp;"ENTRADA",Movimientos!$R$2:$R$1993,0))),"S/D")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2723</v>
      </c>
      <c r="B417" s="2" t="str">
        <f>IFERROR(INDEX(Movimientos!$C$2:$C$1993,MATCH(A417&amp;"ENTRADA",Movimientos!$R$2:$R$1993,0)),"-")</f>
        <v>-</v>
      </c>
      <c r="C417" s="2" t="str">
        <f>IFERROR(INDEX(Movimientos!$D$2:$D$1993,MATCH(A417&amp;"ENTRADA",Movimientos!$R$2:$R$1993,0)),"-")</f>
        <v>-</v>
      </c>
      <c r="D417" s="2" t="str">
        <f>IFERROR(INDEX(Movimientos!$E$2:$E$1993,MATCH(A417&amp;"ENTRADA",Movimientos!$R$2:$R$1993,0)),"-")</f>
        <v>-</v>
      </c>
      <c r="E417" s="2" t="str">
        <f>IFERROR(INDEX(Movimientos!$F$2:$F$1993,MATCH(A417&amp;"ENTRADA",Movimientos!$R$2:$R$1993,0)),"-")</f>
        <v>-</v>
      </c>
      <c r="F417" s="2" t="str">
        <f>IFERROR(INDEX(Movimientos!$G$2:$G$1993,MATCH(A417&amp;"ENTRADA",Movimientos!$R$2:$R$1993,0)),"-")</f>
        <v>-</v>
      </c>
      <c r="G417" s="2" t="str">
        <f>IFERROR(INDEX(Movimientos!$L$2:$L$1993,MATCH(A417&amp;"ENTRADA",Movimientos!$R$2:$R$1993,0)),"-")</f>
        <v>-</v>
      </c>
      <c r="H417" s="17" t="str">
        <f>IFERROR(IF(INDEX(Movimientos!$M$2:$M$1993,MATCH(A417&amp;"ENTRADA",Movimientos!$R$2:$R$1993,0))=0,"S/D",INDEX(Movimientos!$M$2:$M$1993,MATCH(A417&amp;"ENTRADA",Movimientos!$R$2:$R$1993,0))),"S/D")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2724</v>
      </c>
      <c r="B418" s="2" t="str">
        <f>IFERROR(INDEX(Movimientos!$C$2:$C$1993,MATCH(A418&amp;"ENTRADA",Movimientos!$R$2:$R$1993,0)),"-")</f>
        <v>-</v>
      </c>
      <c r="C418" s="2" t="str">
        <f>IFERROR(INDEX(Movimientos!$D$2:$D$1993,MATCH(A418&amp;"ENTRADA",Movimientos!$R$2:$R$1993,0)),"-")</f>
        <v>-</v>
      </c>
      <c r="D418" s="2" t="str">
        <f>IFERROR(INDEX(Movimientos!$E$2:$E$1993,MATCH(A418&amp;"ENTRADA",Movimientos!$R$2:$R$1993,0)),"-")</f>
        <v>-</v>
      </c>
      <c r="E418" s="2" t="str">
        <f>IFERROR(INDEX(Movimientos!$F$2:$F$1993,MATCH(A418&amp;"ENTRADA",Movimientos!$R$2:$R$1993,0)),"-")</f>
        <v>-</v>
      </c>
      <c r="F418" s="2" t="str">
        <f>IFERROR(INDEX(Movimientos!$G$2:$G$1993,MATCH(A418&amp;"ENTRADA",Movimientos!$R$2:$R$1993,0)),"-")</f>
        <v>-</v>
      </c>
      <c r="G418" s="2" t="str">
        <f>IFERROR(INDEX(Movimientos!$L$2:$L$1993,MATCH(A418&amp;"ENTRADA",Movimientos!$R$2:$R$1993,0)),"-")</f>
        <v>-</v>
      </c>
      <c r="H418" s="17" t="str">
        <f>IFERROR(IF(INDEX(Movimientos!$M$2:$M$1993,MATCH(A418&amp;"ENTRADA",Movimientos!$R$2:$R$1993,0))=0,"S/D",INDEX(Movimientos!$M$2:$M$1993,MATCH(A418&amp;"ENTRADA",Movimientos!$R$2:$R$1993,0))),"S/D")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2725</v>
      </c>
      <c r="B419" s="2" t="str">
        <f>IFERROR(INDEX(Movimientos!$C$2:$C$1993,MATCH(A419&amp;"ENTRADA",Movimientos!$R$2:$R$1993,0)),"-")</f>
        <v>-</v>
      </c>
      <c r="C419" s="2" t="str">
        <f>IFERROR(INDEX(Movimientos!$D$2:$D$1993,MATCH(A419&amp;"ENTRADA",Movimientos!$R$2:$R$1993,0)),"-")</f>
        <v>-</v>
      </c>
      <c r="D419" s="2" t="str">
        <f>IFERROR(INDEX(Movimientos!$E$2:$E$1993,MATCH(A419&amp;"ENTRADA",Movimientos!$R$2:$R$1993,0)),"-")</f>
        <v>-</v>
      </c>
      <c r="E419" s="2" t="str">
        <f>IFERROR(INDEX(Movimientos!$F$2:$F$1993,MATCH(A419&amp;"ENTRADA",Movimientos!$R$2:$R$1993,0)),"-")</f>
        <v>-</v>
      </c>
      <c r="F419" s="2" t="str">
        <f>IFERROR(INDEX(Movimientos!$G$2:$G$1993,MATCH(A419&amp;"ENTRADA",Movimientos!$R$2:$R$1993,0)),"-")</f>
        <v>-</v>
      </c>
      <c r="G419" s="2" t="str">
        <f>IFERROR(INDEX(Movimientos!$L$2:$L$1993,MATCH(A419&amp;"ENTRADA",Movimientos!$R$2:$R$1993,0)),"-")</f>
        <v>-</v>
      </c>
      <c r="H419" s="17" t="str">
        <f>IFERROR(IF(INDEX(Movimientos!$M$2:$M$1993,MATCH(A419&amp;"ENTRADA",Movimientos!$R$2:$R$1993,0))=0,"S/D",INDEX(Movimientos!$M$2:$M$1993,MATCH(A419&amp;"ENTRADA",Movimientos!$R$2:$R$1993,0))),"S/D")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2726</v>
      </c>
      <c r="B420" s="2" t="str">
        <f>IFERROR(INDEX(Movimientos!$C$2:$C$1993,MATCH(A420&amp;"ENTRADA",Movimientos!$R$2:$R$1993,0)),"-")</f>
        <v>-</v>
      </c>
      <c r="C420" s="2" t="str">
        <f>IFERROR(INDEX(Movimientos!$D$2:$D$1993,MATCH(A420&amp;"ENTRADA",Movimientos!$R$2:$R$1993,0)),"-")</f>
        <v>-</v>
      </c>
      <c r="D420" s="2" t="str">
        <f>IFERROR(INDEX(Movimientos!$E$2:$E$1993,MATCH(A420&amp;"ENTRADA",Movimientos!$R$2:$R$1993,0)),"-")</f>
        <v>-</v>
      </c>
      <c r="E420" s="2" t="str">
        <f>IFERROR(INDEX(Movimientos!$F$2:$F$1993,MATCH(A420&amp;"ENTRADA",Movimientos!$R$2:$R$1993,0)),"-")</f>
        <v>-</v>
      </c>
      <c r="F420" s="2" t="str">
        <f>IFERROR(INDEX(Movimientos!$G$2:$G$1993,MATCH(A420&amp;"ENTRADA",Movimientos!$R$2:$R$1993,0)),"-")</f>
        <v>-</v>
      </c>
      <c r="G420" s="2" t="str">
        <f>IFERROR(INDEX(Movimientos!$L$2:$L$1993,MATCH(A420&amp;"ENTRADA",Movimientos!$R$2:$R$1993,0)),"-")</f>
        <v>-</v>
      </c>
      <c r="H420" s="17" t="str">
        <f>IFERROR(IF(INDEX(Movimientos!$M$2:$M$1993,MATCH(A420&amp;"ENTRADA",Movimientos!$R$2:$R$1993,0))=0,"S/D",INDEX(Movimientos!$M$2:$M$1993,MATCH(A420&amp;"ENTRADA",Movimientos!$R$2:$R$1993,0))),"S/D")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2727</v>
      </c>
      <c r="B421" s="2" t="str">
        <f>IFERROR(INDEX(Movimientos!$C$2:$C$1993,MATCH(A421&amp;"ENTRADA",Movimientos!$R$2:$R$1993,0)),"-")</f>
        <v>-</v>
      </c>
      <c r="C421" s="2" t="str">
        <f>IFERROR(INDEX(Movimientos!$D$2:$D$1993,MATCH(A421&amp;"ENTRADA",Movimientos!$R$2:$R$1993,0)),"-")</f>
        <v>-</v>
      </c>
      <c r="D421" s="2" t="str">
        <f>IFERROR(INDEX(Movimientos!$E$2:$E$1993,MATCH(A421&amp;"ENTRADA",Movimientos!$R$2:$R$1993,0)),"-")</f>
        <v>-</v>
      </c>
      <c r="E421" s="2" t="str">
        <f>IFERROR(INDEX(Movimientos!$F$2:$F$1993,MATCH(A421&amp;"ENTRADA",Movimientos!$R$2:$R$1993,0)),"-")</f>
        <v>-</v>
      </c>
      <c r="F421" s="2" t="str">
        <f>IFERROR(INDEX(Movimientos!$G$2:$G$1993,MATCH(A421&amp;"ENTRADA",Movimientos!$R$2:$R$1993,0)),"-")</f>
        <v>-</v>
      </c>
      <c r="G421" s="2" t="str">
        <f>IFERROR(INDEX(Movimientos!$L$2:$L$1993,MATCH(A421&amp;"ENTRADA",Movimientos!$R$2:$R$1993,0)),"-")</f>
        <v>-</v>
      </c>
      <c r="H421" s="17" t="str">
        <f>IFERROR(IF(INDEX(Movimientos!$M$2:$M$1993,MATCH(A421&amp;"ENTRADA",Movimientos!$R$2:$R$1993,0))=0,"S/D",INDEX(Movimientos!$M$2:$M$1993,MATCH(A421&amp;"ENTRADA",Movimientos!$R$2:$R$1993,0))),"S/D")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2728</v>
      </c>
      <c r="B422" s="2" t="str">
        <f>IFERROR(INDEX(Movimientos!$C$2:$C$1993,MATCH(A422&amp;"ENTRADA",Movimientos!$R$2:$R$1993,0)),"-")</f>
        <v>-</v>
      </c>
      <c r="C422" s="2" t="str">
        <f>IFERROR(INDEX(Movimientos!$D$2:$D$1993,MATCH(A422&amp;"ENTRADA",Movimientos!$R$2:$R$1993,0)),"-")</f>
        <v>-</v>
      </c>
      <c r="D422" s="2" t="str">
        <f>IFERROR(INDEX(Movimientos!$E$2:$E$1993,MATCH(A422&amp;"ENTRADA",Movimientos!$R$2:$R$1993,0)),"-")</f>
        <v>-</v>
      </c>
      <c r="E422" s="2" t="str">
        <f>IFERROR(INDEX(Movimientos!$F$2:$F$1993,MATCH(A422&amp;"ENTRADA",Movimientos!$R$2:$R$1993,0)),"-")</f>
        <v>-</v>
      </c>
      <c r="F422" s="2" t="str">
        <f>IFERROR(INDEX(Movimientos!$G$2:$G$1993,MATCH(A422&amp;"ENTRADA",Movimientos!$R$2:$R$1993,0)),"-")</f>
        <v>-</v>
      </c>
      <c r="G422" s="2" t="str">
        <f>IFERROR(INDEX(Movimientos!$L$2:$L$1993,MATCH(A422&amp;"ENTRADA",Movimientos!$R$2:$R$1993,0)),"-")</f>
        <v>-</v>
      </c>
      <c r="H422" s="17" t="str">
        <f>IFERROR(IF(INDEX(Movimientos!$M$2:$M$1993,MATCH(A422&amp;"ENTRADA",Movimientos!$R$2:$R$1993,0))=0,"S/D",INDEX(Movimientos!$M$2:$M$1993,MATCH(A422&amp;"ENTRADA",Movimientos!$R$2:$R$1993,0))),"S/D")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2729</v>
      </c>
      <c r="B423" s="2" t="str">
        <f>IFERROR(INDEX(Movimientos!$C$2:$C$1993,MATCH(A423&amp;"ENTRADA",Movimientos!$R$2:$R$1993,0)),"-")</f>
        <v>-</v>
      </c>
      <c r="C423" s="2" t="str">
        <f>IFERROR(INDEX(Movimientos!$D$2:$D$1993,MATCH(A423&amp;"ENTRADA",Movimientos!$R$2:$R$1993,0)),"-")</f>
        <v>-</v>
      </c>
      <c r="D423" s="2" t="str">
        <f>IFERROR(INDEX(Movimientos!$E$2:$E$1993,MATCH(A423&amp;"ENTRADA",Movimientos!$R$2:$R$1993,0)),"-")</f>
        <v>-</v>
      </c>
      <c r="E423" s="2" t="str">
        <f>IFERROR(INDEX(Movimientos!$F$2:$F$1993,MATCH(A423&amp;"ENTRADA",Movimientos!$R$2:$R$1993,0)),"-")</f>
        <v>-</v>
      </c>
      <c r="F423" s="2" t="str">
        <f>IFERROR(INDEX(Movimientos!$G$2:$G$1993,MATCH(A423&amp;"ENTRADA",Movimientos!$R$2:$R$1993,0)),"-")</f>
        <v>-</v>
      </c>
      <c r="G423" s="2" t="str">
        <f>IFERROR(INDEX(Movimientos!$L$2:$L$1993,MATCH(A423&amp;"ENTRADA",Movimientos!$R$2:$R$1993,0)),"-")</f>
        <v>-</v>
      </c>
      <c r="H423" s="17" t="str">
        <f>IFERROR(IF(INDEX(Movimientos!$M$2:$M$1993,MATCH(A423&amp;"ENTRADA",Movimientos!$R$2:$R$1993,0))=0,"S/D",INDEX(Movimientos!$M$2:$M$1993,MATCH(A423&amp;"ENTRADA",Movimientos!$R$2:$R$1993,0))),"S/D")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2730</v>
      </c>
      <c r="B424" s="2" t="str">
        <f>IFERROR(INDEX(Movimientos!$C$2:$C$1993,MATCH(A424&amp;"ENTRADA",Movimientos!$R$2:$R$1993,0)),"-")</f>
        <v>-</v>
      </c>
      <c r="C424" s="2" t="str">
        <f>IFERROR(INDEX(Movimientos!$D$2:$D$1993,MATCH(A424&amp;"ENTRADA",Movimientos!$R$2:$R$1993,0)),"-")</f>
        <v>-</v>
      </c>
      <c r="D424" s="2" t="str">
        <f>IFERROR(INDEX(Movimientos!$E$2:$E$1993,MATCH(A424&amp;"ENTRADA",Movimientos!$R$2:$R$1993,0)),"-")</f>
        <v>-</v>
      </c>
      <c r="E424" s="2" t="str">
        <f>IFERROR(INDEX(Movimientos!$F$2:$F$1993,MATCH(A424&amp;"ENTRADA",Movimientos!$R$2:$R$1993,0)),"-")</f>
        <v>-</v>
      </c>
      <c r="F424" s="2" t="str">
        <f>IFERROR(INDEX(Movimientos!$G$2:$G$1993,MATCH(A424&amp;"ENTRADA",Movimientos!$R$2:$R$1993,0)),"-")</f>
        <v>-</v>
      </c>
      <c r="G424" s="2" t="str">
        <f>IFERROR(INDEX(Movimientos!$L$2:$L$1993,MATCH(A424&amp;"ENTRADA",Movimientos!$R$2:$R$1993,0)),"-")</f>
        <v>-</v>
      </c>
      <c r="H424" s="17" t="str">
        <f>IFERROR(IF(INDEX(Movimientos!$M$2:$M$1993,MATCH(A424&amp;"ENTRADA",Movimientos!$R$2:$R$1993,0))=0,"S/D",INDEX(Movimientos!$M$2:$M$1993,MATCH(A424&amp;"ENTRADA",Movimientos!$R$2:$R$1993,0))),"S/D")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2731</v>
      </c>
      <c r="B425" s="2" t="str">
        <f>IFERROR(INDEX(Movimientos!$C$2:$C$1993,MATCH(A425&amp;"ENTRADA",Movimientos!$R$2:$R$1993,0)),"-")</f>
        <v>-</v>
      </c>
      <c r="C425" s="2" t="str">
        <f>IFERROR(INDEX(Movimientos!$D$2:$D$1993,MATCH(A425&amp;"ENTRADA",Movimientos!$R$2:$R$1993,0)),"-")</f>
        <v>-</v>
      </c>
      <c r="D425" s="2" t="str">
        <f>IFERROR(INDEX(Movimientos!$E$2:$E$1993,MATCH(A425&amp;"ENTRADA",Movimientos!$R$2:$R$1993,0)),"-")</f>
        <v>-</v>
      </c>
      <c r="E425" s="2" t="str">
        <f>IFERROR(INDEX(Movimientos!$F$2:$F$1993,MATCH(A425&amp;"ENTRADA",Movimientos!$R$2:$R$1993,0)),"-")</f>
        <v>-</v>
      </c>
      <c r="F425" s="2" t="str">
        <f>IFERROR(INDEX(Movimientos!$G$2:$G$1993,MATCH(A425&amp;"ENTRADA",Movimientos!$R$2:$R$1993,0)),"-")</f>
        <v>-</v>
      </c>
      <c r="G425" s="2" t="str">
        <f>IFERROR(INDEX(Movimientos!$L$2:$L$1993,MATCH(A425&amp;"ENTRADA",Movimientos!$R$2:$R$1993,0)),"-")</f>
        <v>-</v>
      </c>
      <c r="H425" s="17" t="str">
        <f>IFERROR(IF(INDEX(Movimientos!$M$2:$M$1993,MATCH(A425&amp;"ENTRADA",Movimientos!$R$2:$R$1993,0))=0,"S/D",INDEX(Movimientos!$M$2:$M$1993,MATCH(A425&amp;"ENTRADA",Movimientos!$R$2:$R$1993,0))),"S/D")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2732</v>
      </c>
      <c r="B426" s="2" t="str">
        <f>IFERROR(INDEX(Movimientos!$C$2:$C$1993,MATCH(A426&amp;"ENTRADA",Movimientos!$R$2:$R$1993,0)),"-")</f>
        <v>-</v>
      </c>
      <c r="C426" s="2" t="str">
        <f>IFERROR(INDEX(Movimientos!$D$2:$D$1993,MATCH(A426&amp;"ENTRADA",Movimientos!$R$2:$R$1993,0)),"-")</f>
        <v>-</v>
      </c>
      <c r="D426" s="2" t="str">
        <f>IFERROR(INDEX(Movimientos!$E$2:$E$1993,MATCH(A426&amp;"ENTRADA",Movimientos!$R$2:$R$1993,0)),"-")</f>
        <v>-</v>
      </c>
      <c r="E426" s="2" t="str">
        <f>IFERROR(INDEX(Movimientos!$F$2:$F$1993,MATCH(A426&amp;"ENTRADA",Movimientos!$R$2:$R$1993,0)),"-")</f>
        <v>-</v>
      </c>
      <c r="F426" s="2" t="str">
        <f>IFERROR(INDEX(Movimientos!$G$2:$G$1993,MATCH(A426&amp;"ENTRADA",Movimientos!$R$2:$R$1993,0)),"-")</f>
        <v>-</v>
      </c>
      <c r="G426" s="2" t="str">
        <f>IFERROR(INDEX(Movimientos!$L$2:$L$1993,MATCH(A426&amp;"ENTRADA",Movimientos!$R$2:$R$1993,0)),"-")</f>
        <v>-</v>
      </c>
      <c r="H426" s="17" t="str">
        <f>IFERROR(IF(INDEX(Movimientos!$M$2:$M$1993,MATCH(A426&amp;"ENTRADA",Movimientos!$R$2:$R$1993,0))=0,"S/D",INDEX(Movimientos!$M$2:$M$1993,MATCH(A426&amp;"ENTRADA",Movimientos!$R$2:$R$1993,0))),"S/D")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2733</v>
      </c>
      <c r="B427" s="2" t="str">
        <f>IFERROR(INDEX(Movimientos!$C$2:$C$1993,MATCH(A427&amp;"ENTRADA",Movimientos!$R$2:$R$1993,0)),"-")</f>
        <v>-</v>
      </c>
      <c r="C427" s="2" t="str">
        <f>IFERROR(INDEX(Movimientos!$D$2:$D$1993,MATCH(A427&amp;"ENTRADA",Movimientos!$R$2:$R$1993,0)),"-")</f>
        <v>-</v>
      </c>
      <c r="D427" s="2" t="str">
        <f>IFERROR(INDEX(Movimientos!$E$2:$E$1993,MATCH(A427&amp;"ENTRADA",Movimientos!$R$2:$R$1993,0)),"-")</f>
        <v>-</v>
      </c>
      <c r="E427" s="2" t="str">
        <f>IFERROR(INDEX(Movimientos!$F$2:$F$1993,MATCH(A427&amp;"ENTRADA",Movimientos!$R$2:$R$1993,0)),"-")</f>
        <v>-</v>
      </c>
      <c r="F427" s="2" t="str">
        <f>IFERROR(INDEX(Movimientos!$G$2:$G$1993,MATCH(A427&amp;"ENTRADA",Movimientos!$R$2:$R$1993,0)),"-")</f>
        <v>-</v>
      </c>
      <c r="G427" s="2" t="str">
        <f>IFERROR(INDEX(Movimientos!$L$2:$L$1993,MATCH(A427&amp;"ENTRADA",Movimientos!$R$2:$R$1993,0)),"-")</f>
        <v>-</v>
      </c>
      <c r="H427" s="17" t="str">
        <f>IFERROR(IF(INDEX(Movimientos!$M$2:$M$1993,MATCH(A427&amp;"ENTRADA",Movimientos!$R$2:$R$1993,0))=0,"S/D",INDEX(Movimientos!$M$2:$M$1993,MATCH(A427&amp;"ENTRADA",Movimientos!$R$2:$R$1993,0))),"S/D")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2734</v>
      </c>
      <c r="B428" s="2" t="str">
        <f>IFERROR(INDEX(Movimientos!$C$2:$C$1993,MATCH(A428&amp;"ENTRADA",Movimientos!$R$2:$R$1993,0)),"-")</f>
        <v>-</v>
      </c>
      <c r="C428" s="2" t="str">
        <f>IFERROR(INDEX(Movimientos!$D$2:$D$1993,MATCH(A428&amp;"ENTRADA",Movimientos!$R$2:$R$1993,0)),"-")</f>
        <v>-</v>
      </c>
      <c r="D428" s="2" t="str">
        <f>IFERROR(INDEX(Movimientos!$E$2:$E$1993,MATCH(A428&amp;"ENTRADA",Movimientos!$R$2:$R$1993,0)),"-")</f>
        <v>-</v>
      </c>
      <c r="E428" s="2" t="str">
        <f>IFERROR(INDEX(Movimientos!$F$2:$F$1993,MATCH(A428&amp;"ENTRADA",Movimientos!$R$2:$R$1993,0)),"-")</f>
        <v>-</v>
      </c>
      <c r="F428" s="2" t="str">
        <f>IFERROR(INDEX(Movimientos!$G$2:$G$1993,MATCH(A428&amp;"ENTRADA",Movimientos!$R$2:$R$1993,0)),"-")</f>
        <v>-</v>
      </c>
      <c r="G428" s="2" t="str">
        <f>IFERROR(INDEX(Movimientos!$L$2:$L$1993,MATCH(A428&amp;"ENTRADA",Movimientos!$R$2:$R$1993,0)),"-")</f>
        <v>-</v>
      </c>
      <c r="H428" s="17" t="str">
        <f>IFERROR(IF(INDEX(Movimientos!$M$2:$M$1993,MATCH(A428&amp;"ENTRADA",Movimientos!$R$2:$R$1993,0))=0,"S/D",INDEX(Movimientos!$M$2:$M$1993,MATCH(A428&amp;"ENTRADA",Movimientos!$R$2:$R$1993,0))),"S/D")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2735</v>
      </c>
      <c r="B429" s="2" t="str">
        <f>IFERROR(INDEX(Movimientos!$C$2:$C$1993,MATCH(A429&amp;"ENTRADA",Movimientos!$R$2:$R$1993,0)),"-")</f>
        <v>-</v>
      </c>
      <c r="C429" s="2" t="str">
        <f>IFERROR(INDEX(Movimientos!$D$2:$D$1993,MATCH(A429&amp;"ENTRADA",Movimientos!$R$2:$R$1993,0)),"-")</f>
        <v>-</v>
      </c>
      <c r="D429" s="2" t="str">
        <f>IFERROR(INDEX(Movimientos!$E$2:$E$1993,MATCH(A429&amp;"ENTRADA",Movimientos!$R$2:$R$1993,0)),"-")</f>
        <v>-</v>
      </c>
      <c r="E429" s="2" t="str">
        <f>IFERROR(INDEX(Movimientos!$F$2:$F$1993,MATCH(A429&amp;"ENTRADA",Movimientos!$R$2:$R$1993,0)),"-")</f>
        <v>-</v>
      </c>
      <c r="F429" s="2" t="str">
        <f>IFERROR(INDEX(Movimientos!$G$2:$G$1993,MATCH(A429&amp;"ENTRADA",Movimientos!$R$2:$R$1993,0)),"-")</f>
        <v>-</v>
      </c>
      <c r="G429" s="2" t="str">
        <f>IFERROR(INDEX(Movimientos!$L$2:$L$1993,MATCH(A429&amp;"ENTRADA",Movimientos!$R$2:$R$1993,0)),"-")</f>
        <v>-</v>
      </c>
      <c r="H429" s="17" t="str">
        <f>IFERROR(IF(INDEX(Movimientos!$M$2:$M$1993,MATCH(A429&amp;"ENTRADA",Movimientos!$R$2:$R$1993,0))=0,"S/D",INDEX(Movimientos!$M$2:$M$1993,MATCH(A429&amp;"ENTRADA",Movimientos!$R$2:$R$1993,0))),"S/D")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2736</v>
      </c>
      <c r="B430" s="2" t="str">
        <f>IFERROR(INDEX(Movimientos!$C$2:$C$1993,MATCH(A430&amp;"ENTRADA",Movimientos!$R$2:$R$1993,0)),"-")</f>
        <v>-</v>
      </c>
      <c r="C430" s="2" t="str">
        <f>IFERROR(INDEX(Movimientos!$D$2:$D$1993,MATCH(A430&amp;"ENTRADA",Movimientos!$R$2:$R$1993,0)),"-")</f>
        <v>-</v>
      </c>
      <c r="D430" s="2" t="str">
        <f>IFERROR(INDEX(Movimientos!$E$2:$E$1993,MATCH(A430&amp;"ENTRADA",Movimientos!$R$2:$R$1993,0)),"-")</f>
        <v>-</v>
      </c>
      <c r="E430" s="2" t="str">
        <f>IFERROR(INDEX(Movimientos!$F$2:$F$1993,MATCH(A430&amp;"ENTRADA",Movimientos!$R$2:$R$1993,0)),"-")</f>
        <v>-</v>
      </c>
      <c r="F430" s="2" t="str">
        <f>IFERROR(INDEX(Movimientos!$G$2:$G$1993,MATCH(A430&amp;"ENTRADA",Movimientos!$R$2:$R$1993,0)),"-")</f>
        <v>-</v>
      </c>
      <c r="G430" s="2" t="str">
        <f>IFERROR(INDEX(Movimientos!$L$2:$L$1993,MATCH(A430&amp;"ENTRADA",Movimientos!$R$2:$R$1993,0)),"-")</f>
        <v>-</v>
      </c>
      <c r="H430" s="17" t="str">
        <f>IFERROR(IF(INDEX(Movimientos!$M$2:$M$1993,MATCH(A430&amp;"ENTRADA",Movimientos!$R$2:$R$1993,0))=0,"S/D",INDEX(Movimientos!$M$2:$M$1993,MATCH(A430&amp;"ENTRADA",Movimientos!$R$2:$R$1993,0))),"S/D")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2737</v>
      </c>
      <c r="B431" s="2" t="str">
        <f>IFERROR(INDEX(Movimientos!$C$2:$C$1993,MATCH(A431&amp;"ENTRADA",Movimientos!$R$2:$R$1993,0)),"-")</f>
        <v>-</v>
      </c>
      <c r="C431" s="2" t="str">
        <f>IFERROR(INDEX(Movimientos!$D$2:$D$1993,MATCH(A431&amp;"ENTRADA",Movimientos!$R$2:$R$1993,0)),"-")</f>
        <v>-</v>
      </c>
      <c r="D431" s="2" t="str">
        <f>IFERROR(INDEX(Movimientos!$E$2:$E$1993,MATCH(A431&amp;"ENTRADA",Movimientos!$R$2:$R$1993,0)),"-")</f>
        <v>-</v>
      </c>
      <c r="E431" s="2" t="str">
        <f>IFERROR(INDEX(Movimientos!$F$2:$F$1993,MATCH(A431&amp;"ENTRADA",Movimientos!$R$2:$R$1993,0)),"-")</f>
        <v>-</v>
      </c>
      <c r="F431" s="2" t="str">
        <f>IFERROR(INDEX(Movimientos!$G$2:$G$1993,MATCH(A431&amp;"ENTRADA",Movimientos!$R$2:$R$1993,0)),"-")</f>
        <v>-</v>
      </c>
      <c r="G431" s="2" t="str">
        <f>IFERROR(INDEX(Movimientos!$L$2:$L$1993,MATCH(A431&amp;"ENTRADA",Movimientos!$R$2:$R$1993,0)),"-")</f>
        <v>-</v>
      </c>
      <c r="H431" s="17" t="str">
        <f>IFERROR(IF(INDEX(Movimientos!$M$2:$M$1993,MATCH(A431&amp;"ENTRADA",Movimientos!$R$2:$R$1993,0))=0,"S/D",INDEX(Movimientos!$M$2:$M$1993,MATCH(A431&amp;"ENTRADA",Movimientos!$R$2:$R$1993,0))),"S/D")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2738</v>
      </c>
      <c r="B432" s="2" t="str">
        <f>IFERROR(INDEX(Movimientos!$C$2:$C$1993,MATCH(A432&amp;"ENTRADA",Movimientos!$R$2:$R$1993,0)),"-")</f>
        <v>-</v>
      </c>
      <c r="C432" s="2" t="str">
        <f>IFERROR(INDEX(Movimientos!$D$2:$D$1993,MATCH(A432&amp;"ENTRADA",Movimientos!$R$2:$R$1993,0)),"-")</f>
        <v>-</v>
      </c>
      <c r="D432" s="2" t="str">
        <f>IFERROR(INDEX(Movimientos!$E$2:$E$1993,MATCH(A432&amp;"ENTRADA",Movimientos!$R$2:$R$1993,0)),"-")</f>
        <v>-</v>
      </c>
      <c r="E432" s="2" t="str">
        <f>IFERROR(INDEX(Movimientos!$F$2:$F$1993,MATCH(A432&amp;"ENTRADA",Movimientos!$R$2:$R$1993,0)),"-")</f>
        <v>-</v>
      </c>
      <c r="F432" s="2" t="str">
        <f>IFERROR(INDEX(Movimientos!$G$2:$G$1993,MATCH(A432&amp;"ENTRADA",Movimientos!$R$2:$R$1993,0)),"-")</f>
        <v>-</v>
      </c>
      <c r="G432" s="2" t="str">
        <f>IFERROR(INDEX(Movimientos!$L$2:$L$1993,MATCH(A432&amp;"ENTRADA",Movimientos!$R$2:$R$1993,0)),"-")</f>
        <v>-</v>
      </c>
      <c r="H432" s="17" t="str">
        <f>IFERROR(IF(INDEX(Movimientos!$M$2:$M$1993,MATCH(A432&amp;"ENTRADA",Movimientos!$R$2:$R$1993,0))=0,"S/D",INDEX(Movimientos!$M$2:$M$1993,MATCH(A432&amp;"ENTRADA",Movimientos!$R$2:$R$1993,0))),"S/D")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2739</v>
      </c>
      <c r="B433" s="2" t="str">
        <f>IFERROR(INDEX(Movimientos!$C$2:$C$1993,MATCH(A433&amp;"ENTRADA",Movimientos!$R$2:$R$1993,0)),"-")</f>
        <v>-</v>
      </c>
      <c r="C433" s="2" t="str">
        <f>IFERROR(INDEX(Movimientos!$D$2:$D$1993,MATCH(A433&amp;"ENTRADA",Movimientos!$R$2:$R$1993,0)),"-")</f>
        <v>-</v>
      </c>
      <c r="D433" s="2" t="str">
        <f>IFERROR(INDEX(Movimientos!$E$2:$E$1993,MATCH(A433&amp;"ENTRADA",Movimientos!$R$2:$R$1993,0)),"-")</f>
        <v>-</v>
      </c>
      <c r="E433" s="2" t="str">
        <f>IFERROR(INDEX(Movimientos!$F$2:$F$1993,MATCH(A433&amp;"ENTRADA",Movimientos!$R$2:$R$1993,0)),"-")</f>
        <v>-</v>
      </c>
      <c r="F433" s="2" t="str">
        <f>IFERROR(INDEX(Movimientos!$G$2:$G$1993,MATCH(A433&amp;"ENTRADA",Movimientos!$R$2:$R$1993,0)),"-")</f>
        <v>-</v>
      </c>
      <c r="G433" s="2" t="str">
        <f>IFERROR(INDEX(Movimientos!$L$2:$L$1993,MATCH(A433&amp;"ENTRADA",Movimientos!$R$2:$R$1993,0)),"-")</f>
        <v>-</v>
      </c>
      <c r="H433" s="17" t="str">
        <f>IFERROR(IF(INDEX(Movimientos!$M$2:$M$1993,MATCH(A433&amp;"ENTRADA",Movimientos!$R$2:$R$1993,0))=0,"S/D",INDEX(Movimientos!$M$2:$M$1993,MATCH(A433&amp;"ENTRADA",Movimientos!$R$2:$R$1993,0))),"S/D")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2740</v>
      </c>
      <c r="B434" s="2" t="str">
        <f>IFERROR(INDEX(Movimientos!$C$2:$C$1993,MATCH(A434&amp;"ENTRADA",Movimientos!$R$2:$R$1993,0)),"-")</f>
        <v>-</v>
      </c>
      <c r="C434" s="2" t="str">
        <f>IFERROR(INDEX(Movimientos!$D$2:$D$1993,MATCH(A434&amp;"ENTRADA",Movimientos!$R$2:$R$1993,0)),"-")</f>
        <v>-</v>
      </c>
      <c r="D434" s="2" t="str">
        <f>IFERROR(INDEX(Movimientos!$E$2:$E$1993,MATCH(A434&amp;"ENTRADA",Movimientos!$R$2:$R$1993,0)),"-")</f>
        <v>-</v>
      </c>
      <c r="E434" s="2" t="str">
        <f>IFERROR(INDEX(Movimientos!$F$2:$F$1993,MATCH(A434&amp;"ENTRADA",Movimientos!$R$2:$R$1993,0)),"-")</f>
        <v>-</v>
      </c>
      <c r="F434" s="2" t="str">
        <f>IFERROR(INDEX(Movimientos!$G$2:$G$1993,MATCH(A434&amp;"ENTRADA",Movimientos!$R$2:$R$1993,0)),"-")</f>
        <v>-</v>
      </c>
      <c r="G434" s="2" t="str">
        <f>IFERROR(INDEX(Movimientos!$L$2:$L$1993,MATCH(A434&amp;"ENTRADA",Movimientos!$R$2:$R$1993,0)),"-")</f>
        <v>-</v>
      </c>
      <c r="H434" s="17" t="str">
        <f>IFERROR(IF(INDEX(Movimientos!$M$2:$M$1993,MATCH(A434&amp;"ENTRADA",Movimientos!$R$2:$R$1993,0))=0,"S/D",INDEX(Movimientos!$M$2:$M$1993,MATCH(A434&amp;"ENTRADA",Movimientos!$R$2:$R$1993,0))),"S/D")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2741</v>
      </c>
      <c r="B435" s="2" t="str">
        <f>IFERROR(INDEX(Movimientos!$C$2:$C$1993,MATCH(A435&amp;"ENTRADA",Movimientos!$R$2:$R$1993,0)),"-")</f>
        <v>-</v>
      </c>
      <c r="C435" s="2" t="str">
        <f>IFERROR(INDEX(Movimientos!$D$2:$D$1993,MATCH(A435&amp;"ENTRADA",Movimientos!$R$2:$R$1993,0)),"-")</f>
        <v>-</v>
      </c>
      <c r="D435" s="2" t="str">
        <f>IFERROR(INDEX(Movimientos!$E$2:$E$1993,MATCH(A435&amp;"ENTRADA",Movimientos!$R$2:$R$1993,0)),"-")</f>
        <v>-</v>
      </c>
      <c r="E435" s="2" t="str">
        <f>IFERROR(INDEX(Movimientos!$F$2:$F$1993,MATCH(A435&amp;"ENTRADA",Movimientos!$R$2:$R$1993,0)),"-")</f>
        <v>-</v>
      </c>
      <c r="F435" s="2" t="str">
        <f>IFERROR(INDEX(Movimientos!$G$2:$G$1993,MATCH(A435&amp;"ENTRADA",Movimientos!$R$2:$R$1993,0)),"-")</f>
        <v>-</v>
      </c>
      <c r="G435" s="2" t="str">
        <f>IFERROR(INDEX(Movimientos!$L$2:$L$1993,MATCH(A435&amp;"ENTRADA",Movimientos!$R$2:$R$1993,0)),"-")</f>
        <v>-</v>
      </c>
      <c r="H435" s="17" t="str">
        <f>IFERROR(IF(INDEX(Movimientos!$M$2:$M$1993,MATCH(A435&amp;"ENTRADA",Movimientos!$R$2:$R$1993,0))=0,"S/D",INDEX(Movimientos!$M$2:$M$1993,MATCH(A435&amp;"ENTRADA",Movimientos!$R$2:$R$1993,0))),"S/D")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2742</v>
      </c>
      <c r="B436" s="2" t="str">
        <f>IFERROR(INDEX(Movimientos!$C$2:$C$1993,MATCH(A436&amp;"ENTRADA",Movimientos!$R$2:$R$1993,0)),"-")</f>
        <v>-</v>
      </c>
      <c r="C436" s="2" t="str">
        <f>IFERROR(INDEX(Movimientos!$D$2:$D$1993,MATCH(A436&amp;"ENTRADA",Movimientos!$R$2:$R$1993,0)),"-")</f>
        <v>-</v>
      </c>
      <c r="D436" s="2" t="str">
        <f>IFERROR(INDEX(Movimientos!$E$2:$E$1993,MATCH(A436&amp;"ENTRADA",Movimientos!$R$2:$R$1993,0)),"-")</f>
        <v>-</v>
      </c>
      <c r="E436" s="2" t="str">
        <f>IFERROR(INDEX(Movimientos!$F$2:$F$1993,MATCH(A436&amp;"ENTRADA",Movimientos!$R$2:$R$1993,0)),"-")</f>
        <v>-</v>
      </c>
      <c r="F436" s="2" t="str">
        <f>IFERROR(INDEX(Movimientos!$G$2:$G$1993,MATCH(A436&amp;"ENTRADA",Movimientos!$R$2:$R$1993,0)),"-")</f>
        <v>-</v>
      </c>
      <c r="G436" s="2" t="str">
        <f>IFERROR(INDEX(Movimientos!$L$2:$L$1993,MATCH(A436&amp;"ENTRADA",Movimientos!$R$2:$R$1993,0)),"-")</f>
        <v>-</v>
      </c>
      <c r="H436" s="17" t="str">
        <f>IFERROR(IF(INDEX(Movimientos!$M$2:$M$1993,MATCH(A436&amp;"ENTRADA",Movimientos!$R$2:$R$1993,0))=0,"S/D",INDEX(Movimientos!$M$2:$M$1993,MATCH(A436&amp;"ENTRADA",Movimientos!$R$2:$R$1993,0))),"S/D")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2743</v>
      </c>
      <c r="B437" s="2" t="str">
        <f>IFERROR(INDEX(Movimientos!$C$2:$C$1993,MATCH(A437&amp;"ENTRADA",Movimientos!$R$2:$R$1993,0)),"-")</f>
        <v>-</v>
      </c>
      <c r="C437" s="2" t="str">
        <f>IFERROR(INDEX(Movimientos!$D$2:$D$1993,MATCH(A437&amp;"ENTRADA",Movimientos!$R$2:$R$1993,0)),"-")</f>
        <v>-</v>
      </c>
      <c r="D437" s="2" t="str">
        <f>IFERROR(INDEX(Movimientos!$E$2:$E$1993,MATCH(A437&amp;"ENTRADA",Movimientos!$R$2:$R$1993,0)),"-")</f>
        <v>-</v>
      </c>
      <c r="E437" s="2" t="str">
        <f>IFERROR(INDEX(Movimientos!$F$2:$F$1993,MATCH(A437&amp;"ENTRADA",Movimientos!$R$2:$R$1993,0)),"-")</f>
        <v>-</v>
      </c>
      <c r="F437" s="2" t="str">
        <f>IFERROR(INDEX(Movimientos!$G$2:$G$1993,MATCH(A437&amp;"ENTRADA",Movimientos!$R$2:$R$1993,0)),"-")</f>
        <v>-</v>
      </c>
      <c r="G437" s="2" t="str">
        <f>IFERROR(INDEX(Movimientos!$L$2:$L$1993,MATCH(A437&amp;"ENTRADA",Movimientos!$R$2:$R$1993,0)),"-")</f>
        <v>-</v>
      </c>
      <c r="H437" s="17" t="str">
        <f>IFERROR(IF(INDEX(Movimientos!$M$2:$M$1993,MATCH(A437&amp;"ENTRADA",Movimientos!$R$2:$R$1993,0))=0,"S/D",INDEX(Movimientos!$M$2:$M$1993,MATCH(A437&amp;"ENTRADA",Movimientos!$R$2:$R$1993,0))),"S/D")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2744</v>
      </c>
      <c r="B438" s="2" t="str">
        <f>IFERROR(INDEX(Movimientos!$C$2:$C$1993,MATCH(A438&amp;"ENTRADA",Movimientos!$R$2:$R$1993,0)),"-")</f>
        <v>-</v>
      </c>
      <c r="C438" s="2" t="str">
        <f>IFERROR(INDEX(Movimientos!$D$2:$D$1993,MATCH(A438&amp;"ENTRADA",Movimientos!$R$2:$R$1993,0)),"-")</f>
        <v>-</v>
      </c>
      <c r="D438" s="2" t="str">
        <f>IFERROR(INDEX(Movimientos!$E$2:$E$1993,MATCH(A438&amp;"ENTRADA",Movimientos!$R$2:$R$1993,0)),"-")</f>
        <v>-</v>
      </c>
      <c r="E438" s="2" t="str">
        <f>IFERROR(INDEX(Movimientos!$F$2:$F$1993,MATCH(A438&amp;"ENTRADA",Movimientos!$R$2:$R$1993,0)),"-")</f>
        <v>-</v>
      </c>
      <c r="F438" s="2" t="str">
        <f>IFERROR(INDEX(Movimientos!$G$2:$G$1993,MATCH(A438&amp;"ENTRADA",Movimientos!$R$2:$R$1993,0)),"-")</f>
        <v>-</v>
      </c>
      <c r="G438" s="2" t="str">
        <f>IFERROR(INDEX(Movimientos!$L$2:$L$1993,MATCH(A438&amp;"ENTRADA",Movimientos!$R$2:$R$1993,0)),"-")</f>
        <v>-</v>
      </c>
      <c r="H438" s="17" t="str">
        <f>IFERROR(IF(INDEX(Movimientos!$M$2:$M$1993,MATCH(A438&amp;"ENTRADA",Movimientos!$R$2:$R$1993,0))=0,"S/D",INDEX(Movimientos!$M$2:$M$1993,MATCH(A438&amp;"ENTRADA",Movimientos!$R$2:$R$1993,0))),"S/D")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2745</v>
      </c>
      <c r="B439" s="2" t="str">
        <f>IFERROR(INDEX(Movimientos!$C$2:$C$1993,MATCH(A439&amp;"ENTRADA",Movimientos!$R$2:$R$1993,0)),"-")</f>
        <v>-</v>
      </c>
      <c r="C439" s="2" t="str">
        <f>IFERROR(INDEX(Movimientos!$D$2:$D$1993,MATCH(A439&amp;"ENTRADA",Movimientos!$R$2:$R$1993,0)),"-")</f>
        <v>-</v>
      </c>
      <c r="D439" s="2" t="str">
        <f>IFERROR(INDEX(Movimientos!$E$2:$E$1993,MATCH(A439&amp;"ENTRADA",Movimientos!$R$2:$R$1993,0)),"-")</f>
        <v>-</v>
      </c>
      <c r="E439" s="2" t="str">
        <f>IFERROR(INDEX(Movimientos!$F$2:$F$1993,MATCH(A439&amp;"ENTRADA",Movimientos!$R$2:$R$1993,0)),"-")</f>
        <v>-</v>
      </c>
      <c r="F439" s="2" t="str">
        <f>IFERROR(INDEX(Movimientos!$G$2:$G$1993,MATCH(A439&amp;"ENTRADA",Movimientos!$R$2:$R$1993,0)),"-")</f>
        <v>-</v>
      </c>
      <c r="G439" s="2" t="str">
        <f>IFERROR(INDEX(Movimientos!$L$2:$L$1993,MATCH(A439&amp;"ENTRADA",Movimientos!$R$2:$R$1993,0)),"-")</f>
        <v>-</v>
      </c>
      <c r="H439" s="17" t="str">
        <f>IFERROR(IF(INDEX(Movimientos!$M$2:$M$1993,MATCH(A439&amp;"ENTRADA",Movimientos!$R$2:$R$1993,0))=0,"S/D",INDEX(Movimientos!$M$2:$M$1993,MATCH(A439&amp;"ENTRADA",Movimientos!$R$2:$R$1993,0))),"S/D")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2746</v>
      </c>
      <c r="B440" s="2" t="str">
        <f>IFERROR(INDEX(Movimientos!$C$2:$C$1993,MATCH(A440&amp;"ENTRADA",Movimientos!$R$2:$R$1993,0)),"-")</f>
        <v>-</v>
      </c>
      <c r="C440" s="2" t="str">
        <f>IFERROR(INDEX(Movimientos!$D$2:$D$1993,MATCH(A440&amp;"ENTRADA",Movimientos!$R$2:$R$1993,0)),"-")</f>
        <v>-</v>
      </c>
      <c r="D440" s="2" t="str">
        <f>IFERROR(INDEX(Movimientos!$E$2:$E$1993,MATCH(A440&amp;"ENTRADA",Movimientos!$R$2:$R$1993,0)),"-")</f>
        <v>-</v>
      </c>
      <c r="E440" s="2" t="str">
        <f>IFERROR(INDEX(Movimientos!$F$2:$F$1993,MATCH(A440&amp;"ENTRADA",Movimientos!$R$2:$R$1993,0)),"-")</f>
        <v>-</v>
      </c>
      <c r="F440" s="2" t="str">
        <f>IFERROR(INDEX(Movimientos!$G$2:$G$1993,MATCH(A440&amp;"ENTRADA",Movimientos!$R$2:$R$1993,0)),"-")</f>
        <v>-</v>
      </c>
      <c r="G440" s="2" t="str">
        <f>IFERROR(INDEX(Movimientos!$L$2:$L$1993,MATCH(A440&amp;"ENTRADA",Movimientos!$R$2:$R$1993,0)),"-")</f>
        <v>-</v>
      </c>
      <c r="H440" s="17" t="str">
        <f>IFERROR(IF(INDEX(Movimientos!$M$2:$M$1993,MATCH(A440&amp;"ENTRADA",Movimientos!$R$2:$R$1993,0))=0,"S/D",INDEX(Movimientos!$M$2:$M$1993,MATCH(A440&amp;"ENTRADA",Movimientos!$R$2:$R$1993,0))),"S/D")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2747</v>
      </c>
      <c r="B441" s="2" t="str">
        <f>IFERROR(INDEX(Movimientos!$C$2:$C$1993,MATCH(A441&amp;"ENTRADA",Movimientos!$R$2:$R$1993,0)),"-")</f>
        <v>-</v>
      </c>
      <c r="C441" s="2" t="str">
        <f>IFERROR(INDEX(Movimientos!$D$2:$D$1993,MATCH(A441&amp;"ENTRADA",Movimientos!$R$2:$R$1993,0)),"-")</f>
        <v>-</v>
      </c>
      <c r="D441" s="2" t="str">
        <f>IFERROR(INDEX(Movimientos!$E$2:$E$1993,MATCH(A441&amp;"ENTRADA",Movimientos!$R$2:$R$1993,0)),"-")</f>
        <v>-</v>
      </c>
      <c r="E441" s="2" t="str">
        <f>IFERROR(INDEX(Movimientos!$F$2:$F$1993,MATCH(A441&amp;"ENTRADA",Movimientos!$R$2:$R$1993,0)),"-")</f>
        <v>-</v>
      </c>
      <c r="F441" s="2" t="str">
        <f>IFERROR(INDEX(Movimientos!$G$2:$G$1993,MATCH(A441&amp;"ENTRADA",Movimientos!$R$2:$R$1993,0)),"-")</f>
        <v>-</v>
      </c>
      <c r="G441" s="2" t="str">
        <f>IFERROR(INDEX(Movimientos!$L$2:$L$1993,MATCH(A441&amp;"ENTRADA",Movimientos!$R$2:$R$1993,0)),"-")</f>
        <v>-</v>
      </c>
      <c r="H441" s="17" t="str">
        <f>IFERROR(IF(INDEX(Movimientos!$M$2:$M$1993,MATCH(A441&amp;"ENTRADA",Movimientos!$R$2:$R$1993,0))=0,"S/D",INDEX(Movimientos!$M$2:$M$1993,MATCH(A441&amp;"ENTRADA",Movimientos!$R$2:$R$1993,0))),"S/D")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2748</v>
      </c>
      <c r="B442" s="2" t="str">
        <f>IFERROR(INDEX(Movimientos!$C$2:$C$1993,MATCH(A442&amp;"ENTRADA",Movimientos!$R$2:$R$1993,0)),"-")</f>
        <v>-</v>
      </c>
      <c r="C442" s="2" t="str">
        <f>IFERROR(INDEX(Movimientos!$D$2:$D$1993,MATCH(A442&amp;"ENTRADA",Movimientos!$R$2:$R$1993,0)),"-")</f>
        <v>-</v>
      </c>
      <c r="D442" s="2" t="str">
        <f>IFERROR(INDEX(Movimientos!$E$2:$E$1993,MATCH(A442&amp;"ENTRADA",Movimientos!$R$2:$R$1993,0)),"-")</f>
        <v>-</v>
      </c>
      <c r="E442" s="2" t="str">
        <f>IFERROR(INDEX(Movimientos!$F$2:$F$1993,MATCH(A442&amp;"ENTRADA",Movimientos!$R$2:$R$1993,0)),"-")</f>
        <v>-</v>
      </c>
      <c r="F442" s="2" t="str">
        <f>IFERROR(INDEX(Movimientos!$G$2:$G$1993,MATCH(A442&amp;"ENTRADA",Movimientos!$R$2:$R$1993,0)),"-")</f>
        <v>-</v>
      </c>
      <c r="G442" s="2" t="str">
        <f>IFERROR(INDEX(Movimientos!$L$2:$L$1993,MATCH(A442&amp;"ENTRADA",Movimientos!$R$2:$R$1993,0)),"-")</f>
        <v>-</v>
      </c>
      <c r="H442" s="17" t="str">
        <f>IFERROR(IF(INDEX(Movimientos!$M$2:$M$1993,MATCH(A442&amp;"ENTRADA",Movimientos!$R$2:$R$1993,0))=0,"S/D",INDEX(Movimientos!$M$2:$M$1993,MATCH(A442&amp;"ENTRADA",Movimientos!$R$2:$R$1993,0))),"S/D")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2749</v>
      </c>
      <c r="B443" s="2" t="str">
        <f>IFERROR(INDEX(Movimientos!$C$2:$C$1993,MATCH(A443&amp;"ENTRADA",Movimientos!$R$2:$R$1993,0)),"-")</f>
        <v>-</v>
      </c>
      <c r="C443" s="2" t="str">
        <f>IFERROR(INDEX(Movimientos!$D$2:$D$1993,MATCH(A443&amp;"ENTRADA",Movimientos!$R$2:$R$1993,0)),"-")</f>
        <v>-</v>
      </c>
      <c r="D443" s="2" t="str">
        <f>IFERROR(INDEX(Movimientos!$E$2:$E$1993,MATCH(A443&amp;"ENTRADA",Movimientos!$R$2:$R$1993,0)),"-")</f>
        <v>-</v>
      </c>
      <c r="E443" s="2" t="str">
        <f>IFERROR(INDEX(Movimientos!$F$2:$F$1993,MATCH(A443&amp;"ENTRADA",Movimientos!$R$2:$R$1993,0)),"-")</f>
        <v>-</v>
      </c>
      <c r="F443" s="2" t="str">
        <f>IFERROR(INDEX(Movimientos!$G$2:$G$1993,MATCH(A443&amp;"ENTRADA",Movimientos!$R$2:$R$1993,0)),"-")</f>
        <v>-</v>
      </c>
      <c r="G443" s="2" t="str">
        <f>IFERROR(INDEX(Movimientos!$L$2:$L$1993,MATCH(A443&amp;"ENTRADA",Movimientos!$R$2:$R$1993,0)),"-")</f>
        <v>-</v>
      </c>
      <c r="H443" s="17" t="str">
        <f>IFERROR(IF(INDEX(Movimientos!$M$2:$M$1993,MATCH(A443&amp;"ENTRADA",Movimientos!$R$2:$R$1993,0))=0,"S/D",INDEX(Movimientos!$M$2:$M$1993,MATCH(A443&amp;"ENTRADA",Movimientos!$R$2:$R$1993,0))),"S/D")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2750</v>
      </c>
      <c r="B444" s="2" t="str">
        <f>IFERROR(INDEX(Movimientos!$C$2:$C$1993,MATCH(A444&amp;"ENTRADA",Movimientos!$R$2:$R$1993,0)),"-")</f>
        <v>-</v>
      </c>
      <c r="C444" s="2" t="str">
        <f>IFERROR(INDEX(Movimientos!$D$2:$D$1993,MATCH(A444&amp;"ENTRADA",Movimientos!$R$2:$R$1993,0)),"-")</f>
        <v>-</v>
      </c>
      <c r="D444" s="2" t="str">
        <f>IFERROR(INDEX(Movimientos!$E$2:$E$1993,MATCH(A444&amp;"ENTRADA",Movimientos!$R$2:$R$1993,0)),"-")</f>
        <v>-</v>
      </c>
      <c r="E444" s="2" t="str">
        <f>IFERROR(INDEX(Movimientos!$F$2:$F$1993,MATCH(A444&amp;"ENTRADA",Movimientos!$R$2:$R$1993,0)),"-")</f>
        <v>-</v>
      </c>
      <c r="F444" s="2" t="str">
        <f>IFERROR(INDEX(Movimientos!$G$2:$G$1993,MATCH(A444&amp;"ENTRADA",Movimientos!$R$2:$R$1993,0)),"-")</f>
        <v>-</v>
      </c>
      <c r="G444" s="2" t="str">
        <f>IFERROR(INDEX(Movimientos!$L$2:$L$1993,MATCH(A444&amp;"ENTRADA",Movimientos!$R$2:$R$1993,0)),"-")</f>
        <v>-</v>
      </c>
      <c r="H444" s="17" t="str">
        <f>IFERROR(IF(INDEX(Movimientos!$M$2:$M$1993,MATCH(A444&amp;"ENTRADA",Movimientos!$R$2:$R$1993,0))=0,"S/D",INDEX(Movimientos!$M$2:$M$1993,MATCH(A444&amp;"ENTRADA",Movimientos!$R$2:$R$1993,0))),"S/D")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2751</v>
      </c>
      <c r="B445" s="2" t="str">
        <f>IFERROR(INDEX(Movimientos!$C$2:$C$1993,MATCH(A445&amp;"ENTRADA",Movimientos!$R$2:$R$1993,0)),"-")</f>
        <v>-</v>
      </c>
      <c r="C445" s="2" t="str">
        <f>IFERROR(INDEX(Movimientos!$D$2:$D$1993,MATCH(A445&amp;"ENTRADA",Movimientos!$R$2:$R$1993,0)),"-")</f>
        <v>-</v>
      </c>
      <c r="D445" s="2" t="str">
        <f>IFERROR(INDEX(Movimientos!$E$2:$E$1993,MATCH(A445&amp;"ENTRADA",Movimientos!$R$2:$R$1993,0)),"-")</f>
        <v>-</v>
      </c>
      <c r="E445" s="2" t="str">
        <f>IFERROR(INDEX(Movimientos!$F$2:$F$1993,MATCH(A445&amp;"ENTRADA",Movimientos!$R$2:$R$1993,0)),"-")</f>
        <v>-</v>
      </c>
      <c r="F445" s="2" t="str">
        <f>IFERROR(INDEX(Movimientos!$G$2:$G$1993,MATCH(A445&amp;"ENTRADA",Movimientos!$R$2:$R$1993,0)),"-")</f>
        <v>-</v>
      </c>
      <c r="G445" s="2" t="str">
        <f>IFERROR(INDEX(Movimientos!$L$2:$L$1993,MATCH(A445&amp;"ENTRADA",Movimientos!$R$2:$R$1993,0)),"-")</f>
        <v>-</v>
      </c>
      <c r="H445" s="17" t="str">
        <f>IFERROR(IF(INDEX(Movimientos!$M$2:$M$1993,MATCH(A445&amp;"ENTRADA",Movimientos!$R$2:$R$1993,0))=0,"S/D",INDEX(Movimientos!$M$2:$M$1993,MATCH(A445&amp;"ENTRADA",Movimientos!$R$2:$R$1993,0))),"S/D")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2752</v>
      </c>
      <c r="B446" s="2" t="str">
        <f>IFERROR(INDEX(Movimientos!$C$2:$C$1993,MATCH(A446&amp;"ENTRADA",Movimientos!$R$2:$R$1993,0)),"-")</f>
        <v>-</v>
      </c>
      <c r="C446" s="2" t="str">
        <f>IFERROR(INDEX(Movimientos!$D$2:$D$1993,MATCH(A446&amp;"ENTRADA",Movimientos!$R$2:$R$1993,0)),"-")</f>
        <v>-</v>
      </c>
      <c r="D446" s="2" t="str">
        <f>IFERROR(INDEX(Movimientos!$E$2:$E$1993,MATCH(A446&amp;"ENTRADA",Movimientos!$R$2:$R$1993,0)),"-")</f>
        <v>-</v>
      </c>
      <c r="E446" s="2" t="str">
        <f>IFERROR(INDEX(Movimientos!$F$2:$F$1993,MATCH(A446&amp;"ENTRADA",Movimientos!$R$2:$R$1993,0)),"-")</f>
        <v>-</v>
      </c>
      <c r="F446" s="2" t="str">
        <f>IFERROR(INDEX(Movimientos!$G$2:$G$1993,MATCH(A446&amp;"ENTRADA",Movimientos!$R$2:$R$1993,0)),"-")</f>
        <v>-</v>
      </c>
      <c r="G446" s="2" t="str">
        <f>IFERROR(INDEX(Movimientos!$L$2:$L$1993,MATCH(A446&amp;"ENTRADA",Movimientos!$R$2:$R$1993,0)),"-")</f>
        <v>-</v>
      </c>
      <c r="H446" s="17" t="str">
        <f>IFERROR(IF(INDEX(Movimientos!$M$2:$M$1993,MATCH(A446&amp;"ENTRADA",Movimientos!$R$2:$R$1993,0))=0,"S/D",INDEX(Movimientos!$M$2:$M$1993,MATCH(A446&amp;"ENTRADA",Movimientos!$R$2:$R$1993,0))),"S/D")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2753</v>
      </c>
      <c r="B447" s="2" t="str">
        <f>IFERROR(INDEX(Movimientos!$C$2:$C$1993,MATCH(A447&amp;"ENTRADA",Movimientos!$R$2:$R$1993,0)),"-")</f>
        <v>-</v>
      </c>
      <c r="C447" s="2" t="str">
        <f>IFERROR(INDEX(Movimientos!$D$2:$D$1993,MATCH(A447&amp;"ENTRADA",Movimientos!$R$2:$R$1993,0)),"-")</f>
        <v>-</v>
      </c>
      <c r="D447" s="2" t="str">
        <f>IFERROR(INDEX(Movimientos!$E$2:$E$1993,MATCH(A447&amp;"ENTRADA",Movimientos!$R$2:$R$1993,0)),"-")</f>
        <v>-</v>
      </c>
      <c r="E447" s="2" t="str">
        <f>IFERROR(INDEX(Movimientos!$F$2:$F$1993,MATCH(A447&amp;"ENTRADA",Movimientos!$R$2:$R$1993,0)),"-")</f>
        <v>-</v>
      </c>
      <c r="F447" s="2" t="str">
        <f>IFERROR(INDEX(Movimientos!$G$2:$G$1993,MATCH(A447&amp;"ENTRADA",Movimientos!$R$2:$R$1993,0)),"-")</f>
        <v>-</v>
      </c>
      <c r="G447" s="2" t="str">
        <f>IFERROR(INDEX(Movimientos!$L$2:$L$1993,MATCH(A447&amp;"ENTRADA",Movimientos!$R$2:$R$1993,0)),"-")</f>
        <v>-</v>
      </c>
      <c r="H447" s="17" t="str">
        <f>IFERROR(IF(INDEX(Movimientos!$M$2:$M$1993,MATCH(A447&amp;"ENTRADA",Movimientos!$R$2:$R$1993,0))=0,"S/D",INDEX(Movimientos!$M$2:$M$1993,MATCH(A447&amp;"ENTRADA",Movimientos!$R$2:$R$1993,0))),"S/D")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2754</v>
      </c>
      <c r="B448" s="2" t="str">
        <f>IFERROR(INDEX(Movimientos!$C$2:$C$1993,MATCH(A448&amp;"ENTRADA",Movimientos!$R$2:$R$1993,0)),"-")</f>
        <v>-</v>
      </c>
      <c r="C448" s="2" t="str">
        <f>IFERROR(INDEX(Movimientos!$D$2:$D$1993,MATCH(A448&amp;"ENTRADA",Movimientos!$R$2:$R$1993,0)),"-")</f>
        <v>-</v>
      </c>
      <c r="D448" s="2" t="str">
        <f>IFERROR(INDEX(Movimientos!$E$2:$E$1993,MATCH(A448&amp;"ENTRADA",Movimientos!$R$2:$R$1993,0)),"-")</f>
        <v>-</v>
      </c>
      <c r="E448" s="2" t="str">
        <f>IFERROR(INDEX(Movimientos!$F$2:$F$1993,MATCH(A448&amp;"ENTRADA",Movimientos!$R$2:$R$1993,0)),"-")</f>
        <v>-</v>
      </c>
      <c r="F448" s="2" t="str">
        <f>IFERROR(INDEX(Movimientos!$G$2:$G$1993,MATCH(A448&amp;"ENTRADA",Movimientos!$R$2:$R$1993,0)),"-")</f>
        <v>-</v>
      </c>
      <c r="G448" s="2" t="str">
        <f>IFERROR(INDEX(Movimientos!$L$2:$L$1993,MATCH(A448&amp;"ENTRADA",Movimientos!$R$2:$R$1993,0)),"-")</f>
        <v>-</v>
      </c>
      <c r="H448" s="17" t="str">
        <f>IFERROR(IF(INDEX(Movimientos!$M$2:$M$1993,MATCH(A448&amp;"ENTRADA",Movimientos!$R$2:$R$1993,0))=0,"S/D",INDEX(Movimientos!$M$2:$M$1993,MATCH(A448&amp;"ENTRADA",Movimientos!$R$2:$R$1993,0))),"S/D")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2755</v>
      </c>
      <c r="B449" s="2" t="str">
        <f>IFERROR(INDEX(Movimientos!$C$2:$C$1993,MATCH(A449&amp;"ENTRADA",Movimientos!$R$2:$R$1993,0)),"-")</f>
        <v>-</v>
      </c>
      <c r="C449" s="2" t="str">
        <f>IFERROR(INDEX(Movimientos!$D$2:$D$1993,MATCH(A449&amp;"ENTRADA",Movimientos!$R$2:$R$1993,0)),"-")</f>
        <v>-</v>
      </c>
      <c r="D449" s="2" t="str">
        <f>IFERROR(INDEX(Movimientos!$E$2:$E$1993,MATCH(A449&amp;"ENTRADA",Movimientos!$R$2:$R$1993,0)),"-")</f>
        <v>-</v>
      </c>
      <c r="E449" s="2" t="str">
        <f>IFERROR(INDEX(Movimientos!$F$2:$F$1993,MATCH(A449&amp;"ENTRADA",Movimientos!$R$2:$R$1993,0)),"-")</f>
        <v>-</v>
      </c>
      <c r="F449" s="2" t="str">
        <f>IFERROR(INDEX(Movimientos!$G$2:$G$1993,MATCH(A449&amp;"ENTRADA",Movimientos!$R$2:$R$1993,0)),"-")</f>
        <v>-</v>
      </c>
      <c r="G449" s="2" t="str">
        <f>IFERROR(INDEX(Movimientos!$L$2:$L$1993,MATCH(A449&amp;"ENTRADA",Movimientos!$R$2:$R$1993,0)),"-")</f>
        <v>-</v>
      </c>
      <c r="H449" s="17" t="str">
        <f>IFERROR(IF(INDEX(Movimientos!$M$2:$M$1993,MATCH(A449&amp;"ENTRADA",Movimientos!$R$2:$R$1993,0))=0,"S/D",INDEX(Movimientos!$M$2:$M$1993,MATCH(A449&amp;"ENTRADA",Movimientos!$R$2:$R$1993,0))),"S/D")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2756</v>
      </c>
      <c r="B450" s="2" t="str">
        <f>IFERROR(INDEX(Movimientos!$C$2:$C$1993,MATCH(A450&amp;"ENTRADA",Movimientos!$R$2:$R$1993,0)),"-")</f>
        <v>-</v>
      </c>
      <c r="C450" s="2" t="str">
        <f>IFERROR(INDEX(Movimientos!$D$2:$D$1993,MATCH(A450&amp;"ENTRADA",Movimientos!$R$2:$R$1993,0)),"-")</f>
        <v>-</v>
      </c>
      <c r="D450" s="2" t="str">
        <f>IFERROR(INDEX(Movimientos!$E$2:$E$1993,MATCH(A450&amp;"ENTRADA",Movimientos!$R$2:$R$1993,0)),"-")</f>
        <v>-</v>
      </c>
      <c r="E450" s="2" t="str">
        <f>IFERROR(INDEX(Movimientos!$F$2:$F$1993,MATCH(A450&amp;"ENTRADA",Movimientos!$R$2:$R$1993,0)),"-")</f>
        <v>-</v>
      </c>
      <c r="F450" s="2" t="str">
        <f>IFERROR(INDEX(Movimientos!$G$2:$G$1993,MATCH(A450&amp;"ENTRADA",Movimientos!$R$2:$R$1993,0)),"-")</f>
        <v>-</v>
      </c>
      <c r="G450" s="2" t="str">
        <f>IFERROR(INDEX(Movimientos!$L$2:$L$1993,MATCH(A450&amp;"ENTRADA",Movimientos!$R$2:$R$1993,0)),"-")</f>
        <v>-</v>
      </c>
      <c r="H450" s="17" t="str">
        <f>IFERROR(IF(INDEX(Movimientos!$M$2:$M$1993,MATCH(A450&amp;"ENTRADA",Movimientos!$R$2:$R$1993,0))=0,"S/D",INDEX(Movimientos!$M$2:$M$1993,MATCH(A450&amp;"ENTRADA",Movimientos!$R$2:$R$1993,0))),"S/D")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2757</v>
      </c>
      <c r="B451" s="2" t="str">
        <f>IFERROR(INDEX(Movimientos!$C$2:$C$1993,MATCH(A451&amp;"ENTRADA",Movimientos!$R$2:$R$1993,0)),"-")</f>
        <v>-</v>
      </c>
      <c r="C451" s="2" t="str">
        <f>IFERROR(INDEX(Movimientos!$D$2:$D$1993,MATCH(A451&amp;"ENTRADA",Movimientos!$R$2:$R$1993,0)),"-")</f>
        <v>-</v>
      </c>
      <c r="D451" s="2" t="str">
        <f>IFERROR(INDEX(Movimientos!$E$2:$E$1993,MATCH(A451&amp;"ENTRADA",Movimientos!$R$2:$R$1993,0)),"-")</f>
        <v>-</v>
      </c>
      <c r="E451" s="2" t="str">
        <f>IFERROR(INDEX(Movimientos!$F$2:$F$1993,MATCH(A451&amp;"ENTRADA",Movimientos!$R$2:$R$1993,0)),"-")</f>
        <v>-</v>
      </c>
      <c r="F451" s="2" t="str">
        <f>IFERROR(INDEX(Movimientos!$G$2:$G$1993,MATCH(A451&amp;"ENTRADA",Movimientos!$R$2:$R$1993,0)),"-")</f>
        <v>-</v>
      </c>
      <c r="G451" s="2" t="str">
        <f>IFERROR(INDEX(Movimientos!$L$2:$L$1993,MATCH(A451&amp;"ENTRADA",Movimientos!$R$2:$R$1993,0)),"-")</f>
        <v>-</v>
      </c>
      <c r="H451" s="17" t="str">
        <f>IFERROR(IF(INDEX(Movimientos!$M$2:$M$1993,MATCH(A451&amp;"ENTRADA",Movimientos!$R$2:$R$1993,0))=0,"S/D",INDEX(Movimientos!$M$2:$M$1993,MATCH(A451&amp;"ENTRADA",Movimientos!$R$2:$R$1993,0))),"S/D")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2758</v>
      </c>
      <c r="B452" s="2" t="str">
        <f>IFERROR(INDEX(Movimientos!$C$2:$C$1993,MATCH(A452&amp;"ENTRADA",Movimientos!$R$2:$R$1993,0)),"-")</f>
        <v>-</v>
      </c>
      <c r="C452" s="2" t="str">
        <f>IFERROR(INDEX(Movimientos!$D$2:$D$1993,MATCH(A452&amp;"ENTRADA",Movimientos!$R$2:$R$1993,0)),"-")</f>
        <v>-</v>
      </c>
      <c r="D452" s="2" t="str">
        <f>IFERROR(INDEX(Movimientos!$E$2:$E$1993,MATCH(A452&amp;"ENTRADA",Movimientos!$R$2:$R$1993,0)),"-")</f>
        <v>-</v>
      </c>
      <c r="E452" s="2" t="str">
        <f>IFERROR(INDEX(Movimientos!$F$2:$F$1993,MATCH(A452&amp;"ENTRADA",Movimientos!$R$2:$R$1993,0)),"-")</f>
        <v>-</v>
      </c>
      <c r="F452" s="2" t="str">
        <f>IFERROR(INDEX(Movimientos!$G$2:$G$1993,MATCH(A452&amp;"ENTRADA",Movimientos!$R$2:$R$1993,0)),"-")</f>
        <v>-</v>
      </c>
      <c r="G452" s="2" t="str">
        <f>IFERROR(INDEX(Movimientos!$L$2:$L$1993,MATCH(A452&amp;"ENTRADA",Movimientos!$R$2:$R$1993,0)),"-")</f>
        <v>-</v>
      </c>
      <c r="H452" s="17" t="str">
        <f>IFERROR(IF(INDEX(Movimientos!$M$2:$M$1993,MATCH(A452&amp;"ENTRADA",Movimientos!$R$2:$R$1993,0))=0,"S/D",INDEX(Movimientos!$M$2:$M$1993,MATCH(A452&amp;"ENTRADA",Movimientos!$R$2:$R$1993,0))),"S/D")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2759</v>
      </c>
      <c r="B453" s="2" t="str">
        <f>IFERROR(INDEX(Movimientos!$C$2:$C$1993,MATCH(A453&amp;"ENTRADA",Movimientos!$R$2:$R$1993,0)),"-")</f>
        <v>-</v>
      </c>
      <c r="C453" s="2" t="str">
        <f>IFERROR(INDEX(Movimientos!$D$2:$D$1993,MATCH(A453&amp;"ENTRADA",Movimientos!$R$2:$R$1993,0)),"-")</f>
        <v>-</v>
      </c>
      <c r="D453" s="2" t="str">
        <f>IFERROR(INDEX(Movimientos!$E$2:$E$1993,MATCH(A453&amp;"ENTRADA",Movimientos!$R$2:$R$1993,0)),"-")</f>
        <v>-</v>
      </c>
      <c r="E453" s="2" t="str">
        <f>IFERROR(INDEX(Movimientos!$F$2:$F$1993,MATCH(A453&amp;"ENTRADA",Movimientos!$R$2:$R$1993,0)),"-")</f>
        <v>-</v>
      </c>
      <c r="F453" s="2" t="str">
        <f>IFERROR(INDEX(Movimientos!$G$2:$G$1993,MATCH(A453&amp;"ENTRADA",Movimientos!$R$2:$R$1993,0)),"-")</f>
        <v>-</v>
      </c>
      <c r="G453" s="2" t="str">
        <f>IFERROR(INDEX(Movimientos!$L$2:$L$1993,MATCH(A453&amp;"ENTRADA",Movimientos!$R$2:$R$1993,0)),"-")</f>
        <v>-</v>
      </c>
      <c r="H453" s="17" t="str">
        <f>IFERROR(IF(INDEX(Movimientos!$M$2:$M$1993,MATCH(A453&amp;"ENTRADA",Movimientos!$R$2:$R$1993,0))=0,"S/D",INDEX(Movimientos!$M$2:$M$1993,MATCH(A453&amp;"ENTRADA",Movimientos!$R$2:$R$1993,0))),"S/D")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2760</v>
      </c>
      <c r="B454" s="2" t="str">
        <f>IFERROR(INDEX(Movimientos!$C$2:$C$1993,MATCH(A454&amp;"ENTRADA",Movimientos!$R$2:$R$1993,0)),"-")</f>
        <v>-</v>
      </c>
      <c r="C454" s="2" t="str">
        <f>IFERROR(INDEX(Movimientos!$D$2:$D$1993,MATCH(A454&amp;"ENTRADA",Movimientos!$R$2:$R$1993,0)),"-")</f>
        <v>-</v>
      </c>
      <c r="D454" s="2" t="str">
        <f>IFERROR(INDEX(Movimientos!$E$2:$E$1993,MATCH(A454&amp;"ENTRADA",Movimientos!$R$2:$R$1993,0)),"-")</f>
        <v>-</v>
      </c>
      <c r="E454" s="2" t="str">
        <f>IFERROR(INDEX(Movimientos!$F$2:$F$1993,MATCH(A454&amp;"ENTRADA",Movimientos!$R$2:$R$1993,0)),"-")</f>
        <v>-</v>
      </c>
      <c r="F454" s="2" t="str">
        <f>IFERROR(INDEX(Movimientos!$G$2:$G$1993,MATCH(A454&amp;"ENTRADA",Movimientos!$R$2:$R$1993,0)),"-")</f>
        <v>-</v>
      </c>
      <c r="G454" s="2" t="str">
        <f>IFERROR(INDEX(Movimientos!$L$2:$L$1993,MATCH(A454&amp;"ENTRADA",Movimientos!$R$2:$R$1993,0)),"-")</f>
        <v>-</v>
      </c>
      <c r="H454" s="17" t="str">
        <f>IFERROR(IF(INDEX(Movimientos!$M$2:$M$1993,MATCH(A454&amp;"ENTRADA",Movimientos!$R$2:$R$1993,0))=0,"S/D",INDEX(Movimientos!$M$2:$M$1993,MATCH(A454&amp;"ENTRADA",Movimientos!$R$2:$R$1993,0))),"S/D")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2761</v>
      </c>
      <c r="B455" s="2" t="str">
        <f>IFERROR(INDEX(Movimientos!$C$2:$C$1993,MATCH(A455&amp;"ENTRADA",Movimientos!$R$2:$R$1993,0)),"-")</f>
        <v>-</v>
      </c>
      <c r="C455" s="2" t="str">
        <f>IFERROR(INDEX(Movimientos!$D$2:$D$1993,MATCH(A455&amp;"ENTRADA",Movimientos!$R$2:$R$1993,0)),"-")</f>
        <v>-</v>
      </c>
      <c r="D455" s="2" t="str">
        <f>IFERROR(INDEX(Movimientos!$E$2:$E$1993,MATCH(A455&amp;"ENTRADA",Movimientos!$R$2:$R$1993,0)),"-")</f>
        <v>-</v>
      </c>
      <c r="E455" s="2" t="str">
        <f>IFERROR(INDEX(Movimientos!$F$2:$F$1993,MATCH(A455&amp;"ENTRADA",Movimientos!$R$2:$R$1993,0)),"-")</f>
        <v>-</v>
      </c>
      <c r="F455" s="2" t="str">
        <f>IFERROR(INDEX(Movimientos!$G$2:$G$1993,MATCH(A455&amp;"ENTRADA",Movimientos!$R$2:$R$1993,0)),"-")</f>
        <v>-</v>
      </c>
      <c r="G455" s="2" t="str">
        <f>IFERROR(INDEX(Movimientos!$L$2:$L$1993,MATCH(A455&amp;"ENTRADA",Movimientos!$R$2:$R$1993,0)),"-")</f>
        <v>-</v>
      </c>
      <c r="H455" s="17" t="str">
        <f>IFERROR(IF(INDEX(Movimientos!$M$2:$M$1993,MATCH(A455&amp;"ENTRADA",Movimientos!$R$2:$R$1993,0))=0,"S/D",INDEX(Movimientos!$M$2:$M$1993,MATCH(A455&amp;"ENTRADA",Movimientos!$R$2:$R$1993,0))),"S/D")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2762</v>
      </c>
      <c r="B456" s="2" t="str">
        <f>IFERROR(INDEX(Movimientos!$C$2:$C$1993,MATCH(A456&amp;"ENTRADA",Movimientos!$R$2:$R$1993,0)),"-")</f>
        <v>-</v>
      </c>
      <c r="C456" s="2" t="str">
        <f>IFERROR(INDEX(Movimientos!$D$2:$D$1993,MATCH(A456&amp;"ENTRADA",Movimientos!$R$2:$R$1993,0)),"-")</f>
        <v>-</v>
      </c>
      <c r="D456" s="2" t="str">
        <f>IFERROR(INDEX(Movimientos!$E$2:$E$1993,MATCH(A456&amp;"ENTRADA",Movimientos!$R$2:$R$1993,0)),"-")</f>
        <v>-</v>
      </c>
      <c r="E456" s="2" t="str">
        <f>IFERROR(INDEX(Movimientos!$F$2:$F$1993,MATCH(A456&amp;"ENTRADA",Movimientos!$R$2:$R$1993,0)),"-")</f>
        <v>-</v>
      </c>
      <c r="F456" s="2" t="str">
        <f>IFERROR(INDEX(Movimientos!$G$2:$G$1993,MATCH(A456&amp;"ENTRADA",Movimientos!$R$2:$R$1993,0)),"-")</f>
        <v>-</v>
      </c>
      <c r="G456" s="2" t="str">
        <f>IFERROR(INDEX(Movimientos!$L$2:$L$1993,MATCH(A456&amp;"ENTRADA",Movimientos!$R$2:$R$1993,0)),"-")</f>
        <v>-</v>
      </c>
      <c r="H456" s="17" t="str">
        <f>IFERROR(IF(INDEX(Movimientos!$M$2:$M$1993,MATCH(A456&amp;"ENTRADA",Movimientos!$R$2:$R$1993,0))=0,"S/D",INDEX(Movimientos!$M$2:$M$1993,MATCH(A456&amp;"ENTRADA",Movimientos!$R$2:$R$1993,0))),"S/D")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2763</v>
      </c>
      <c r="B457" s="2" t="str">
        <f>IFERROR(INDEX(Movimientos!$C$2:$C$1993,MATCH(A457&amp;"ENTRADA",Movimientos!$R$2:$R$1993,0)),"-")</f>
        <v>-</v>
      </c>
      <c r="C457" s="2" t="str">
        <f>IFERROR(INDEX(Movimientos!$D$2:$D$1993,MATCH(A457&amp;"ENTRADA",Movimientos!$R$2:$R$1993,0)),"-")</f>
        <v>-</v>
      </c>
      <c r="D457" s="2" t="str">
        <f>IFERROR(INDEX(Movimientos!$E$2:$E$1993,MATCH(A457&amp;"ENTRADA",Movimientos!$R$2:$R$1993,0)),"-")</f>
        <v>-</v>
      </c>
      <c r="E457" s="2" t="str">
        <f>IFERROR(INDEX(Movimientos!$F$2:$F$1993,MATCH(A457&amp;"ENTRADA",Movimientos!$R$2:$R$1993,0)),"-")</f>
        <v>-</v>
      </c>
      <c r="F457" s="2" t="str">
        <f>IFERROR(INDEX(Movimientos!$G$2:$G$1993,MATCH(A457&amp;"ENTRADA",Movimientos!$R$2:$R$1993,0)),"-")</f>
        <v>-</v>
      </c>
      <c r="G457" s="2" t="str">
        <f>IFERROR(INDEX(Movimientos!$L$2:$L$1993,MATCH(A457&amp;"ENTRADA",Movimientos!$R$2:$R$1993,0)),"-")</f>
        <v>-</v>
      </c>
      <c r="H457" s="17" t="str">
        <f>IFERROR(IF(INDEX(Movimientos!$M$2:$M$1993,MATCH(A457&amp;"ENTRADA",Movimientos!$R$2:$R$1993,0))=0,"S/D",INDEX(Movimientos!$M$2:$M$1993,MATCH(A457&amp;"ENTRADA",Movimientos!$R$2:$R$1993,0))),"S/D")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2764</v>
      </c>
      <c r="B458" s="2" t="str">
        <f>IFERROR(INDEX(Movimientos!$C$2:$C$1993,MATCH(A458&amp;"ENTRADA",Movimientos!$R$2:$R$1993,0)),"-")</f>
        <v>-</v>
      </c>
      <c r="C458" s="2" t="str">
        <f>IFERROR(INDEX(Movimientos!$D$2:$D$1993,MATCH(A458&amp;"ENTRADA",Movimientos!$R$2:$R$1993,0)),"-")</f>
        <v>-</v>
      </c>
      <c r="D458" s="2" t="str">
        <f>IFERROR(INDEX(Movimientos!$E$2:$E$1993,MATCH(A458&amp;"ENTRADA",Movimientos!$R$2:$R$1993,0)),"-")</f>
        <v>-</v>
      </c>
      <c r="E458" s="2" t="str">
        <f>IFERROR(INDEX(Movimientos!$F$2:$F$1993,MATCH(A458&amp;"ENTRADA",Movimientos!$R$2:$R$1993,0)),"-")</f>
        <v>-</v>
      </c>
      <c r="F458" s="2" t="str">
        <f>IFERROR(INDEX(Movimientos!$G$2:$G$1993,MATCH(A458&amp;"ENTRADA",Movimientos!$R$2:$R$1993,0)),"-")</f>
        <v>-</v>
      </c>
      <c r="G458" s="2" t="str">
        <f>IFERROR(INDEX(Movimientos!$L$2:$L$1993,MATCH(A458&amp;"ENTRADA",Movimientos!$R$2:$R$1993,0)),"-")</f>
        <v>-</v>
      </c>
      <c r="H458" s="17" t="str">
        <f>IFERROR(IF(INDEX(Movimientos!$M$2:$M$1993,MATCH(A458&amp;"ENTRADA",Movimientos!$R$2:$R$1993,0))=0,"S/D",INDEX(Movimientos!$M$2:$M$1993,MATCH(A458&amp;"ENTRADA",Movimientos!$R$2:$R$1993,0))),"S/D")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2765</v>
      </c>
      <c r="B459" s="2" t="str">
        <f>IFERROR(INDEX(Movimientos!$C$2:$C$1993,MATCH(A459&amp;"ENTRADA",Movimientos!$R$2:$R$1993,0)),"-")</f>
        <v>-</v>
      </c>
      <c r="C459" s="2" t="str">
        <f>IFERROR(INDEX(Movimientos!$D$2:$D$1993,MATCH(A459&amp;"ENTRADA",Movimientos!$R$2:$R$1993,0)),"-")</f>
        <v>-</v>
      </c>
      <c r="D459" s="2" t="str">
        <f>IFERROR(INDEX(Movimientos!$E$2:$E$1993,MATCH(A459&amp;"ENTRADA",Movimientos!$R$2:$R$1993,0)),"-")</f>
        <v>-</v>
      </c>
      <c r="E459" s="2" t="str">
        <f>IFERROR(INDEX(Movimientos!$F$2:$F$1993,MATCH(A459&amp;"ENTRADA",Movimientos!$R$2:$R$1993,0)),"-")</f>
        <v>-</v>
      </c>
      <c r="F459" s="2" t="str">
        <f>IFERROR(INDEX(Movimientos!$G$2:$G$1993,MATCH(A459&amp;"ENTRADA",Movimientos!$R$2:$R$1993,0)),"-")</f>
        <v>-</v>
      </c>
      <c r="G459" s="2" t="str">
        <f>IFERROR(INDEX(Movimientos!$L$2:$L$1993,MATCH(A459&amp;"ENTRADA",Movimientos!$R$2:$R$1993,0)),"-")</f>
        <v>-</v>
      </c>
      <c r="H459" s="17" t="str">
        <f>IFERROR(IF(INDEX(Movimientos!$M$2:$M$1993,MATCH(A459&amp;"ENTRADA",Movimientos!$R$2:$R$1993,0))=0,"S/D",INDEX(Movimientos!$M$2:$M$1993,MATCH(A459&amp;"ENTRADA",Movimientos!$R$2:$R$1993,0))),"S/D")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2766</v>
      </c>
      <c r="B460" s="2" t="str">
        <f>IFERROR(INDEX(Movimientos!$C$2:$C$1993,MATCH(A460&amp;"ENTRADA",Movimientos!$R$2:$R$1993,0)),"-")</f>
        <v>-</v>
      </c>
      <c r="C460" s="2" t="str">
        <f>IFERROR(INDEX(Movimientos!$D$2:$D$1993,MATCH(A460&amp;"ENTRADA",Movimientos!$R$2:$R$1993,0)),"-")</f>
        <v>-</v>
      </c>
      <c r="D460" s="2" t="str">
        <f>IFERROR(INDEX(Movimientos!$E$2:$E$1993,MATCH(A460&amp;"ENTRADA",Movimientos!$R$2:$R$1993,0)),"-")</f>
        <v>-</v>
      </c>
      <c r="E460" s="2" t="str">
        <f>IFERROR(INDEX(Movimientos!$F$2:$F$1993,MATCH(A460&amp;"ENTRADA",Movimientos!$R$2:$R$1993,0)),"-")</f>
        <v>-</v>
      </c>
      <c r="F460" s="2" t="str">
        <f>IFERROR(INDEX(Movimientos!$G$2:$G$1993,MATCH(A460&amp;"ENTRADA",Movimientos!$R$2:$R$1993,0)),"-")</f>
        <v>-</v>
      </c>
      <c r="G460" s="2" t="str">
        <f>IFERROR(INDEX(Movimientos!$L$2:$L$1993,MATCH(A460&amp;"ENTRADA",Movimientos!$R$2:$R$1993,0)),"-")</f>
        <v>-</v>
      </c>
      <c r="H460" s="17" t="str">
        <f>IFERROR(IF(INDEX(Movimientos!$M$2:$M$1993,MATCH(A460&amp;"ENTRADA",Movimientos!$R$2:$R$1993,0))=0,"S/D",INDEX(Movimientos!$M$2:$M$1993,MATCH(A460&amp;"ENTRADA",Movimientos!$R$2:$R$1993,0))),"S/D")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2767</v>
      </c>
      <c r="B461" s="2" t="str">
        <f>IFERROR(INDEX(Movimientos!$C$2:$C$1993,MATCH(A461&amp;"ENTRADA",Movimientos!$R$2:$R$1993,0)),"-")</f>
        <v>-</v>
      </c>
      <c r="C461" s="2" t="str">
        <f>IFERROR(INDEX(Movimientos!$D$2:$D$1993,MATCH(A461&amp;"ENTRADA",Movimientos!$R$2:$R$1993,0)),"-")</f>
        <v>-</v>
      </c>
      <c r="D461" s="2" t="str">
        <f>IFERROR(INDEX(Movimientos!$E$2:$E$1993,MATCH(A461&amp;"ENTRADA",Movimientos!$R$2:$R$1993,0)),"-")</f>
        <v>-</v>
      </c>
      <c r="E461" s="2" t="str">
        <f>IFERROR(INDEX(Movimientos!$F$2:$F$1993,MATCH(A461&amp;"ENTRADA",Movimientos!$R$2:$R$1993,0)),"-")</f>
        <v>-</v>
      </c>
      <c r="F461" s="2" t="str">
        <f>IFERROR(INDEX(Movimientos!$G$2:$G$1993,MATCH(A461&amp;"ENTRADA",Movimientos!$R$2:$R$1993,0)),"-")</f>
        <v>-</v>
      </c>
      <c r="G461" s="2" t="str">
        <f>IFERROR(INDEX(Movimientos!$L$2:$L$1993,MATCH(A461&amp;"ENTRADA",Movimientos!$R$2:$R$1993,0)),"-")</f>
        <v>-</v>
      </c>
      <c r="H461" s="17" t="str">
        <f>IFERROR(IF(INDEX(Movimientos!$M$2:$M$1993,MATCH(A461&amp;"ENTRADA",Movimientos!$R$2:$R$1993,0))=0,"S/D",INDEX(Movimientos!$M$2:$M$1993,MATCH(A461&amp;"ENTRADA",Movimientos!$R$2:$R$1993,0))),"S/D")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2768</v>
      </c>
      <c r="B462" s="2" t="str">
        <f>IFERROR(INDEX(Movimientos!$C$2:$C$1993,MATCH(A462&amp;"ENTRADA",Movimientos!$R$2:$R$1993,0)),"-")</f>
        <v>-</v>
      </c>
      <c r="C462" s="2" t="str">
        <f>IFERROR(INDEX(Movimientos!$D$2:$D$1993,MATCH(A462&amp;"ENTRADA",Movimientos!$R$2:$R$1993,0)),"-")</f>
        <v>-</v>
      </c>
      <c r="D462" s="2" t="str">
        <f>IFERROR(INDEX(Movimientos!$E$2:$E$1993,MATCH(A462&amp;"ENTRADA",Movimientos!$R$2:$R$1993,0)),"-")</f>
        <v>-</v>
      </c>
      <c r="E462" s="2" t="str">
        <f>IFERROR(INDEX(Movimientos!$F$2:$F$1993,MATCH(A462&amp;"ENTRADA",Movimientos!$R$2:$R$1993,0)),"-")</f>
        <v>-</v>
      </c>
      <c r="F462" s="2" t="str">
        <f>IFERROR(INDEX(Movimientos!$G$2:$G$1993,MATCH(A462&amp;"ENTRADA",Movimientos!$R$2:$R$1993,0)),"-")</f>
        <v>-</v>
      </c>
      <c r="G462" s="2" t="str">
        <f>IFERROR(INDEX(Movimientos!$L$2:$L$1993,MATCH(A462&amp;"ENTRADA",Movimientos!$R$2:$R$1993,0)),"-")</f>
        <v>-</v>
      </c>
      <c r="H462" s="17" t="str">
        <f>IFERROR(IF(INDEX(Movimientos!$M$2:$M$1993,MATCH(A462&amp;"ENTRADA",Movimientos!$R$2:$R$1993,0))=0,"S/D",INDEX(Movimientos!$M$2:$M$1993,MATCH(A462&amp;"ENTRADA",Movimientos!$R$2:$R$1993,0))),"S/D")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2769</v>
      </c>
      <c r="B463" s="2" t="str">
        <f>IFERROR(INDEX(Movimientos!$C$2:$C$1993,MATCH(A463&amp;"ENTRADA",Movimientos!$R$2:$R$1993,0)),"-")</f>
        <v>-</v>
      </c>
      <c r="C463" s="2" t="str">
        <f>IFERROR(INDEX(Movimientos!$D$2:$D$1993,MATCH(A463&amp;"ENTRADA",Movimientos!$R$2:$R$1993,0)),"-")</f>
        <v>-</v>
      </c>
      <c r="D463" s="2" t="str">
        <f>IFERROR(INDEX(Movimientos!$E$2:$E$1993,MATCH(A463&amp;"ENTRADA",Movimientos!$R$2:$R$1993,0)),"-")</f>
        <v>-</v>
      </c>
      <c r="E463" s="2" t="str">
        <f>IFERROR(INDEX(Movimientos!$F$2:$F$1993,MATCH(A463&amp;"ENTRADA",Movimientos!$R$2:$R$1993,0)),"-")</f>
        <v>-</v>
      </c>
      <c r="F463" s="2" t="str">
        <f>IFERROR(INDEX(Movimientos!$G$2:$G$1993,MATCH(A463&amp;"ENTRADA",Movimientos!$R$2:$R$1993,0)),"-")</f>
        <v>-</v>
      </c>
      <c r="G463" s="2" t="str">
        <f>IFERROR(INDEX(Movimientos!$L$2:$L$1993,MATCH(A463&amp;"ENTRADA",Movimientos!$R$2:$R$1993,0)),"-")</f>
        <v>-</v>
      </c>
      <c r="H463" s="17" t="str">
        <f>IFERROR(IF(INDEX(Movimientos!$M$2:$M$1993,MATCH(A463&amp;"ENTRADA",Movimientos!$R$2:$R$1993,0))=0,"S/D",INDEX(Movimientos!$M$2:$M$1993,MATCH(A463&amp;"ENTRADA",Movimientos!$R$2:$R$1993,0))),"S/D")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2770</v>
      </c>
      <c r="B464" s="2" t="str">
        <f>IFERROR(INDEX(Movimientos!$C$2:$C$1993,MATCH(A464&amp;"ENTRADA",Movimientos!$R$2:$R$1993,0)),"-")</f>
        <v>-</v>
      </c>
      <c r="C464" s="2" t="str">
        <f>IFERROR(INDEX(Movimientos!$D$2:$D$1993,MATCH(A464&amp;"ENTRADA",Movimientos!$R$2:$R$1993,0)),"-")</f>
        <v>-</v>
      </c>
      <c r="D464" s="2" t="str">
        <f>IFERROR(INDEX(Movimientos!$E$2:$E$1993,MATCH(A464&amp;"ENTRADA",Movimientos!$R$2:$R$1993,0)),"-")</f>
        <v>-</v>
      </c>
      <c r="E464" s="2" t="str">
        <f>IFERROR(INDEX(Movimientos!$F$2:$F$1993,MATCH(A464&amp;"ENTRADA",Movimientos!$R$2:$R$1993,0)),"-")</f>
        <v>-</v>
      </c>
      <c r="F464" s="2" t="str">
        <f>IFERROR(INDEX(Movimientos!$G$2:$G$1993,MATCH(A464&amp;"ENTRADA",Movimientos!$R$2:$R$1993,0)),"-")</f>
        <v>-</v>
      </c>
      <c r="G464" s="2" t="str">
        <f>IFERROR(INDEX(Movimientos!$L$2:$L$1993,MATCH(A464&amp;"ENTRADA",Movimientos!$R$2:$R$1993,0)),"-")</f>
        <v>-</v>
      </c>
      <c r="H464" s="17" t="str">
        <f>IFERROR(IF(INDEX(Movimientos!$M$2:$M$1993,MATCH(A464&amp;"ENTRADA",Movimientos!$R$2:$R$1993,0))=0,"S/D",INDEX(Movimientos!$M$2:$M$1993,MATCH(A464&amp;"ENTRADA",Movimientos!$R$2:$R$1993,0))),"S/D")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2771</v>
      </c>
      <c r="B465" s="2" t="str">
        <f>IFERROR(INDEX(Movimientos!$C$2:$C$1993,MATCH(A465&amp;"ENTRADA",Movimientos!$R$2:$R$1993,0)),"-")</f>
        <v>-</v>
      </c>
      <c r="C465" s="2" t="str">
        <f>IFERROR(INDEX(Movimientos!$D$2:$D$1993,MATCH(A465&amp;"ENTRADA",Movimientos!$R$2:$R$1993,0)),"-")</f>
        <v>-</v>
      </c>
      <c r="D465" s="2" t="str">
        <f>IFERROR(INDEX(Movimientos!$E$2:$E$1993,MATCH(A465&amp;"ENTRADA",Movimientos!$R$2:$R$1993,0)),"-")</f>
        <v>-</v>
      </c>
      <c r="E465" s="2" t="str">
        <f>IFERROR(INDEX(Movimientos!$F$2:$F$1993,MATCH(A465&amp;"ENTRADA",Movimientos!$R$2:$R$1993,0)),"-")</f>
        <v>-</v>
      </c>
      <c r="F465" s="2" t="str">
        <f>IFERROR(INDEX(Movimientos!$G$2:$G$1993,MATCH(A465&amp;"ENTRADA",Movimientos!$R$2:$R$1993,0)),"-")</f>
        <v>-</v>
      </c>
      <c r="G465" s="2" t="str">
        <f>IFERROR(INDEX(Movimientos!$L$2:$L$1993,MATCH(A465&amp;"ENTRADA",Movimientos!$R$2:$R$1993,0)),"-")</f>
        <v>-</v>
      </c>
      <c r="H465" s="17" t="str">
        <f>IFERROR(IF(INDEX(Movimientos!$M$2:$M$1993,MATCH(A465&amp;"ENTRADA",Movimientos!$R$2:$R$1993,0))=0,"S/D",INDEX(Movimientos!$M$2:$M$1993,MATCH(A465&amp;"ENTRADA",Movimientos!$R$2:$R$1993,0))),"S/D")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2772</v>
      </c>
      <c r="B466" s="2" t="str">
        <f>IFERROR(INDEX(Movimientos!$C$2:$C$1993,MATCH(A466&amp;"ENTRADA",Movimientos!$R$2:$R$1993,0)),"-")</f>
        <v>-</v>
      </c>
      <c r="C466" s="2" t="str">
        <f>IFERROR(INDEX(Movimientos!$D$2:$D$1993,MATCH(A466&amp;"ENTRADA",Movimientos!$R$2:$R$1993,0)),"-")</f>
        <v>-</v>
      </c>
      <c r="D466" s="2" t="str">
        <f>IFERROR(INDEX(Movimientos!$E$2:$E$1993,MATCH(A466&amp;"ENTRADA",Movimientos!$R$2:$R$1993,0)),"-")</f>
        <v>-</v>
      </c>
      <c r="E466" s="2" t="str">
        <f>IFERROR(INDEX(Movimientos!$F$2:$F$1993,MATCH(A466&amp;"ENTRADA",Movimientos!$R$2:$R$1993,0)),"-")</f>
        <v>-</v>
      </c>
      <c r="F466" s="2" t="str">
        <f>IFERROR(INDEX(Movimientos!$G$2:$G$1993,MATCH(A466&amp;"ENTRADA",Movimientos!$R$2:$R$1993,0)),"-")</f>
        <v>-</v>
      </c>
      <c r="G466" s="2" t="str">
        <f>IFERROR(INDEX(Movimientos!$L$2:$L$1993,MATCH(A466&amp;"ENTRADA",Movimientos!$R$2:$R$1993,0)),"-")</f>
        <v>-</v>
      </c>
      <c r="H466" s="17" t="str">
        <f>IFERROR(IF(INDEX(Movimientos!$M$2:$M$1993,MATCH(A466&amp;"ENTRADA",Movimientos!$R$2:$R$1993,0))=0,"S/D",INDEX(Movimientos!$M$2:$M$1993,MATCH(A466&amp;"ENTRADA",Movimientos!$R$2:$R$1993,0))),"S/D")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2773</v>
      </c>
      <c r="B467" s="2" t="str">
        <f>IFERROR(INDEX(Movimientos!$C$2:$C$1993,MATCH(A467&amp;"ENTRADA",Movimientos!$R$2:$R$1993,0)),"-")</f>
        <v>-</v>
      </c>
      <c r="C467" s="2" t="str">
        <f>IFERROR(INDEX(Movimientos!$D$2:$D$1993,MATCH(A467&amp;"ENTRADA",Movimientos!$R$2:$R$1993,0)),"-")</f>
        <v>-</v>
      </c>
      <c r="D467" s="2" t="str">
        <f>IFERROR(INDEX(Movimientos!$E$2:$E$1993,MATCH(A467&amp;"ENTRADA",Movimientos!$R$2:$R$1993,0)),"-")</f>
        <v>-</v>
      </c>
      <c r="E467" s="2" t="str">
        <f>IFERROR(INDEX(Movimientos!$F$2:$F$1993,MATCH(A467&amp;"ENTRADA",Movimientos!$R$2:$R$1993,0)),"-")</f>
        <v>-</v>
      </c>
      <c r="F467" s="2" t="str">
        <f>IFERROR(INDEX(Movimientos!$G$2:$G$1993,MATCH(A467&amp;"ENTRADA",Movimientos!$R$2:$R$1993,0)),"-")</f>
        <v>-</v>
      </c>
      <c r="G467" s="2" t="str">
        <f>IFERROR(INDEX(Movimientos!$L$2:$L$1993,MATCH(A467&amp;"ENTRADA",Movimientos!$R$2:$R$1993,0)),"-")</f>
        <v>-</v>
      </c>
      <c r="H467" s="17" t="str">
        <f>IFERROR(IF(INDEX(Movimientos!$M$2:$M$1993,MATCH(A467&amp;"ENTRADA",Movimientos!$R$2:$R$1993,0))=0,"S/D",INDEX(Movimientos!$M$2:$M$1993,MATCH(A467&amp;"ENTRADA",Movimientos!$R$2:$R$1993,0))),"S/D")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2774</v>
      </c>
      <c r="B468" s="2" t="str">
        <f>IFERROR(INDEX(Movimientos!$C$2:$C$1993,MATCH(A468&amp;"ENTRADA",Movimientos!$R$2:$R$1993,0)),"-")</f>
        <v>-</v>
      </c>
      <c r="C468" s="2" t="str">
        <f>IFERROR(INDEX(Movimientos!$D$2:$D$1993,MATCH(A468&amp;"ENTRADA",Movimientos!$R$2:$R$1993,0)),"-")</f>
        <v>-</v>
      </c>
      <c r="D468" s="2" t="str">
        <f>IFERROR(INDEX(Movimientos!$E$2:$E$1993,MATCH(A468&amp;"ENTRADA",Movimientos!$R$2:$R$1993,0)),"-")</f>
        <v>-</v>
      </c>
      <c r="E468" s="2" t="str">
        <f>IFERROR(INDEX(Movimientos!$F$2:$F$1993,MATCH(A468&amp;"ENTRADA",Movimientos!$R$2:$R$1993,0)),"-")</f>
        <v>-</v>
      </c>
      <c r="F468" s="2" t="str">
        <f>IFERROR(INDEX(Movimientos!$G$2:$G$1993,MATCH(A468&amp;"ENTRADA",Movimientos!$R$2:$R$1993,0)),"-")</f>
        <v>-</v>
      </c>
      <c r="G468" s="2" t="str">
        <f>IFERROR(INDEX(Movimientos!$L$2:$L$1993,MATCH(A468&amp;"ENTRADA",Movimientos!$R$2:$R$1993,0)),"-")</f>
        <v>-</v>
      </c>
      <c r="H468" s="17" t="str">
        <f>IFERROR(IF(INDEX(Movimientos!$M$2:$M$1993,MATCH(A468&amp;"ENTRADA",Movimientos!$R$2:$R$1993,0))=0,"S/D",INDEX(Movimientos!$M$2:$M$1993,MATCH(A468&amp;"ENTRADA",Movimientos!$R$2:$R$1993,0))),"S/D")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2775</v>
      </c>
      <c r="B469" s="2" t="str">
        <f>IFERROR(INDEX(Movimientos!$C$2:$C$1993,MATCH(A469&amp;"ENTRADA",Movimientos!$R$2:$R$1993,0)),"-")</f>
        <v>-</v>
      </c>
      <c r="C469" s="2" t="str">
        <f>IFERROR(INDEX(Movimientos!$D$2:$D$1993,MATCH(A469&amp;"ENTRADA",Movimientos!$R$2:$R$1993,0)),"-")</f>
        <v>-</v>
      </c>
      <c r="D469" s="2" t="str">
        <f>IFERROR(INDEX(Movimientos!$E$2:$E$1993,MATCH(A469&amp;"ENTRADA",Movimientos!$R$2:$R$1993,0)),"-")</f>
        <v>-</v>
      </c>
      <c r="E469" s="2" t="str">
        <f>IFERROR(INDEX(Movimientos!$F$2:$F$1993,MATCH(A469&amp;"ENTRADA",Movimientos!$R$2:$R$1993,0)),"-")</f>
        <v>-</v>
      </c>
      <c r="F469" s="2" t="str">
        <f>IFERROR(INDEX(Movimientos!$G$2:$G$1993,MATCH(A469&amp;"ENTRADA",Movimientos!$R$2:$R$1993,0)),"-")</f>
        <v>-</v>
      </c>
      <c r="G469" s="2" t="str">
        <f>IFERROR(INDEX(Movimientos!$L$2:$L$1993,MATCH(A469&amp;"ENTRADA",Movimientos!$R$2:$R$1993,0)),"-")</f>
        <v>-</v>
      </c>
      <c r="H469" s="17" t="str">
        <f>IFERROR(IF(INDEX(Movimientos!$M$2:$M$1993,MATCH(A469&amp;"ENTRADA",Movimientos!$R$2:$R$1993,0))=0,"S/D",INDEX(Movimientos!$M$2:$M$1993,MATCH(A469&amp;"ENTRADA",Movimientos!$R$2:$R$1993,0))),"S/D")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2776</v>
      </c>
      <c r="B470" s="2" t="str">
        <f>IFERROR(INDEX(Movimientos!$C$2:$C$1993,MATCH(A470&amp;"ENTRADA",Movimientos!$R$2:$R$1993,0)),"-")</f>
        <v>-</v>
      </c>
      <c r="C470" s="2" t="str">
        <f>IFERROR(INDEX(Movimientos!$D$2:$D$1993,MATCH(A470&amp;"ENTRADA",Movimientos!$R$2:$R$1993,0)),"-")</f>
        <v>-</v>
      </c>
      <c r="D470" s="2" t="str">
        <f>IFERROR(INDEX(Movimientos!$E$2:$E$1993,MATCH(A470&amp;"ENTRADA",Movimientos!$R$2:$R$1993,0)),"-")</f>
        <v>-</v>
      </c>
      <c r="E470" s="2" t="str">
        <f>IFERROR(INDEX(Movimientos!$F$2:$F$1993,MATCH(A470&amp;"ENTRADA",Movimientos!$R$2:$R$1993,0)),"-")</f>
        <v>-</v>
      </c>
      <c r="F470" s="2" t="str">
        <f>IFERROR(INDEX(Movimientos!$G$2:$G$1993,MATCH(A470&amp;"ENTRADA",Movimientos!$R$2:$R$1993,0)),"-")</f>
        <v>-</v>
      </c>
      <c r="G470" s="2" t="str">
        <f>IFERROR(INDEX(Movimientos!$L$2:$L$1993,MATCH(A470&amp;"ENTRADA",Movimientos!$R$2:$R$1993,0)),"-")</f>
        <v>-</v>
      </c>
      <c r="H470" s="17" t="str">
        <f>IFERROR(IF(INDEX(Movimientos!$M$2:$M$1993,MATCH(A470&amp;"ENTRADA",Movimientos!$R$2:$R$1993,0))=0,"S/D",INDEX(Movimientos!$M$2:$M$1993,MATCH(A470&amp;"ENTRADA",Movimientos!$R$2:$R$1993,0))),"S/D")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2777</v>
      </c>
      <c r="B471" s="2" t="str">
        <f>IFERROR(INDEX(Movimientos!$C$2:$C$1993,MATCH(A471&amp;"ENTRADA",Movimientos!$R$2:$R$1993,0)),"-")</f>
        <v>-</v>
      </c>
      <c r="C471" s="2" t="str">
        <f>IFERROR(INDEX(Movimientos!$D$2:$D$1993,MATCH(A471&amp;"ENTRADA",Movimientos!$R$2:$R$1993,0)),"-")</f>
        <v>-</v>
      </c>
      <c r="D471" s="2" t="str">
        <f>IFERROR(INDEX(Movimientos!$E$2:$E$1993,MATCH(A471&amp;"ENTRADA",Movimientos!$R$2:$R$1993,0)),"-")</f>
        <v>-</v>
      </c>
      <c r="E471" s="2" t="str">
        <f>IFERROR(INDEX(Movimientos!$F$2:$F$1993,MATCH(A471&amp;"ENTRADA",Movimientos!$R$2:$R$1993,0)),"-")</f>
        <v>-</v>
      </c>
      <c r="F471" s="2" t="str">
        <f>IFERROR(INDEX(Movimientos!$G$2:$G$1993,MATCH(A471&amp;"ENTRADA",Movimientos!$R$2:$R$1993,0)),"-")</f>
        <v>-</v>
      </c>
      <c r="G471" s="2" t="str">
        <f>IFERROR(INDEX(Movimientos!$L$2:$L$1993,MATCH(A471&amp;"ENTRADA",Movimientos!$R$2:$R$1993,0)),"-")</f>
        <v>-</v>
      </c>
      <c r="H471" s="17" t="str">
        <f>IFERROR(IF(INDEX(Movimientos!$M$2:$M$1993,MATCH(A471&amp;"ENTRADA",Movimientos!$R$2:$R$1993,0))=0,"S/D",INDEX(Movimientos!$M$2:$M$1993,MATCH(A471&amp;"ENTRADA",Movimientos!$R$2:$R$1993,0))),"S/D")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2778</v>
      </c>
      <c r="B472" s="2" t="str">
        <f>IFERROR(INDEX(Movimientos!$C$2:$C$1993,MATCH(A472&amp;"ENTRADA",Movimientos!$R$2:$R$1993,0)),"-")</f>
        <v>-</v>
      </c>
      <c r="C472" s="2" t="str">
        <f>IFERROR(INDEX(Movimientos!$D$2:$D$1993,MATCH(A472&amp;"ENTRADA",Movimientos!$R$2:$R$1993,0)),"-")</f>
        <v>-</v>
      </c>
      <c r="D472" s="2" t="str">
        <f>IFERROR(INDEX(Movimientos!$E$2:$E$1993,MATCH(A472&amp;"ENTRADA",Movimientos!$R$2:$R$1993,0)),"-")</f>
        <v>-</v>
      </c>
      <c r="E472" s="2" t="str">
        <f>IFERROR(INDEX(Movimientos!$F$2:$F$1993,MATCH(A472&amp;"ENTRADA",Movimientos!$R$2:$R$1993,0)),"-")</f>
        <v>-</v>
      </c>
      <c r="F472" s="2" t="str">
        <f>IFERROR(INDEX(Movimientos!$G$2:$G$1993,MATCH(A472&amp;"ENTRADA",Movimientos!$R$2:$R$1993,0)),"-")</f>
        <v>-</v>
      </c>
      <c r="G472" s="2" t="str">
        <f>IFERROR(INDEX(Movimientos!$L$2:$L$1993,MATCH(A472&amp;"ENTRADA",Movimientos!$R$2:$R$1993,0)),"-")</f>
        <v>-</v>
      </c>
      <c r="H472" s="17" t="str">
        <f>IFERROR(IF(INDEX(Movimientos!$M$2:$M$1993,MATCH(A472&amp;"ENTRADA",Movimientos!$R$2:$R$1993,0))=0,"S/D",INDEX(Movimientos!$M$2:$M$1993,MATCH(A472&amp;"ENTRADA",Movimientos!$R$2:$R$1993,0))),"S/D")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2779</v>
      </c>
      <c r="B473" s="2" t="str">
        <f>IFERROR(INDEX(Movimientos!$C$2:$C$1993,MATCH(A473&amp;"ENTRADA",Movimientos!$R$2:$R$1993,0)),"-")</f>
        <v>-</v>
      </c>
      <c r="C473" s="2" t="str">
        <f>IFERROR(INDEX(Movimientos!$D$2:$D$1993,MATCH(A473&amp;"ENTRADA",Movimientos!$R$2:$R$1993,0)),"-")</f>
        <v>-</v>
      </c>
      <c r="D473" s="2" t="str">
        <f>IFERROR(INDEX(Movimientos!$E$2:$E$1993,MATCH(A473&amp;"ENTRADA",Movimientos!$R$2:$R$1993,0)),"-")</f>
        <v>-</v>
      </c>
      <c r="E473" s="2" t="str">
        <f>IFERROR(INDEX(Movimientos!$F$2:$F$1993,MATCH(A473&amp;"ENTRADA",Movimientos!$R$2:$R$1993,0)),"-")</f>
        <v>-</v>
      </c>
      <c r="F473" s="2" t="str">
        <f>IFERROR(INDEX(Movimientos!$G$2:$G$1993,MATCH(A473&amp;"ENTRADA",Movimientos!$R$2:$R$1993,0)),"-")</f>
        <v>-</v>
      </c>
      <c r="G473" s="2" t="str">
        <f>IFERROR(INDEX(Movimientos!$L$2:$L$1993,MATCH(A473&amp;"ENTRADA",Movimientos!$R$2:$R$1993,0)),"-")</f>
        <v>-</v>
      </c>
      <c r="H473" s="17" t="str">
        <f>IFERROR(IF(INDEX(Movimientos!$M$2:$M$1993,MATCH(A473&amp;"ENTRADA",Movimientos!$R$2:$R$1993,0))=0,"S/D",INDEX(Movimientos!$M$2:$M$1993,MATCH(A473&amp;"ENTRADA",Movimientos!$R$2:$R$1993,0))),"S/D")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2780</v>
      </c>
      <c r="B474" s="2" t="str">
        <f>IFERROR(INDEX(Movimientos!$C$2:$C$1993,MATCH(A474&amp;"ENTRADA",Movimientos!$R$2:$R$1993,0)),"-")</f>
        <v>-</v>
      </c>
      <c r="C474" s="2" t="str">
        <f>IFERROR(INDEX(Movimientos!$D$2:$D$1993,MATCH(A474&amp;"ENTRADA",Movimientos!$R$2:$R$1993,0)),"-")</f>
        <v>-</v>
      </c>
      <c r="D474" s="2" t="str">
        <f>IFERROR(INDEX(Movimientos!$E$2:$E$1993,MATCH(A474&amp;"ENTRADA",Movimientos!$R$2:$R$1993,0)),"-")</f>
        <v>-</v>
      </c>
      <c r="E474" s="2" t="str">
        <f>IFERROR(INDEX(Movimientos!$F$2:$F$1993,MATCH(A474&amp;"ENTRADA",Movimientos!$R$2:$R$1993,0)),"-")</f>
        <v>-</v>
      </c>
      <c r="F474" s="2" t="str">
        <f>IFERROR(INDEX(Movimientos!$G$2:$G$1993,MATCH(A474&amp;"ENTRADA",Movimientos!$R$2:$R$1993,0)),"-")</f>
        <v>-</v>
      </c>
      <c r="G474" s="2" t="str">
        <f>IFERROR(INDEX(Movimientos!$L$2:$L$1993,MATCH(A474&amp;"ENTRADA",Movimientos!$R$2:$R$1993,0)),"-")</f>
        <v>-</v>
      </c>
      <c r="H474" s="17" t="str">
        <f>IFERROR(IF(INDEX(Movimientos!$M$2:$M$1993,MATCH(A474&amp;"ENTRADA",Movimientos!$R$2:$R$1993,0))=0,"S/D",INDEX(Movimientos!$M$2:$M$1993,MATCH(A474&amp;"ENTRADA",Movimientos!$R$2:$R$1993,0))),"S/D")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2781</v>
      </c>
      <c r="B475" s="2" t="str">
        <f>IFERROR(INDEX(Movimientos!$C$2:$C$1993,MATCH(A475&amp;"ENTRADA",Movimientos!$R$2:$R$1993,0)),"-")</f>
        <v>-</v>
      </c>
      <c r="C475" s="2" t="str">
        <f>IFERROR(INDEX(Movimientos!$D$2:$D$1993,MATCH(A475&amp;"ENTRADA",Movimientos!$R$2:$R$1993,0)),"-")</f>
        <v>-</v>
      </c>
      <c r="D475" s="2" t="str">
        <f>IFERROR(INDEX(Movimientos!$E$2:$E$1993,MATCH(A475&amp;"ENTRADA",Movimientos!$R$2:$R$1993,0)),"-")</f>
        <v>-</v>
      </c>
      <c r="E475" s="2" t="str">
        <f>IFERROR(INDEX(Movimientos!$F$2:$F$1993,MATCH(A475&amp;"ENTRADA",Movimientos!$R$2:$R$1993,0)),"-")</f>
        <v>-</v>
      </c>
      <c r="F475" s="2" t="str">
        <f>IFERROR(INDEX(Movimientos!$G$2:$G$1993,MATCH(A475&amp;"ENTRADA",Movimientos!$R$2:$R$1993,0)),"-")</f>
        <v>-</v>
      </c>
      <c r="G475" s="2" t="str">
        <f>IFERROR(INDEX(Movimientos!$L$2:$L$1993,MATCH(A475&amp;"ENTRADA",Movimientos!$R$2:$R$1993,0)),"-")</f>
        <v>-</v>
      </c>
      <c r="H475" s="17" t="str">
        <f>IFERROR(IF(INDEX(Movimientos!$M$2:$M$1993,MATCH(A475&amp;"ENTRADA",Movimientos!$R$2:$R$1993,0))=0,"S/D",INDEX(Movimientos!$M$2:$M$1993,MATCH(A475&amp;"ENTRADA",Movimientos!$R$2:$R$1993,0))),"S/D")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2782</v>
      </c>
      <c r="B476" s="2" t="str">
        <f>IFERROR(INDEX(Movimientos!$C$2:$C$1993,MATCH(A476&amp;"ENTRADA",Movimientos!$R$2:$R$1993,0)),"-")</f>
        <v>-</v>
      </c>
      <c r="C476" s="2" t="str">
        <f>IFERROR(INDEX(Movimientos!$D$2:$D$1993,MATCH(A476&amp;"ENTRADA",Movimientos!$R$2:$R$1993,0)),"-")</f>
        <v>-</v>
      </c>
      <c r="D476" s="2" t="str">
        <f>IFERROR(INDEX(Movimientos!$E$2:$E$1993,MATCH(A476&amp;"ENTRADA",Movimientos!$R$2:$R$1993,0)),"-")</f>
        <v>-</v>
      </c>
      <c r="E476" s="2" t="str">
        <f>IFERROR(INDEX(Movimientos!$F$2:$F$1993,MATCH(A476&amp;"ENTRADA",Movimientos!$R$2:$R$1993,0)),"-")</f>
        <v>-</v>
      </c>
      <c r="F476" s="2" t="str">
        <f>IFERROR(INDEX(Movimientos!$G$2:$G$1993,MATCH(A476&amp;"ENTRADA",Movimientos!$R$2:$R$1993,0)),"-")</f>
        <v>-</v>
      </c>
      <c r="G476" s="2" t="str">
        <f>IFERROR(INDEX(Movimientos!$L$2:$L$1993,MATCH(A476&amp;"ENTRADA",Movimientos!$R$2:$R$1993,0)),"-")</f>
        <v>-</v>
      </c>
      <c r="H476" s="17" t="str">
        <f>IFERROR(IF(INDEX(Movimientos!$M$2:$M$1993,MATCH(A476&amp;"ENTRADA",Movimientos!$R$2:$R$1993,0))=0,"S/D",INDEX(Movimientos!$M$2:$M$1993,MATCH(A476&amp;"ENTRADA",Movimientos!$R$2:$R$1993,0))),"S/D")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2783</v>
      </c>
      <c r="B477" s="2" t="str">
        <f>IFERROR(INDEX(Movimientos!$C$2:$C$1993,MATCH(A477&amp;"ENTRADA",Movimientos!$R$2:$R$1993,0)),"-")</f>
        <v>-</v>
      </c>
      <c r="C477" s="2" t="str">
        <f>IFERROR(INDEX(Movimientos!$D$2:$D$1993,MATCH(A477&amp;"ENTRADA",Movimientos!$R$2:$R$1993,0)),"-")</f>
        <v>-</v>
      </c>
      <c r="D477" s="2" t="str">
        <f>IFERROR(INDEX(Movimientos!$E$2:$E$1993,MATCH(A477&amp;"ENTRADA",Movimientos!$R$2:$R$1993,0)),"-")</f>
        <v>-</v>
      </c>
      <c r="E477" s="2" t="str">
        <f>IFERROR(INDEX(Movimientos!$F$2:$F$1993,MATCH(A477&amp;"ENTRADA",Movimientos!$R$2:$R$1993,0)),"-")</f>
        <v>-</v>
      </c>
      <c r="F477" s="2" t="str">
        <f>IFERROR(INDEX(Movimientos!$G$2:$G$1993,MATCH(A477&amp;"ENTRADA",Movimientos!$R$2:$R$1993,0)),"-")</f>
        <v>-</v>
      </c>
      <c r="G477" s="2" t="str">
        <f>IFERROR(INDEX(Movimientos!$L$2:$L$1993,MATCH(A477&amp;"ENTRADA",Movimientos!$R$2:$R$1993,0)),"-")</f>
        <v>-</v>
      </c>
      <c r="H477" s="17" t="str">
        <f>IFERROR(IF(INDEX(Movimientos!$M$2:$M$1993,MATCH(A477&amp;"ENTRADA",Movimientos!$R$2:$R$1993,0))=0,"S/D",INDEX(Movimientos!$M$2:$M$1993,MATCH(A477&amp;"ENTRADA",Movimientos!$R$2:$R$1993,0))),"S/D")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2784</v>
      </c>
      <c r="B478" s="2" t="str">
        <f>IFERROR(INDEX(Movimientos!$C$2:$C$1993,MATCH(A478&amp;"ENTRADA",Movimientos!$R$2:$R$1993,0)),"-")</f>
        <v>-</v>
      </c>
      <c r="C478" s="2" t="str">
        <f>IFERROR(INDEX(Movimientos!$D$2:$D$1993,MATCH(A478&amp;"ENTRADA",Movimientos!$R$2:$R$1993,0)),"-")</f>
        <v>-</v>
      </c>
      <c r="D478" s="2" t="str">
        <f>IFERROR(INDEX(Movimientos!$E$2:$E$1993,MATCH(A478&amp;"ENTRADA",Movimientos!$R$2:$R$1993,0)),"-")</f>
        <v>-</v>
      </c>
      <c r="E478" s="2" t="str">
        <f>IFERROR(INDEX(Movimientos!$F$2:$F$1993,MATCH(A478&amp;"ENTRADA",Movimientos!$R$2:$R$1993,0)),"-")</f>
        <v>-</v>
      </c>
      <c r="F478" s="2" t="str">
        <f>IFERROR(INDEX(Movimientos!$G$2:$G$1993,MATCH(A478&amp;"ENTRADA",Movimientos!$R$2:$R$1993,0)),"-")</f>
        <v>-</v>
      </c>
      <c r="G478" s="2" t="str">
        <f>IFERROR(INDEX(Movimientos!$L$2:$L$1993,MATCH(A478&amp;"ENTRADA",Movimientos!$R$2:$R$1993,0)),"-")</f>
        <v>-</v>
      </c>
      <c r="H478" s="17" t="str">
        <f>IFERROR(IF(INDEX(Movimientos!$M$2:$M$1993,MATCH(A478&amp;"ENTRADA",Movimientos!$R$2:$R$1993,0))=0,"S/D",INDEX(Movimientos!$M$2:$M$1993,MATCH(A478&amp;"ENTRADA",Movimientos!$R$2:$R$1993,0))),"S/D")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2785</v>
      </c>
      <c r="B479" s="2" t="str">
        <f>IFERROR(INDEX(Movimientos!$C$2:$C$1993,MATCH(A479&amp;"ENTRADA",Movimientos!$R$2:$R$1993,0)),"-")</f>
        <v>-</v>
      </c>
      <c r="C479" s="2" t="str">
        <f>IFERROR(INDEX(Movimientos!$D$2:$D$1993,MATCH(A479&amp;"ENTRADA",Movimientos!$R$2:$R$1993,0)),"-")</f>
        <v>-</v>
      </c>
      <c r="D479" s="2" t="str">
        <f>IFERROR(INDEX(Movimientos!$E$2:$E$1993,MATCH(A479&amp;"ENTRADA",Movimientos!$R$2:$R$1993,0)),"-")</f>
        <v>-</v>
      </c>
      <c r="E479" s="2" t="str">
        <f>IFERROR(INDEX(Movimientos!$F$2:$F$1993,MATCH(A479&amp;"ENTRADA",Movimientos!$R$2:$R$1993,0)),"-")</f>
        <v>-</v>
      </c>
      <c r="F479" s="2" t="str">
        <f>IFERROR(INDEX(Movimientos!$G$2:$G$1993,MATCH(A479&amp;"ENTRADA",Movimientos!$R$2:$R$1993,0)),"-")</f>
        <v>-</v>
      </c>
      <c r="G479" s="2" t="str">
        <f>IFERROR(INDEX(Movimientos!$L$2:$L$1993,MATCH(A479&amp;"ENTRADA",Movimientos!$R$2:$R$1993,0)),"-")</f>
        <v>-</v>
      </c>
      <c r="H479" s="17" t="str">
        <f>IFERROR(IF(INDEX(Movimientos!$M$2:$M$1993,MATCH(A479&amp;"ENTRADA",Movimientos!$R$2:$R$1993,0))=0,"S/D",INDEX(Movimientos!$M$2:$M$1993,MATCH(A479&amp;"ENTRADA",Movimientos!$R$2:$R$1993,0))),"S/D")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2786</v>
      </c>
      <c r="B480" s="2" t="str">
        <f>IFERROR(INDEX(Movimientos!$C$2:$C$1993,MATCH(A480&amp;"ENTRADA",Movimientos!$R$2:$R$1993,0)),"-")</f>
        <v>-</v>
      </c>
      <c r="C480" s="2" t="str">
        <f>IFERROR(INDEX(Movimientos!$D$2:$D$1993,MATCH(A480&amp;"ENTRADA",Movimientos!$R$2:$R$1993,0)),"-")</f>
        <v>-</v>
      </c>
      <c r="D480" s="2" t="str">
        <f>IFERROR(INDEX(Movimientos!$E$2:$E$1993,MATCH(A480&amp;"ENTRADA",Movimientos!$R$2:$R$1993,0)),"-")</f>
        <v>-</v>
      </c>
      <c r="E480" s="2" t="str">
        <f>IFERROR(INDEX(Movimientos!$F$2:$F$1993,MATCH(A480&amp;"ENTRADA",Movimientos!$R$2:$R$1993,0)),"-")</f>
        <v>-</v>
      </c>
      <c r="F480" s="2" t="str">
        <f>IFERROR(INDEX(Movimientos!$G$2:$G$1993,MATCH(A480&amp;"ENTRADA",Movimientos!$R$2:$R$1993,0)),"-")</f>
        <v>-</v>
      </c>
      <c r="G480" s="2" t="str">
        <f>IFERROR(INDEX(Movimientos!$L$2:$L$1993,MATCH(A480&amp;"ENTRADA",Movimientos!$R$2:$R$1993,0)),"-")</f>
        <v>-</v>
      </c>
      <c r="H480" s="17" t="str">
        <f>IFERROR(IF(INDEX(Movimientos!$M$2:$M$1993,MATCH(A480&amp;"ENTRADA",Movimientos!$R$2:$R$1993,0))=0,"S/D",INDEX(Movimientos!$M$2:$M$1993,MATCH(A480&amp;"ENTRADA",Movimientos!$R$2:$R$1993,0))),"S/D")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2787</v>
      </c>
      <c r="B481" s="2" t="str">
        <f>IFERROR(INDEX(Movimientos!$C$2:$C$1993,MATCH(A481&amp;"ENTRADA",Movimientos!$R$2:$R$1993,0)),"-")</f>
        <v>-</v>
      </c>
      <c r="C481" s="2" t="str">
        <f>IFERROR(INDEX(Movimientos!$D$2:$D$1993,MATCH(A481&amp;"ENTRADA",Movimientos!$R$2:$R$1993,0)),"-")</f>
        <v>-</v>
      </c>
      <c r="D481" s="2" t="str">
        <f>IFERROR(INDEX(Movimientos!$E$2:$E$1993,MATCH(A481&amp;"ENTRADA",Movimientos!$R$2:$R$1993,0)),"-")</f>
        <v>-</v>
      </c>
      <c r="E481" s="2" t="str">
        <f>IFERROR(INDEX(Movimientos!$F$2:$F$1993,MATCH(A481&amp;"ENTRADA",Movimientos!$R$2:$R$1993,0)),"-")</f>
        <v>-</v>
      </c>
      <c r="F481" s="2" t="str">
        <f>IFERROR(INDEX(Movimientos!$G$2:$G$1993,MATCH(A481&amp;"ENTRADA",Movimientos!$R$2:$R$1993,0)),"-")</f>
        <v>-</v>
      </c>
      <c r="G481" s="2" t="str">
        <f>IFERROR(INDEX(Movimientos!$L$2:$L$1993,MATCH(A481&amp;"ENTRADA",Movimientos!$R$2:$R$1993,0)),"-")</f>
        <v>-</v>
      </c>
      <c r="H481" s="17" t="str">
        <f>IFERROR(IF(INDEX(Movimientos!$M$2:$M$1993,MATCH(A481&amp;"ENTRADA",Movimientos!$R$2:$R$1993,0))=0,"S/D",INDEX(Movimientos!$M$2:$M$1993,MATCH(A481&amp;"ENTRADA",Movimientos!$R$2:$R$1993,0))),"S/D")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2788</v>
      </c>
      <c r="B482" s="2" t="str">
        <f>IFERROR(INDEX(Movimientos!$C$2:$C$1993,MATCH(A482&amp;"ENTRADA",Movimientos!$R$2:$R$1993,0)),"-")</f>
        <v>-</v>
      </c>
      <c r="C482" s="2" t="str">
        <f>IFERROR(INDEX(Movimientos!$D$2:$D$1993,MATCH(A482&amp;"ENTRADA",Movimientos!$R$2:$R$1993,0)),"-")</f>
        <v>-</v>
      </c>
      <c r="D482" s="2" t="str">
        <f>IFERROR(INDEX(Movimientos!$E$2:$E$1993,MATCH(A482&amp;"ENTRADA",Movimientos!$R$2:$R$1993,0)),"-")</f>
        <v>-</v>
      </c>
      <c r="E482" s="2" t="str">
        <f>IFERROR(INDEX(Movimientos!$F$2:$F$1993,MATCH(A482&amp;"ENTRADA",Movimientos!$R$2:$R$1993,0)),"-")</f>
        <v>-</v>
      </c>
      <c r="F482" s="2" t="str">
        <f>IFERROR(INDEX(Movimientos!$G$2:$G$1993,MATCH(A482&amp;"ENTRADA",Movimientos!$R$2:$R$1993,0)),"-")</f>
        <v>-</v>
      </c>
      <c r="G482" s="2" t="str">
        <f>IFERROR(INDEX(Movimientos!$L$2:$L$1993,MATCH(A482&amp;"ENTRADA",Movimientos!$R$2:$R$1993,0)),"-")</f>
        <v>-</v>
      </c>
      <c r="H482" s="17" t="str">
        <f>IFERROR(IF(INDEX(Movimientos!$M$2:$M$1993,MATCH(A482&amp;"ENTRADA",Movimientos!$R$2:$R$1993,0))=0,"S/D",INDEX(Movimientos!$M$2:$M$1993,MATCH(A482&amp;"ENTRADA",Movimientos!$R$2:$R$1993,0))),"S/D")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2789</v>
      </c>
      <c r="B483" s="2" t="str">
        <f>IFERROR(INDEX(Movimientos!$C$2:$C$1993,MATCH(A483&amp;"ENTRADA",Movimientos!$R$2:$R$1993,0)),"-")</f>
        <v>-</v>
      </c>
      <c r="C483" s="2" t="str">
        <f>IFERROR(INDEX(Movimientos!$D$2:$D$1993,MATCH(A483&amp;"ENTRADA",Movimientos!$R$2:$R$1993,0)),"-")</f>
        <v>-</v>
      </c>
      <c r="D483" s="2" t="str">
        <f>IFERROR(INDEX(Movimientos!$E$2:$E$1993,MATCH(A483&amp;"ENTRADA",Movimientos!$R$2:$R$1993,0)),"-")</f>
        <v>-</v>
      </c>
      <c r="E483" s="2" t="str">
        <f>IFERROR(INDEX(Movimientos!$F$2:$F$1993,MATCH(A483&amp;"ENTRADA",Movimientos!$R$2:$R$1993,0)),"-")</f>
        <v>-</v>
      </c>
      <c r="F483" s="2" t="str">
        <f>IFERROR(INDEX(Movimientos!$G$2:$G$1993,MATCH(A483&amp;"ENTRADA",Movimientos!$R$2:$R$1993,0)),"-")</f>
        <v>-</v>
      </c>
      <c r="G483" s="2" t="str">
        <f>IFERROR(INDEX(Movimientos!$L$2:$L$1993,MATCH(A483&amp;"ENTRADA",Movimientos!$R$2:$R$1993,0)),"-")</f>
        <v>-</v>
      </c>
      <c r="H483" s="17" t="str">
        <f>IFERROR(IF(INDEX(Movimientos!$M$2:$M$1993,MATCH(A483&amp;"ENTRADA",Movimientos!$R$2:$R$1993,0))=0,"S/D",INDEX(Movimientos!$M$2:$M$1993,MATCH(A483&amp;"ENTRADA",Movimientos!$R$2:$R$1993,0))),"S/D")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2790</v>
      </c>
      <c r="B484" s="2" t="str">
        <f>IFERROR(INDEX(Movimientos!$C$2:$C$1993,MATCH(A484&amp;"ENTRADA",Movimientos!$R$2:$R$1993,0)),"-")</f>
        <v>-</v>
      </c>
      <c r="C484" s="2" t="str">
        <f>IFERROR(INDEX(Movimientos!$D$2:$D$1993,MATCH(A484&amp;"ENTRADA",Movimientos!$R$2:$R$1993,0)),"-")</f>
        <v>-</v>
      </c>
      <c r="D484" s="2" t="str">
        <f>IFERROR(INDEX(Movimientos!$E$2:$E$1993,MATCH(A484&amp;"ENTRADA",Movimientos!$R$2:$R$1993,0)),"-")</f>
        <v>-</v>
      </c>
      <c r="E484" s="2" t="str">
        <f>IFERROR(INDEX(Movimientos!$F$2:$F$1993,MATCH(A484&amp;"ENTRADA",Movimientos!$R$2:$R$1993,0)),"-")</f>
        <v>-</v>
      </c>
      <c r="F484" s="2" t="str">
        <f>IFERROR(INDEX(Movimientos!$G$2:$G$1993,MATCH(A484&amp;"ENTRADA",Movimientos!$R$2:$R$1993,0)),"-")</f>
        <v>-</v>
      </c>
      <c r="G484" s="2" t="str">
        <f>IFERROR(INDEX(Movimientos!$L$2:$L$1993,MATCH(A484&amp;"ENTRADA",Movimientos!$R$2:$R$1993,0)),"-")</f>
        <v>-</v>
      </c>
      <c r="H484" s="17" t="str">
        <f>IFERROR(IF(INDEX(Movimientos!$M$2:$M$1993,MATCH(A484&amp;"ENTRADA",Movimientos!$R$2:$R$1993,0))=0,"S/D",INDEX(Movimientos!$M$2:$M$1993,MATCH(A484&amp;"ENTRADA",Movimientos!$R$2:$R$1993,0))),"S/D")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2791</v>
      </c>
      <c r="B485" s="2" t="str">
        <f>IFERROR(INDEX(Movimientos!$C$2:$C$1993,MATCH(A485&amp;"ENTRADA",Movimientos!$R$2:$R$1993,0)),"-")</f>
        <v>-</v>
      </c>
      <c r="C485" s="2" t="str">
        <f>IFERROR(INDEX(Movimientos!$D$2:$D$1993,MATCH(A485&amp;"ENTRADA",Movimientos!$R$2:$R$1993,0)),"-")</f>
        <v>-</v>
      </c>
      <c r="D485" s="2" t="str">
        <f>IFERROR(INDEX(Movimientos!$E$2:$E$1993,MATCH(A485&amp;"ENTRADA",Movimientos!$R$2:$R$1993,0)),"-")</f>
        <v>-</v>
      </c>
      <c r="E485" s="2" t="str">
        <f>IFERROR(INDEX(Movimientos!$F$2:$F$1993,MATCH(A485&amp;"ENTRADA",Movimientos!$R$2:$R$1993,0)),"-")</f>
        <v>-</v>
      </c>
      <c r="F485" s="2" t="str">
        <f>IFERROR(INDEX(Movimientos!$G$2:$G$1993,MATCH(A485&amp;"ENTRADA",Movimientos!$R$2:$R$1993,0)),"-")</f>
        <v>-</v>
      </c>
      <c r="G485" s="2" t="str">
        <f>IFERROR(INDEX(Movimientos!$L$2:$L$1993,MATCH(A485&amp;"ENTRADA",Movimientos!$R$2:$R$1993,0)),"-")</f>
        <v>-</v>
      </c>
      <c r="H485" s="17" t="str">
        <f>IFERROR(IF(INDEX(Movimientos!$M$2:$M$1993,MATCH(A485&amp;"ENTRADA",Movimientos!$R$2:$R$1993,0))=0,"S/D",INDEX(Movimientos!$M$2:$M$1993,MATCH(A485&amp;"ENTRADA",Movimientos!$R$2:$R$1993,0))),"S/D")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2792</v>
      </c>
      <c r="B486" s="2" t="str">
        <f>IFERROR(INDEX(Movimientos!$C$2:$C$1993,MATCH(A486&amp;"ENTRADA",Movimientos!$R$2:$R$1993,0)),"-")</f>
        <v>-</v>
      </c>
      <c r="C486" s="2" t="str">
        <f>IFERROR(INDEX(Movimientos!$D$2:$D$1993,MATCH(A486&amp;"ENTRADA",Movimientos!$R$2:$R$1993,0)),"-")</f>
        <v>-</v>
      </c>
      <c r="D486" s="2" t="str">
        <f>IFERROR(INDEX(Movimientos!$E$2:$E$1993,MATCH(A486&amp;"ENTRADA",Movimientos!$R$2:$R$1993,0)),"-")</f>
        <v>-</v>
      </c>
      <c r="E486" s="2" t="str">
        <f>IFERROR(INDEX(Movimientos!$F$2:$F$1993,MATCH(A486&amp;"ENTRADA",Movimientos!$R$2:$R$1993,0)),"-")</f>
        <v>-</v>
      </c>
      <c r="F486" s="2" t="str">
        <f>IFERROR(INDEX(Movimientos!$G$2:$G$1993,MATCH(A486&amp;"ENTRADA",Movimientos!$R$2:$R$1993,0)),"-")</f>
        <v>-</v>
      </c>
      <c r="G486" s="2" t="str">
        <f>IFERROR(INDEX(Movimientos!$L$2:$L$1993,MATCH(A486&amp;"ENTRADA",Movimientos!$R$2:$R$1993,0)),"-")</f>
        <v>-</v>
      </c>
      <c r="H486" s="17" t="str">
        <f>IFERROR(IF(INDEX(Movimientos!$M$2:$M$1993,MATCH(A486&amp;"ENTRADA",Movimientos!$R$2:$R$1993,0))=0,"S/D",INDEX(Movimientos!$M$2:$M$1993,MATCH(A486&amp;"ENTRADA",Movimientos!$R$2:$R$1993,0))),"S/D")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2793</v>
      </c>
      <c r="B487" s="2" t="str">
        <f>IFERROR(INDEX(Movimientos!$C$2:$C$1993,MATCH(A487&amp;"ENTRADA",Movimientos!$R$2:$R$1993,0)),"-")</f>
        <v>-</v>
      </c>
      <c r="C487" s="2" t="str">
        <f>IFERROR(INDEX(Movimientos!$D$2:$D$1993,MATCH(A487&amp;"ENTRADA",Movimientos!$R$2:$R$1993,0)),"-")</f>
        <v>-</v>
      </c>
      <c r="D487" s="2" t="str">
        <f>IFERROR(INDEX(Movimientos!$E$2:$E$1993,MATCH(A487&amp;"ENTRADA",Movimientos!$R$2:$R$1993,0)),"-")</f>
        <v>-</v>
      </c>
      <c r="E487" s="2" t="str">
        <f>IFERROR(INDEX(Movimientos!$F$2:$F$1993,MATCH(A487&amp;"ENTRADA",Movimientos!$R$2:$R$1993,0)),"-")</f>
        <v>-</v>
      </c>
      <c r="F487" s="2" t="str">
        <f>IFERROR(INDEX(Movimientos!$G$2:$G$1993,MATCH(A487&amp;"ENTRADA",Movimientos!$R$2:$R$1993,0)),"-")</f>
        <v>-</v>
      </c>
      <c r="G487" s="2" t="str">
        <f>IFERROR(INDEX(Movimientos!$L$2:$L$1993,MATCH(A487&amp;"ENTRADA",Movimientos!$R$2:$R$1993,0)),"-")</f>
        <v>-</v>
      </c>
      <c r="H487" s="17" t="str">
        <f>IFERROR(IF(INDEX(Movimientos!$M$2:$M$1993,MATCH(A487&amp;"ENTRADA",Movimientos!$R$2:$R$1993,0))=0,"S/D",INDEX(Movimientos!$M$2:$M$1993,MATCH(A487&amp;"ENTRADA",Movimientos!$R$2:$R$1993,0))),"S/D")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2794</v>
      </c>
      <c r="B488" s="2" t="str">
        <f>IFERROR(INDEX(Movimientos!$C$2:$C$1993,MATCH(A488&amp;"ENTRADA",Movimientos!$R$2:$R$1993,0)),"-")</f>
        <v>-</v>
      </c>
      <c r="C488" s="2" t="str">
        <f>IFERROR(INDEX(Movimientos!$D$2:$D$1993,MATCH(A488&amp;"ENTRADA",Movimientos!$R$2:$R$1993,0)),"-")</f>
        <v>-</v>
      </c>
      <c r="D488" s="2" t="str">
        <f>IFERROR(INDEX(Movimientos!$E$2:$E$1993,MATCH(A488&amp;"ENTRADA",Movimientos!$R$2:$R$1993,0)),"-")</f>
        <v>-</v>
      </c>
      <c r="E488" s="2" t="str">
        <f>IFERROR(INDEX(Movimientos!$F$2:$F$1993,MATCH(A488&amp;"ENTRADA",Movimientos!$R$2:$R$1993,0)),"-")</f>
        <v>-</v>
      </c>
      <c r="F488" s="2" t="str">
        <f>IFERROR(INDEX(Movimientos!$G$2:$G$1993,MATCH(A488&amp;"ENTRADA",Movimientos!$R$2:$R$1993,0)),"-")</f>
        <v>-</v>
      </c>
      <c r="G488" s="2" t="str">
        <f>IFERROR(INDEX(Movimientos!$L$2:$L$1993,MATCH(A488&amp;"ENTRADA",Movimientos!$R$2:$R$1993,0)),"-")</f>
        <v>-</v>
      </c>
      <c r="H488" s="17" t="str">
        <f>IFERROR(IF(INDEX(Movimientos!$M$2:$M$1993,MATCH(A488&amp;"ENTRADA",Movimientos!$R$2:$R$1993,0))=0,"S/D",INDEX(Movimientos!$M$2:$M$1993,MATCH(A488&amp;"ENTRADA",Movimientos!$R$2:$R$1993,0))),"S/D")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2795</v>
      </c>
      <c r="B489" s="2" t="str">
        <f>IFERROR(INDEX(Movimientos!$C$2:$C$1993,MATCH(A489&amp;"ENTRADA",Movimientos!$R$2:$R$1993,0)),"-")</f>
        <v>-</v>
      </c>
      <c r="C489" s="2" t="str">
        <f>IFERROR(INDEX(Movimientos!$D$2:$D$1993,MATCH(A489&amp;"ENTRADA",Movimientos!$R$2:$R$1993,0)),"-")</f>
        <v>-</v>
      </c>
      <c r="D489" s="2" t="str">
        <f>IFERROR(INDEX(Movimientos!$E$2:$E$1993,MATCH(A489&amp;"ENTRADA",Movimientos!$R$2:$R$1993,0)),"-")</f>
        <v>-</v>
      </c>
      <c r="E489" s="2" t="str">
        <f>IFERROR(INDEX(Movimientos!$F$2:$F$1993,MATCH(A489&amp;"ENTRADA",Movimientos!$R$2:$R$1993,0)),"-")</f>
        <v>-</v>
      </c>
      <c r="F489" s="2" t="str">
        <f>IFERROR(INDEX(Movimientos!$G$2:$G$1993,MATCH(A489&amp;"ENTRADA",Movimientos!$R$2:$R$1993,0)),"-")</f>
        <v>-</v>
      </c>
      <c r="G489" s="2" t="str">
        <f>IFERROR(INDEX(Movimientos!$L$2:$L$1993,MATCH(A489&amp;"ENTRADA",Movimientos!$R$2:$R$1993,0)),"-")</f>
        <v>-</v>
      </c>
      <c r="H489" s="17" t="str">
        <f>IFERROR(IF(INDEX(Movimientos!$M$2:$M$1993,MATCH(A489&amp;"ENTRADA",Movimientos!$R$2:$R$1993,0))=0,"S/D",INDEX(Movimientos!$M$2:$M$1993,MATCH(A489&amp;"ENTRADA",Movimientos!$R$2:$R$1993,0))),"S/D")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2796</v>
      </c>
      <c r="B490" s="2" t="str">
        <f>IFERROR(INDEX(Movimientos!$C$2:$C$1993,MATCH(A490&amp;"ENTRADA",Movimientos!$R$2:$R$1993,0)),"-")</f>
        <v>-</v>
      </c>
      <c r="C490" s="2" t="str">
        <f>IFERROR(INDEX(Movimientos!$D$2:$D$1993,MATCH(A490&amp;"ENTRADA",Movimientos!$R$2:$R$1993,0)),"-")</f>
        <v>-</v>
      </c>
      <c r="D490" s="2" t="str">
        <f>IFERROR(INDEX(Movimientos!$E$2:$E$1993,MATCH(A490&amp;"ENTRADA",Movimientos!$R$2:$R$1993,0)),"-")</f>
        <v>-</v>
      </c>
      <c r="E490" s="2" t="str">
        <f>IFERROR(INDEX(Movimientos!$F$2:$F$1993,MATCH(A490&amp;"ENTRADA",Movimientos!$R$2:$R$1993,0)),"-")</f>
        <v>-</v>
      </c>
      <c r="F490" s="2" t="str">
        <f>IFERROR(INDEX(Movimientos!$G$2:$G$1993,MATCH(A490&amp;"ENTRADA",Movimientos!$R$2:$R$1993,0)),"-")</f>
        <v>-</v>
      </c>
      <c r="G490" s="2" t="str">
        <f>IFERROR(INDEX(Movimientos!$L$2:$L$1993,MATCH(A490&amp;"ENTRADA",Movimientos!$R$2:$R$1993,0)),"-")</f>
        <v>-</v>
      </c>
      <c r="H490" s="17" t="str">
        <f>IFERROR(IF(INDEX(Movimientos!$M$2:$M$1993,MATCH(A490&amp;"ENTRADA",Movimientos!$R$2:$R$1993,0))=0,"S/D",INDEX(Movimientos!$M$2:$M$1993,MATCH(A490&amp;"ENTRADA",Movimientos!$R$2:$R$1993,0))),"S/D")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2797</v>
      </c>
      <c r="B491" s="2" t="str">
        <f>IFERROR(INDEX(Movimientos!$C$2:$C$1993,MATCH(A491&amp;"ENTRADA",Movimientos!$R$2:$R$1993,0)),"-")</f>
        <v>-</v>
      </c>
      <c r="C491" s="2" t="str">
        <f>IFERROR(INDEX(Movimientos!$D$2:$D$1993,MATCH(A491&amp;"ENTRADA",Movimientos!$R$2:$R$1993,0)),"-")</f>
        <v>-</v>
      </c>
      <c r="D491" s="2" t="str">
        <f>IFERROR(INDEX(Movimientos!$E$2:$E$1993,MATCH(A491&amp;"ENTRADA",Movimientos!$R$2:$R$1993,0)),"-")</f>
        <v>-</v>
      </c>
      <c r="E491" s="2" t="str">
        <f>IFERROR(INDEX(Movimientos!$F$2:$F$1993,MATCH(A491&amp;"ENTRADA",Movimientos!$R$2:$R$1993,0)),"-")</f>
        <v>-</v>
      </c>
      <c r="F491" s="2" t="str">
        <f>IFERROR(INDEX(Movimientos!$G$2:$G$1993,MATCH(A491&amp;"ENTRADA",Movimientos!$R$2:$R$1993,0)),"-")</f>
        <v>-</v>
      </c>
      <c r="G491" s="2" t="str">
        <f>IFERROR(INDEX(Movimientos!$L$2:$L$1993,MATCH(A491&amp;"ENTRADA",Movimientos!$R$2:$R$1993,0)),"-")</f>
        <v>-</v>
      </c>
      <c r="H491" s="17" t="str">
        <f>IFERROR(IF(INDEX(Movimientos!$M$2:$M$1993,MATCH(A491&amp;"ENTRADA",Movimientos!$R$2:$R$1993,0))=0,"S/D",INDEX(Movimientos!$M$2:$M$1993,MATCH(A491&amp;"ENTRADA",Movimientos!$R$2:$R$1993,0))),"S/D")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2798</v>
      </c>
      <c r="B492" s="2" t="str">
        <f>IFERROR(INDEX(Movimientos!$C$2:$C$1993,MATCH(A492&amp;"ENTRADA",Movimientos!$R$2:$R$1993,0)),"-")</f>
        <v>-</v>
      </c>
      <c r="C492" s="2" t="str">
        <f>IFERROR(INDEX(Movimientos!$D$2:$D$1993,MATCH(A492&amp;"ENTRADA",Movimientos!$R$2:$R$1993,0)),"-")</f>
        <v>-</v>
      </c>
      <c r="D492" s="2" t="str">
        <f>IFERROR(INDEX(Movimientos!$E$2:$E$1993,MATCH(A492&amp;"ENTRADA",Movimientos!$R$2:$R$1993,0)),"-")</f>
        <v>-</v>
      </c>
      <c r="E492" s="2" t="str">
        <f>IFERROR(INDEX(Movimientos!$F$2:$F$1993,MATCH(A492&amp;"ENTRADA",Movimientos!$R$2:$R$1993,0)),"-")</f>
        <v>-</v>
      </c>
      <c r="F492" s="2" t="str">
        <f>IFERROR(INDEX(Movimientos!$G$2:$G$1993,MATCH(A492&amp;"ENTRADA",Movimientos!$R$2:$R$1993,0)),"-")</f>
        <v>-</v>
      </c>
      <c r="G492" s="2" t="str">
        <f>IFERROR(INDEX(Movimientos!$L$2:$L$1993,MATCH(A492&amp;"ENTRADA",Movimientos!$R$2:$R$1993,0)),"-")</f>
        <v>-</v>
      </c>
      <c r="H492" s="17" t="str">
        <f>IFERROR(IF(INDEX(Movimientos!$M$2:$M$1993,MATCH(A492&amp;"ENTRADA",Movimientos!$R$2:$R$1993,0))=0,"S/D",INDEX(Movimientos!$M$2:$M$1993,MATCH(A492&amp;"ENTRADA",Movimientos!$R$2:$R$1993,0))),"S/D")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2799</v>
      </c>
      <c r="B493" s="2" t="str">
        <f>IFERROR(INDEX(Movimientos!$C$2:$C$1993,MATCH(A493&amp;"ENTRADA",Movimientos!$R$2:$R$1993,0)),"-")</f>
        <v>-</v>
      </c>
      <c r="C493" s="2" t="str">
        <f>IFERROR(INDEX(Movimientos!$D$2:$D$1993,MATCH(A493&amp;"ENTRADA",Movimientos!$R$2:$R$1993,0)),"-")</f>
        <v>-</v>
      </c>
      <c r="D493" s="2" t="str">
        <f>IFERROR(INDEX(Movimientos!$E$2:$E$1993,MATCH(A493&amp;"ENTRADA",Movimientos!$R$2:$R$1993,0)),"-")</f>
        <v>-</v>
      </c>
      <c r="E493" s="2" t="str">
        <f>IFERROR(INDEX(Movimientos!$F$2:$F$1993,MATCH(A493&amp;"ENTRADA",Movimientos!$R$2:$R$1993,0)),"-")</f>
        <v>-</v>
      </c>
      <c r="F493" s="2" t="str">
        <f>IFERROR(INDEX(Movimientos!$G$2:$G$1993,MATCH(A493&amp;"ENTRADA",Movimientos!$R$2:$R$1993,0)),"-")</f>
        <v>-</v>
      </c>
      <c r="G493" s="2" t="str">
        <f>IFERROR(INDEX(Movimientos!$L$2:$L$1993,MATCH(A493&amp;"ENTRADA",Movimientos!$R$2:$R$1993,0)),"-")</f>
        <v>-</v>
      </c>
      <c r="H493" s="17" t="str">
        <f>IFERROR(IF(INDEX(Movimientos!$M$2:$M$1993,MATCH(A493&amp;"ENTRADA",Movimientos!$R$2:$R$1993,0))=0,"S/D",INDEX(Movimientos!$M$2:$M$1993,MATCH(A493&amp;"ENTRADA",Movimientos!$R$2:$R$1993,0))),"S/D")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2800</v>
      </c>
      <c r="B494" s="2" t="str">
        <f>IFERROR(INDEX(Movimientos!$C$2:$C$1993,MATCH(A494&amp;"ENTRADA",Movimientos!$R$2:$R$1993,0)),"-")</f>
        <v>-</v>
      </c>
      <c r="C494" s="2" t="str">
        <f>IFERROR(INDEX(Movimientos!$D$2:$D$1993,MATCH(A494&amp;"ENTRADA",Movimientos!$R$2:$R$1993,0)),"-")</f>
        <v>-</v>
      </c>
      <c r="D494" s="2" t="str">
        <f>IFERROR(INDEX(Movimientos!$E$2:$E$1993,MATCH(A494&amp;"ENTRADA",Movimientos!$R$2:$R$1993,0)),"-")</f>
        <v>-</v>
      </c>
      <c r="E494" s="2" t="str">
        <f>IFERROR(INDEX(Movimientos!$F$2:$F$1993,MATCH(A494&amp;"ENTRADA",Movimientos!$R$2:$R$1993,0)),"-")</f>
        <v>-</v>
      </c>
      <c r="F494" s="2" t="str">
        <f>IFERROR(INDEX(Movimientos!$G$2:$G$1993,MATCH(A494&amp;"ENTRADA",Movimientos!$R$2:$R$1993,0)),"-")</f>
        <v>-</v>
      </c>
      <c r="G494" s="2" t="str">
        <f>IFERROR(INDEX(Movimientos!$L$2:$L$1993,MATCH(A494&amp;"ENTRADA",Movimientos!$R$2:$R$1993,0)),"-")</f>
        <v>-</v>
      </c>
      <c r="H494" s="17" t="str">
        <f>IFERROR(IF(INDEX(Movimientos!$M$2:$M$1993,MATCH(A494&amp;"ENTRADA",Movimientos!$R$2:$R$1993,0))=0,"S/D",INDEX(Movimientos!$M$2:$M$1993,MATCH(A494&amp;"ENTRADA",Movimientos!$R$2:$R$1993,0))),"S/D")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2801</v>
      </c>
      <c r="B495" s="2" t="str">
        <f>IFERROR(INDEX(Movimientos!$C$2:$C$1993,MATCH(A495&amp;"ENTRADA",Movimientos!$R$2:$R$1993,0)),"-")</f>
        <v>-</v>
      </c>
      <c r="C495" s="2" t="str">
        <f>IFERROR(INDEX(Movimientos!$D$2:$D$1993,MATCH(A495&amp;"ENTRADA",Movimientos!$R$2:$R$1993,0)),"-")</f>
        <v>-</v>
      </c>
      <c r="D495" s="2" t="str">
        <f>IFERROR(INDEX(Movimientos!$E$2:$E$1993,MATCH(A495&amp;"ENTRADA",Movimientos!$R$2:$R$1993,0)),"-")</f>
        <v>-</v>
      </c>
      <c r="E495" s="2" t="str">
        <f>IFERROR(INDEX(Movimientos!$F$2:$F$1993,MATCH(A495&amp;"ENTRADA",Movimientos!$R$2:$R$1993,0)),"-")</f>
        <v>-</v>
      </c>
      <c r="F495" s="2" t="str">
        <f>IFERROR(INDEX(Movimientos!$G$2:$G$1993,MATCH(A495&amp;"ENTRADA",Movimientos!$R$2:$R$1993,0)),"-")</f>
        <v>-</v>
      </c>
      <c r="G495" s="2" t="str">
        <f>IFERROR(INDEX(Movimientos!$L$2:$L$1993,MATCH(A495&amp;"ENTRADA",Movimientos!$R$2:$R$1993,0)),"-")</f>
        <v>-</v>
      </c>
      <c r="H495" s="17" t="str">
        <f>IFERROR(IF(INDEX(Movimientos!$M$2:$M$1993,MATCH(A495&amp;"ENTRADA",Movimientos!$R$2:$R$1993,0))=0,"S/D",INDEX(Movimientos!$M$2:$M$1993,MATCH(A495&amp;"ENTRADA",Movimientos!$R$2:$R$1993,0))),"S/D")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2802</v>
      </c>
      <c r="B496" s="2" t="str">
        <f>IFERROR(INDEX(Movimientos!$C$2:$C$1993,MATCH(A496&amp;"ENTRADA",Movimientos!$R$2:$R$1993,0)),"-")</f>
        <v>-</v>
      </c>
      <c r="C496" s="2" t="str">
        <f>IFERROR(INDEX(Movimientos!$D$2:$D$1993,MATCH(A496&amp;"ENTRADA",Movimientos!$R$2:$R$1993,0)),"-")</f>
        <v>-</v>
      </c>
      <c r="D496" s="2" t="str">
        <f>IFERROR(INDEX(Movimientos!$E$2:$E$1993,MATCH(A496&amp;"ENTRADA",Movimientos!$R$2:$R$1993,0)),"-")</f>
        <v>-</v>
      </c>
      <c r="E496" s="2" t="str">
        <f>IFERROR(INDEX(Movimientos!$F$2:$F$1993,MATCH(A496&amp;"ENTRADA",Movimientos!$R$2:$R$1993,0)),"-")</f>
        <v>-</v>
      </c>
      <c r="F496" s="2" t="str">
        <f>IFERROR(INDEX(Movimientos!$G$2:$G$1993,MATCH(A496&amp;"ENTRADA",Movimientos!$R$2:$R$1993,0)),"-")</f>
        <v>-</v>
      </c>
      <c r="G496" s="2" t="str">
        <f>IFERROR(INDEX(Movimientos!$L$2:$L$1993,MATCH(A496&amp;"ENTRADA",Movimientos!$R$2:$R$1993,0)),"-")</f>
        <v>-</v>
      </c>
      <c r="H496" s="17" t="str">
        <f>IFERROR(IF(INDEX(Movimientos!$M$2:$M$1993,MATCH(A496&amp;"ENTRADA",Movimientos!$R$2:$R$1993,0))=0,"S/D",INDEX(Movimientos!$M$2:$M$1993,MATCH(A496&amp;"ENTRADA",Movimientos!$R$2:$R$1993,0))),"S/D")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2803</v>
      </c>
      <c r="B497" s="2" t="str">
        <f>IFERROR(INDEX(Movimientos!$C$2:$C$1993,MATCH(A497&amp;"ENTRADA",Movimientos!$R$2:$R$1993,0)),"-")</f>
        <v>-</v>
      </c>
      <c r="C497" s="2" t="str">
        <f>IFERROR(INDEX(Movimientos!$D$2:$D$1993,MATCH(A497&amp;"ENTRADA",Movimientos!$R$2:$R$1993,0)),"-")</f>
        <v>-</v>
      </c>
      <c r="D497" s="2" t="str">
        <f>IFERROR(INDEX(Movimientos!$E$2:$E$1993,MATCH(A497&amp;"ENTRADA",Movimientos!$R$2:$R$1993,0)),"-")</f>
        <v>-</v>
      </c>
      <c r="E497" s="2" t="str">
        <f>IFERROR(INDEX(Movimientos!$F$2:$F$1993,MATCH(A497&amp;"ENTRADA",Movimientos!$R$2:$R$1993,0)),"-")</f>
        <v>-</v>
      </c>
      <c r="F497" s="2" t="str">
        <f>IFERROR(INDEX(Movimientos!$G$2:$G$1993,MATCH(A497&amp;"ENTRADA",Movimientos!$R$2:$R$1993,0)),"-")</f>
        <v>-</v>
      </c>
      <c r="G497" s="2" t="str">
        <f>IFERROR(INDEX(Movimientos!$L$2:$L$1993,MATCH(A497&amp;"ENTRADA",Movimientos!$R$2:$R$1993,0)),"-")</f>
        <v>-</v>
      </c>
      <c r="H497" s="17" t="str">
        <f>IFERROR(IF(INDEX(Movimientos!$M$2:$M$1993,MATCH(A497&amp;"ENTRADA",Movimientos!$R$2:$R$1993,0))=0,"S/D",INDEX(Movimientos!$M$2:$M$1993,MATCH(A497&amp;"ENTRADA",Movimientos!$R$2:$R$1993,0))),"S/D")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2804</v>
      </c>
      <c r="B498" s="2" t="str">
        <f>IFERROR(INDEX(Movimientos!$C$2:$C$1993,MATCH(A498&amp;"ENTRADA",Movimientos!$R$2:$R$1993,0)),"-")</f>
        <v>-</v>
      </c>
      <c r="C498" s="2" t="str">
        <f>IFERROR(INDEX(Movimientos!$D$2:$D$1993,MATCH(A498&amp;"ENTRADA",Movimientos!$R$2:$R$1993,0)),"-")</f>
        <v>-</v>
      </c>
      <c r="D498" s="2" t="str">
        <f>IFERROR(INDEX(Movimientos!$E$2:$E$1993,MATCH(A498&amp;"ENTRADA",Movimientos!$R$2:$R$1993,0)),"-")</f>
        <v>-</v>
      </c>
      <c r="E498" s="2" t="str">
        <f>IFERROR(INDEX(Movimientos!$F$2:$F$1993,MATCH(A498&amp;"ENTRADA",Movimientos!$R$2:$R$1993,0)),"-")</f>
        <v>-</v>
      </c>
      <c r="F498" s="2" t="str">
        <f>IFERROR(INDEX(Movimientos!$G$2:$G$1993,MATCH(A498&amp;"ENTRADA",Movimientos!$R$2:$R$1993,0)),"-")</f>
        <v>-</v>
      </c>
      <c r="G498" s="2" t="str">
        <f>IFERROR(INDEX(Movimientos!$L$2:$L$1993,MATCH(A498&amp;"ENTRADA",Movimientos!$R$2:$R$1993,0)),"-")</f>
        <v>-</v>
      </c>
      <c r="H498" s="17" t="str">
        <f>IFERROR(IF(INDEX(Movimientos!$M$2:$M$1993,MATCH(A498&amp;"ENTRADA",Movimientos!$R$2:$R$1993,0))=0,"S/D",INDEX(Movimientos!$M$2:$M$1993,MATCH(A498&amp;"ENTRADA",Movimientos!$R$2:$R$1993,0))),"S/D")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2805</v>
      </c>
      <c r="B499" s="2" t="str">
        <f>IFERROR(INDEX(Movimientos!$C$2:$C$1993,MATCH(A499&amp;"ENTRADA",Movimientos!$R$2:$R$1993,0)),"-")</f>
        <v>-</v>
      </c>
      <c r="C499" s="2" t="str">
        <f>IFERROR(INDEX(Movimientos!$D$2:$D$1993,MATCH(A499&amp;"ENTRADA",Movimientos!$R$2:$R$1993,0)),"-")</f>
        <v>-</v>
      </c>
      <c r="D499" s="2" t="str">
        <f>IFERROR(INDEX(Movimientos!$E$2:$E$1993,MATCH(A499&amp;"ENTRADA",Movimientos!$R$2:$R$1993,0)),"-")</f>
        <v>-</v>
      </c>
      <c r="E499" s="2" t="str">
        <f>IFERROR(INDEX(Movimientos!$F$2:$F$1993,MATCH(A499&amp;"ENTRADA",Movimientos!$R$2:$R$1993,0)),"-")</f>
        <v>-</v>
      </c>
      <c r="F499" s="2" t="str">
        <f>IFERROR(INDEX(Movimientos!$G$2:$G$1993,MATCH(A499&amp;"ENTRADA",Movimientos!$R$2:$R$1993,0)),"-")</f>
        <v>-</v>
      </c>
      <c r="G499" s="2" t="str">
        <f>IFERROR(INDEX(Movimientos!$L$2:$L$1993,MATCH(A499&amp;"ENTRADA",Movimientos!$R$2:$R$1993,0)),"-")</f>
        <v>-</v>
      </c>
      <c r="H499" s="17" t="str">
        <f>IFERROR(IF(INDEX(Movimientos!$M$2:$M$1993,MATCH(A499&amp;"ENTRADA",Movimientos!$R$2:$R$1993,0))=0,"S/D",INDEX(Movimientos!$M$2:$M$1993,MATCH(A499&amp;"ENTRADA",Movimientos!$R$2:$R$1993,0))),"S/D")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2806</v>
      </c>
      <c r="B500" s="2" t="str">
        <f>IFERROR(INDEX(Movimientos!$C$2:$C$1993,MATCH(A500&amp;"ENTRADA",Movimientos!$R$2:$R$1993,0)),"-")</f>
        <v>-</v>
      </c>
      <c r="C500" s="2" t="str">
        <f>IFERROR(INDEX(Movimientos!$D$2:$D$1993,MATCH(A500&amp;"ENTRADA",Movimientos!$R$2:$R$1993,0)),"-")</f>
        <v>-</v>
      </c>
      <c r="D500" s="2" t="str">
        <f>IFERROR(INDEX(Movimientos!$E$2:$E$1993,MATCH(A500&amp;"ENTRADA",Movimientos!$R$2:$R$1993,0)),"-")</f>
        <v>-</v>
      </c>
      <c r="E500" s="2" t="str">
        <f>IFERROR(INDEX(Movimientos!$F$2:$F$1993,MATCH(A500&amp;"ENTRADA",Movimientos!$R$2:$R$1993,0)),"-")</f>
        <v>-</v>
      </c>
      <c r="F500" s="2" t="str">
        <f>IFERROR(INDEX(Movimientos!$G$2:$G$1993,MATCH(A500&amp;"ENTRADA",Movimientos!$R$2:$R$1993,0)),"-")</f>
        <v>-</v>
      </c>
      <c r="G500" s="2" t="str">
        <f>IFERROR(INDEX(Movimientos!$L$2:$L$1993,MATCH(A500&amp;"ENTRADA",Movimientos!$R$2:$R$1993,0)),"-")</f>
        <v>-</v>
      </c>
      <c r="H500" s="17" t="str">
        <f>IFERROR(IF(INDEX(Movimientos!$M$2:$M$1993,MATCH(A500&amp;"ENTRADA",Movimientos!$R$2:$R$1993,0))=0,"S/D",INDEX(Movimientos!$M$2:$M$1993,MATCH(A500&amp;"ENTRADA",Movimientos!$R$2:$R$1993,0))),"S/D")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2807</v>
      </c>
      <c r="B501" s="2" t="str">
        <f>IFERROR(INDEX(Movimientos!$C$2:$C$1993,MATCH(A501&amp;"ENTRADA",Movimientos!$R$2:$R$1993,0)),"-")</f>
        <v>-</v>
      </c>
      <c r="C501" s="2" t="str">
        <f>IFERROR(INDEX(Movimientos!$D$2:$D$1993,MATCH(A501&amp;"ENTRADA",Movimientos!$R$2:$R$1993,0)),"-")</f>
        <v>-</v>
      </c>
      <c r="D501" s="2" t="str">
        <f>IFERROR(INDEX(Movimientos!$E$2:$E$1993,MATCH(A501&amp;"ENTRADA",Movimientos!$R$2:$R$1993,0)),"-")</f>
        <v>-</v>
      </c>
      <c r="E501" s="2" t="str">
        <f>IFERROR(INDEX(Movimientos!$F$2:$F$1993,MATCH(A501&amp;"ENTRADA",Movimientos!$R$2:$R$1993,0)),"-")</f>
        <v>-</v>
      </c>
      <c r="F501" s="2" t="str">
        <f>IFERROR(INDEX(Movimientos!$G$2:$G$1993,MATCH(A501&amp;"ENTRADA",Movimientos!$R$2:$R$1993,0)),"-")</f>
        <v>-</v>
      </c>
      <c r="G501" s="2" t="str">
        <f>IFERROR(INDEX(Movimientos!$L$2:$L$1993,MATCH(A501&amp;"ENTRADA",Movimientos!$R$2:$R$1993,0)),"-")</f>
        <v>-</v>
      </c>
      <c r="H501" s="17" t="str">
        <f>IFERROR(IF(INDEX(Movimientos!$M$2:$M$1993,MATCH(A501&amp;"ENTRADA",Movimientos!$R$2:$R$1993,0))=0,"S/D",INDEX(Movimientos!$M$2:$M$1993,MATCH(A501&amp;"ENTRADA",Movimientos!$R$2:$R$1993,0))),"S/D")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2808</v>
      </c>
      <c r="B502" s="2" t="str">
        <f>IFERROR(INDEX(Movimientos!$C$2:$C$1993,MATCH(A502&amp;"ENTRADA",Movimientos!$R$2:$R$1993,0)),"-")</f>
        <v>-</v>
      </c>
      <c r="C502" s="2" t="str">
        <f>IFERROR(INDEX(Movimientos!$D$2:$D$1993,MATCH(A502&amp;"ENTRADA",Movimientos!$R$2:$R$1993,0)),"-")</f>
        <v>-</v>
      </c>
      <c r="D502" s="2" t="str">
        <f>IFERROR(INDEX(Movimientos!$E$2:$E$1993,MATCH(A502&amp;"ENTRADA",Movimientos!$R$2:$R$1993,0)),"-")</f>
        <v>-</v>
      </c>
      <c r="E502" s="2" t="str">
        <f>IFERROR(INDEX(Movimientos!$F$2:$F$1993,MATCH(A502&amp;"ENTRADA",Movimientos!$R$2:$R$1993,0)),"-")</f>
        <v>-</v>
      </c>
      <c r="F502" s="2" t="str">
        <f>IFERROR(INDEX(Movimientos!$G$2:$G$1993,MATCH(A502&amp;"ENTRADA",Movimientos!$R$2:$R$1993,0)),"-")</f>
        <v>-</v>
      </c>
      <c r="G502" s="2" t="str">
        <f>IFERROR(INDEX(Movimientos!$L$2:$L$1993,MATCH(A502&amp;"ENTRADA",Movimientos!$R$2:$R$1993,0)),"-")</f>
        <v>-</v>
      </c>
      <c r="H502" s="17" t="str">
        <f>IFERROR(IF(INDEX(Movimientos!$M$2:$M$1993,MATCH(A502&amp;"ENTRADA",Movimientos!$R$2:$R$1993,0))=0,"S/D",INDEX(Movimientos!$M$2:$M$1993,MATCH(A502&amp;"ENTRADA",Movimientos!$R$2:$R$1993,0))),"S/D")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2809</v>
      </c>
      <c r="B503" s="2" t="str">
        <f>IFERROR(INDEX(Movimientos!$C$2:$C$1993,MATCH(A503&amp;"ENTRADA",Movimientos!$R$2:$R$1993,0)),"-")</f>
        <v>-</v>
      </c>
      <c r="C503" s="2" t="str">
        <f>IFERROR(INDEX(Movimientos!$D$2:$D$1993,MATCH(A503&amp;"ENTRADA",Movimientos!$R$2:$R$1993,0)),"-")</f>
        <v>-</v>
      </c>
      <c r="D503" s="2" t="str">
        <f>IFERROR(INDEX(Movimientos!$E$2:$E$1993,MATCH(A503&amp;"ENTRADA",Movimientos!$R$2:$R$1993,0)),"-")</f>
        <v>-</v>
      </c>
      <c r="E503" s="2" t="str">
        <f>IFERROR(INDEX(Movimientos!$F$2:$F$1993,MATCH(A503&amp;"ENTRADA",Movimientos!$R$2:$R$1993,0)),"-")</f>
        <v>-</v>
      </c>
      <c r="F503" s="2" t="str">
        <f>IFERROR(INDEX(Movimientos!$G$2:$G$1993,MATCH(A503&amp;"ENTRADA",Movimientos!$R$2:$R$1993,0)),"-")</f>
        <v>-</v>
      </c>
      <c r="G503" s="2" t="str">
        <f>IFERROR(INDEX(Movimientos!$L$2:$L$1993,MATCH(A503&amp;"ENTRADA",Movimientos!$R$2:$R$1993,0)),"-")</f>
        <v>-</v>
      </c>
      <c r="H503" s="17" t="str">
        <f>IFERROR(IF(INDEX(Movimientos!$M$2:$M$1993,MATCH(A503&amp;"ENTRADA",Movimientos!$R$2:$R$1993,0))=0,"S/D",INDEX(Movimientos!$M$2:$M$1993,MATCH(A503&amp;"ENTRADA",Movimientos!$R$2:$R$1993,0))),"S/D")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2810</v>
      </c>
      <c r="B504" s="2" t="str">
        <f>IFERROR(INDEX(Movimientos!$C$2:$C$1993,MATCH(A504&amp;"ENTRADA",Movimientos!$R$2:$R$1993,0)),"-")</f>
        <v>-</v>
      </c>
      <c r="C504" s="2" t="str">
        <f>IFERROR(INDEX(Movimientos!$D$2:$D$1993,MATCH(A504&amp;"ENTRADA",Movimientos!$R$2:$R$1993,0)),"-")</f>
        <v>-</v>
      </c>
      <c r="D504" s="2" t="str">
        <f>IFERROR(INDEX(Movimientos!$E$2:$E$1993,MATCH(A504&amp;"ENTRADA",Movimientos!$R$2:$R$1993,0)),"-")</f>
        <v>-</v>
      </c>
      <c r="E504" s="2" t="str">
        <f>IFERROR(INDEX(Movimientos!$F$2:$F$1993,MATCH(A504&amp;"ENTRADA",Movimientos!$R$2:$R$1993,0)),"-")</f>
        <v>-</v>
      </c>
      <c r="F504" s="2" t="str">
        <f>IFERROR(INDEX(Movimientos!$G$2:$G$1993,MATCH(A504&amp;"ENTRADA",Movimientos!$R$2:$R$1993,0)),"-")</f>
        <v>-</v>
      </c>
      <c r="G504" s="2" t="str">
        <f>IFERROR(INDEX(Movimientos!$L$2:$L$1993,MATCH(A504&amp;"ENTRADA",Movimientos!$R$2:$R$1993,0)),"-")</f>
        <v>-</v>
      </c>
      <c r="H504" s="17" t="str">
        <f>IFERROR(IF(INDEX(Movimientos!$M$2:$M$1993,MATCH(A504&amp;"ENTRADA",Movimientos!$R$2:$R$1993,0))=0,"S/D",INDEX(Movimientos!$M$2:$M$1993,MATCH(A504&amp;"ENTRADA",Movimientos!$R$2:$R$1993,0))),"S/D")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2811</v>
      </c>
      <c r="B505" s="2" t="str">
        <f>IFERROR(INDEX(Movimientos!$C$2:$C$1993,MATCH(A505&amp;"ENTRADA",Movimientos!$R$2:$R$1993,0)),"-")</f>
        <v>-</v>
      </c>
      <c r="C505" s="2" t="str">
        <f>IFERROR(INDEX(Movimientos!$D$2:$D$1993,MATCH(A505&amp;"ENTRADA",Movimientos!$R$2:$R$1993,0)),"-")</f>
        <v>-</v>
      </c>
      <c r="D505" s="2" t="str">
        <f>IFERROR(INDEX(Movimientos!$E$2:$E$1993,MATCH(A505&amp;"ENTRADA",Movimientos!$R$2:$R$1993,0)),"-")</f>
        <v>-</v>
      </c>
      <c r="E505" s="2" t="str">
        <f>IFERROR(INDEX(Movimientos!$F$2:$F$1993,MATCH(A505&amp;"ENTRADA",Movimientos!$R$2:$R$1993,0)),"-")</f>
        <v>-</v>
      </c>
      <c r="F505" s="2" t="str">
        <f>IFERROR(INDEX(Movimientos!$G$2:$G$1993,MATCH(A505&amp;"ENTRADA",Movimientos!$R$2:$R$1993,0)),"-")</f>
        <v>-</v>
      </c>
      <c r="G505" s="2" t="str">
        <f>IFERROR(INDEX(Movimientos!$L$2:$L$1993,MATCH(A505&amp;"ENTRADA",Movimientos!$R$2:$R$1993,0)),"-")</f>
        <v>-</v>
      </c>
      <c r="H505" s="17" t="str">
        <f>IFERROR(IF(INDEX(Movimientos!$M$2:$M$1993,MATCH(A505&amp;"ENTRADA",Movimientos!$R$2:$R$1993,0))=0,"S/D",INDEX(Movimientos!$M$2:$M$1993,MATCH(A505&amp;"ENTRADA",Movimientos!$R$2:$R$1993,0))),"S/D")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2812</v>
      </c>
      <c r="B506" s="2" t="str">
        <f>IFERROR(INDEX(Movimientos!$C$2:$C$1993,MATCH(A506&amp;"ENTRADA",Movimientos!$R$2:$R$1993,0)),"-")</f>
        <v>-</v>
      </c>
      <c r="C506" s="2" t="str">
        <f>IFERROR(INDEX(Movimientos!$D$2:$D$1993,MATCH(A506&amp;"ENTRADA",Movimientos!$R$2:$R$1993,0)),"-")</f>
        <v>-</v>
      </c>
      <c r="D506" s="2" t="str">
        <f>IFERROR(INDEX(Movimientos!$E$2:$E$1993,MATCH(A506&amp;"ENTRADA",Movimientos!$R$2:$R$1993,0)),"-")</f>
        <v>-</v>
      </c>
      <c r="E506" s="2" t="str">
        <f>IFERROR(INDEX(Movimientos!$F$2:$F$1993,MATCH(A506&amp;"ENTRADA",Movimientos!$R$2:$R$1993,0)),"-")</f>
        <v>-</v>
      </c>
      <c r="F506" s="2" t="str">
        <f>IFERROR(INDEX(Movimientos!$G$2:$G$1993,MATCH(A506&amp;"ENTRADA",Movimientos!$R$2:$R$1993,0)),"-")</f>
        <v>-</v>
      </c>
      <c r="G506" s="2" t="str">
        <f>IFERROR(INDEX(Movimientos!$L$2:$L$1993,MATCH(A506&amp;"ENTRADA",Movimientos!$R$2:$R$1993,0)),"-")</f>
        <v>-</v>
      </c>
      <c r="H506" s="17" t="str">
        <f>IFERROR(IF(INDEX(Movimientos!$M$2:$M$1993,MATCH(A506&amp;"ENTRADA",Movimientos!$R$2:$R$1993,0))=0,"S/D",INDEX(Movimientos!$M$2:$M$1993,MATCH(A506&amp;"ENTRADA",Movimientos!$R$2:$R$1993,0))),"S/D")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2813</v>
      </c>
      <c r="B507" s="2" t="str">
        <f>IFERROR(INDEX(Movimientos!$C$2:$C$1993,MATCH(A507&amp;"ENTRADA",Movimientos!$R$2:$R$1993,0)),"-")</f>
        <v>-</v>
      </c>
      <c r="C507" s="2" t="str">
        <f>IFERROR(INDEX(Movimientos!$D$2:$D$1993,MATCH(A507&amp;"ENTRADA",Movimientos!$R$2:$R$1993,0)),"-")</f>
        <v>-</v>
      </c>
      <c r="D507" s="2" t="str">
        <f>IFERROR(INDEX(Movimientos!$E$2:$E$1993,MATCH(A507&amp;"ENTRADA",Movimientos!$R$2:$R$1993,0)),"-")</f>
        <v>-</v>
      </c>
      <c r="E507" s="2" t="str">
        <f>IFERROR(INDEX(Movimientos!$F$2:$F$1993,MATCH(A507&amp;"ENTRADA",Movimientos!$R$2:$R$1993,0)),"-")</f>
        <v>-</v>
      </c>
      <c r="F507" s="2" t="str">
        <f>IFERROR(INDEX(Movimientos!$G$2:$G$1993,MATCH(A507&amp;"ENTRADA",Movimientos!$R$2:$R$1993,0)),"-")</f>
        <v>-</v>
      </c>
      <c r="G507" s="2" t="str">
        <f>IFERROR(INDEX(Movimientos!$L$2:$L$1993,MATCH(A507&amp;"ENTRADA",Movimientos!$R$2:$R$1993,0)),"-")</f>
        <v>-</v>
      </c>
      <c r="H507" s="17" t="str">
        <f>IFERROR(IF(INDEX(Movimientos!$M$2:$M$1993,MATCH(A507&amp;"ENTRADA",Movimientos!$R$2:$R$1993,0))=0,"S/D",INDEX(Movimientos!$M$2:$M$1993,MATCH(A507&amp;"ENTRADA",Movimientos!$R$2:$R$1993,0))),"S/D")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2814</v>
      </c>
      <c r="B508" s="2" t="str">
        <f>IFERROR(INDEX(Movimientos!$C$2:$C$1993,MATCH(A508&amp;"ENTRADA",Movimientos!$R$2:$R$1993,0)),"-")</f>
        <v>-</v>
      </c>
      <c r="C508" s="2" t="str">
        <f>IFERROR(INDEX(Movimientos!$D$2:$D$1993,MATCH(A508&amp;"ENTRADA",Movimientos!$R$2:$R$1993,0)),"-")</f>
        <v>-</v>
      </c>
      <c r="D508" s="2" t="str">
        <f>IFERROR(INDEX(Movimientos!$E$2:$E$1993,MATCH(A508&amp;"ENTRADA",Movimientos!$R$2:$R$1993,0)),"-")</f>
        <v>-</v>
      </c>
      <c r="E508" s="2" t="str">
        <f>IFERROR(INDEX(Movimientos!$F$2:$F$1993,MATCH(A508&amp;"ENTRADA",Movimientos!$R$2:$R$1993,0)),"-")</f>
        <v>-</v>
      </c>
      <c r="F508" s="2" t="str">
        <f>IFERROR(INDEX(Movimientos!$G$2:$G$1993,MATCH(A508&amp;"ENTRADA",Movimientos!$R$2:$R$1993,0)),"-")</f>
        <v>-</v>
      </c>
      <c r="G508" s="2" t="str">
        <f>IFERROR(INDEX(Movimientos!$L$2:$L$1993,MATCH(A508&amp;"ENTRADA",Movimientos!$R$2:$R$1993,0)),"-")</f>
        <v>-</v>
      </c>
      <c r="H508" s="17" t="str">
        <f>IFERROR(IF(INDEX(Movimientos!$M$2:$M$1993,MATCH(A508&amp;"ENTRADA",Movimientos!$R$2:$R$1993,0))=0,"S/D",INDEX(Movimientos!$M$2:$M$1993,MATCH(A508&amp;"ENTRADA",Movimientos!$R$2:$R$1993,0))),"S/D")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2815</v>
      </c>
      <c r="B509" s="2" t="str">
        <f>IFERROR(INDEX(Movimientos!$C$2:$C$1993,MATCH(A509&amp;"ENTRADA",Movimientos!$R$2:$R$1993,0)),"-")</f>
        <v>-</v>
      </c>
      <c r="C509" s="2" t="str">
        <f>IFERROR(INDEX(Movimientos!$D$2:$D$1993,MATCH(A509&amp;"ENTRADA",Movimientos!$R$2:$R$1993,0)),"-")</f>
        <v>-</v>
      </c>
      <c r="D509" s="2" t="str">
        <f>IFERROR(INDEX(Movimientos!$E$2:$E$1993,MATCH(A509&amp;"ENTRADA",Movimientos!$R$2:$R$1993,0)),"-")</f>
        <v>-</v>
      </c>
      <c r="E509" s="2" t="str">
        <f>IFERROR(INDEX(Movimientos!$F$2:$F$1993,MATCH(A509&amp;"ENTRADA",Movimientos!$R$2:$R$1993,0)),"-")</f>
        <v>-</v>
      </c>
      <c r="F509" s="2" t="str">
        <f>IFERROR(INDEX(Movimientos!$G$2:$G$1993,MATCH(A509&amp;"ENTRADA",Movimientos!$R$2:$R$1993,0)),"-")</f>
        <v>-</v>
      </c>
      <c r="G509" s="2" t="str">
        <f>IFERROR(INDEX(Movimientos!$L$2:$L$1993,MATCH(A509&amp;"ENTRADA",Movimientos!$R$2:$R$1993,0)),"-")</f>
        <v>-</v>
      </c>
      <c r="H509" s="17" t="str">
        <f>IFERROR(IF(INDEX(Movimientos!$M$2:$M$1993,MATCH(A509&amp;"ENTRADA",Movimientos!$R$2:$R$1993,0))=0,"S/D",INDEX(Movimientos!$M$2:$M$1993,MATCH(A509&amp;"ENTRADA",Movimientos!$R$2:$R$1993,0))),"S/D")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2816</v>
      </c>
      <c r="B510" s="2" t="str">
        <f>IFERROR(INDEX(Movimientos!$C$2:$C$1993,MATCH(A510&amp;"ENTRADA",Movimientos!$R$2:$R$1993,0)),"-")</f>
        <v>-</v>
      </c>
      <c r="C510" s="2" t="str">
        <f>IFERROR(INDEX(Movimientos!$D$2:$D$1993,MATCH(A510&amp;"ENTRADA",Movimientos!$R$2:$R$1993,0)),"-")</f>
        <v>-</v>
      </c>
      <c r="D510" s="2" t="str">
        <f>IFERROR(INDEX(Movimientos!$E$2:$E$1993,MATCH(A510&amp;"ENTRADA",Movimientos!$R$2:$R$1993,0)),"-")</f>
        <v>-</v>
      </c>
      <c r="E510" s="2" t="str">
        <f>IFERROR(INDEX(Movimientos!$F$2:$F$1993,MATCH(A510&amp;"ENTRADA",Movimientos!$R$2:$R$1993,0)),"-")</f>
        <v>-</v>
      </c>
      <c r="F510" s="2" t="str">
        <f>IFERROR(INDEX(Movimientos!$G$2:$G$1993,MATCH(A510&amp;"ENTRADA",Movimientos!$R$2:$R$1993,0)),"-")</f>
        <v>-</v>
      </c>
      <c r="G510" s="2" t="str">
        <f>IFERROR(INDEX(Movimientos!$L$2:$L$1993,MATCH(A510&amp;"ENTRADA",Movimientos!$R$2:$R$1993,0)),"-")</f>
        <v>-</v>
      </c>
      <c r="H510" s="17" t="str">
        <f>IFERROR(IF(INDEX(Movimientos!$M$2:$M$1993,MATCH(A510&amp;"ENTRADA",Movimientos!$R$2:$R$1993,0))=0,"S/D",INDEX(Movimientos!$M$2:$M$1993,MATCH(A510&amp;"ENTRADA",Movimientos!$R$2:$R$1993,0))),"S/D")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2817</v>
      </c>
      <c r="B511" s="2" t="str">
        <f>IFERROR(INDEX(Movimientos!$C$2:$C$1993,MATCH(A511&amp;"ENTRADA",Movimientos!$R$2:$R$1993,0)),"-")</f>
        <v>-</v>
      </c>
      <c r="C511" s="2" t="str">
        <f>IFERROR(INDEX(Movimientos!$D$2:$D$1993,MATCH(A511&amp;"ENTRADA",Movimientos!$R$2:$R$1993,0)),"-")</f>
        <v>-</v>
      </c>
      <c r="D511" s="2" t="str">
        <f>IFERROR(INDEX(Movimientos!$E$2:$E$1993,MATCH(A511&amp;"ENTRADA",Movimientos!$R$2:$R$1993,0)),"-")</f>
        <v>-</v>
      </c>
      <c r="E511" s="2" t="str">
        <f>IFERROR(INDEX(Movimientos!$F$2:$F$1993,MATCH(A511&amp;"ENTRADA",Movimientos!$R$2:$R$1993,0)),"-")</f>
        <v>-</v>
      </c>
      <c r="F511" s="2" t="str">
        <f>IFERROR(INDEX(Movimientos!$G$2:$G$1993,MATCH(A511&amp;"ENTRADA",Movimientos!$R$2:$R$1993,0)),"-")</f>
        <v>-</v>
      </c>
      <c r="G511" s="2" t="str">
        <f>IFERROR(INDEX(Movimientos!$L$2:$L$1993,MATCH(A511&amp;"ENTRADA",Movimientos!$R$2:$R$1993,0)),"-")</f>
        <v>-</v>
      </c>
      <c r="H511" s="17" t="str">
        <f>IFERROR(IF(INDEX(Movimientos!$M$2:$M$1993,MATCH(A511&amp;"ENTRADA",Movimientos!$R$2:$R$1993,0))=0,"S/D",INDEX(Movimientos!$M$2:$M$1993,MATCH(A511&amp;"ENTRADA",Movimientos!$R$2:$R$1993,0))),"S/D")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2818</v>
      </c>
      <c r="B512" s="2" t="str">
        <f>IFERROR(INDEX(Movimientos!$C$2:$C$1993,MATCH(A512&amp;"ENTRADA",Movimientos!$R$2:$R$1993,0)),"-")</f>
        <v>-</v>
      </c>
      <c r="C512" s="2" t="str">
        <f>IFERROR(INDEX(Movimientos!$D$2:$D$1993,MATCH(A512&amp;"ENTRADA",Movimientos!$R$2:$R$1993,0)),"-")</f>
        <v>-</v>
      </c>
      <c r="D512" s="2" t="str">
        <f>IFERROR(INDEX(Movimientos!$E$2:$E$1993,MATCH(A512&amp;"ENTRADA",Movimientos!$R$2:$R$1993,0)),"-")</f>
        <v>-</v>
      </c>
      <c r="E512" s="2" t="str">
        <f>IFERROR(INDEX(Movimientos!$F$2:$F$1993,MATCH(A512&amp;"ENTRADA",Movimientos!$R$2:$R$1993,0)),"-")</f>
        <v>-</v>
      </c>
      <c r="F512" s="2" t="str">
        <f>IFERROR(INDEX(Movimientos!$G$2:$G$1993,MATCH(A512&amp;"ENTRADA",Movimientos!$R$2:$R$1993,0)),"-")</f>
        <v>-</v>
      </c>
      <c r="G512" s="2" t="str">
        <f>IFERROR(INDEX(Movimientos!$L$2:$L$1993,MATCH(A512&amp;"ENTRADA",Movimientos!$R$2:$R$1993,0)),"-")</f>
        <v>-</v>
      </c>
      <c r="H512" s="17" t="str">
        <f>IFERROR(IF(INDEX(Movimientos!$M$2:$M$1993,MATCH(A512&amp;"ENTRADA",Movimientos!$R$2:$R$1993,0))=0,"S/D",INDEX(Movimientos!$M$2:$M$1993,MATCH(A512&amp;"ENTRADA",Movimientos!$R$2:$R$1993,0))),"S/D")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2819</v>
      </c>
      <c r="B513" s="2" t="str">
        <f>IFERROR(INDEX(Movimientos!$C$2:$C$1993,MATCH(A513&amp;"ENTRADA",Movimientos!$R$2:$R$1993,0)),"-")</f>
        <v>-</v>
      </c>
      <c r="C513" s="2" t="str">
        <f>IFERROR(INDEX(Movimientos!$D$2:$D$1993,MATCH(A513&amp;"ENTRADA",Movimientos!$R$2:$R$1993,0)),"-")</f>
        <v>-</v>
      </c>
      <c r="D513" s="2" t="str">
        <f>IFERROR(INDEX(Movimientos!$E$2:$E$1993,MATCH(A513&amp;"ENTRADA",Movimientos!$R$2:$R$1993,0)),"-")</f>
        <v>-</v>
      </c>
      <c r="E513" s="2" t="str">
        <f>IFERROR(INDEX(Movimientos!$F$2:$F$1993,MATCH(A513&amp;"ENTRADA",Movimientos!$R$2:$R$1993,0)),"-")</f>
        <v>-</v>
      </c>
      <c r="F513" s="2" t="str">
        <f>IFERROR(INDEX(Movimientos!$G$2:$G$1993,MATCH(A513&amp;"ENTRADA",Movimientos!$R$2:$R$1993,0)),"-")</f>
        <v>-</v>
      </c>
      <c r="G513" s="2" t="str">
        <f>IFERROR(INDEX(Movimientos!$L$2:$L$1993,MATCH(A513&amp;"ENTRADA",Movimientos!$R$2:$R$1993,0)),"-")</f>
        <v>-</v>
      </c>
      <c r="H513" s="17" t="str">
        <f>IFERROR(IF(INDEX(Movimientos!$M$2:$M$1993,MATCH(A513&amp;"ENTRADA",Movimientos!$R$2:$R$1993,0))=0,"S/D",INDEX(Movimientos!$M$2:$M$1993,MATCH(A513&amp;"ENTRADA",Movimientos!$R$2:$R$1993,0))),"S/D")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2820</v>
      </c>
      <c r="B514" s="2" t="str">
        <f>IFERROR(INDEX(Movimientos!$C$2:$C$1993,MATCH(A514&amp;"ENTRADA",Movimientos!$R$2:$R$1993,0)),"-")</f>
        <v>-</v>
      </c>
      <c r="C514" s="2" t="str">
        <f>IFERROR(INDEX(Movimientos!$D$2:$D$1993,MATCH(A514&amp;"ENTRADA",Movimientos!$R$2:$R$1993,0)),"-")</f>
        <v>-</v>
      </c>
      <c r="D514" s="2" t="str">
        <f>IFERROR(INDEX(Movimientos!$E$2:$E$1993,MATCH(A514&amp;"ENTRADA",Movimientos!$R$2:$R$1993,0)),"-")</f>
        <v>-</v>
      </c>
      <c r="E514" s="2" t="str">
        <f>IFERROR(INDEX(Movimientos!$F$2:$F$1993,MATCH(A514&amp;"ENTRADA",Movimientos!$R$2:$R$1993,0)),"-")</f>
        <v>-</v>
      </c>
      <c r="F514" s="2" t="str">
        <f>IFERROR(INDEX(Movimientos!$G$2:$G$1993,MATCH(A514&amp;"ENTRADA",Movimientos!$R$2:$R$1993,0)),"-")</f>
        <v>-</v>
      </c>
      <c r="G514" s="2" t="str">
        <f>IFERROR(INDEX(Movimientos!$L$2:$L$1993,MATCH(A514&amp;"ENTRADA",Movimientos!$R$2:$R$1993,0)),"-")</f>
        <v>-</v>
      </c>
      <c r="H514" s="17" t="str">
        <f>IFERROR(IF(INDEX(Movimientos!$M$2:$M$1993,MATCH(A514&amp;"ENTRADA",Movimientos!$R$2:$R$1993,0))=0,"S/D",INDEX(Movimientos!$M$2:$M$1993,MATCH(A514&amp;"ENTRADA",Movimientos!$R$2:$R$1993,0))),"S/D")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2821</v>
      </c>
      <c r="B515" s="2" t="str">
        <f>IFERROR(INDEX(Movimientos!$C$2:$C$1993,MATCH(A515&amp;"ENTRADA",Movimientos!$R$2:$R$1993,0)),"-")</f>
        <v>-</v>
      </c>
      <c r="C515" s="2" t="str">
        <f>IFERROR(INDEX(Movimientos!$D$2:$D$1993,MATCH(A515&amp;"ENTRADA",Movimientos!$R$2:$R$1993,0)),"-")</f>
        <v>-</v>
      </c>
      <c r="D515" s="2" t="str">
        <f>IFERROR(INDEX(Movimientos!$E$2:$E$1993,MATCH(A515&amp;"ENTRADA",Movimientos!$R$2:$R$1993,0)),"-")</f>
        <v>-</v>
      </c>
      <c r="E515" s="2" t="str">
        <f>IFERROR(INDEX(Movimientos!$F$2:$F$1993,MATCH(A515&amp;"ENTRADA",Movimientos!$R$2:$R$1993,0)),"-")</f>
        <v>-</v>
      </c>
      <c r="F515" s="2" t="str">
        <f>IFERROR(INDEX(Movimientos!$G$2:$G$1993,MATCH(A515&amp;"ENTRADA",Movimientos!$R$2:$R$1993,0)),"-")</f>
        <v>-</v>
      </c>
      <c r="G515" s="2" t="str">
        <f>IFERROR(INDEX(Movimientos!$L$2:$L$1993,MATCH(A515&amp;"ENTRADA",Movimientos!$R$2:$R$1993,0)),"-")</f>
        <v>-</v>
      </c>
      <c r="H515" s="17" t="str">
        <f>IFERROR(IF(INDEX(Movimientos!$M$2:$M$1993,MATCH(A515&amp;"ENTRADA",Movimientos!$R$2:$R$1993,0))=0,"S/D",INDEX(Movimientos!$M$2:$M$1993,MATCH(A515&amp;"ENTRADA",Movimientos!$R$2:$R$1993,0))),"S/D")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2822</v>
      </c>
      <c r="B516" s="2" t="str">
        <f>IFERROR(INDEX(Movimientos!$C$2:$C$1993,MATCH(A516&amp;"ENTRADA",Movimientos!$R$2:$R$1993,0)),"-")</f>
        <v>-</v>
      </c>
      <c r="C516" s="2" t="str">
        <f>IFERROR(INDEX(Movimientos!$D$2:$D$1993,MATCH(A516&amp;"ENTRADA",Movimientos!$R$2:$R$1993,0)),"-")</f>
        <v>-</v>
      </c>
      <c r="D516" s="2" t="str">
        <f>IFERROR(INDEX(Movimientos!$E$2:$E$1993,MATCH(A516&amp;"ENTRADA",Movimientos!$R$2:$R$1993,0)),"-")</f>
        <v>-</v>
      </c>
      <c r="E516" s="2" t="str">
        <f>IFERROR(INDEX(Movimientos!$F$2:$F$1993,MATCH(A516&amp;"ENTRADA",Movimientos!$R$2:$R$1993,0)),"-")</f>
        <v>-</v>
      </c>
      <c r="F516" s="2" t="str">
        <f>IFERROR(INDEX(Movimientos!$G$2:$G$1993,MATCH(A516&amp;"ENTRADA",Movimientos!$R$2:$R$1993,0)),"-")</f>
        <v>-</v>
      </c>
      <c r="G516" s="2" t="str">
        <f>IFERROR(INDEX(Movimientos!$L$2:$L$1993,MATCH(A516&amp;"ENTRADA",Movimientos!$R$2:$R$1993,0)),"-")</f>
        <v>-</v>
      </c>
      <c r="H516" s="17" t="str">
        <f>IFERROR(IF(INDEX(Movimientos!$M$2:$M$1993,MATCH(A516&amp;"ENTRADA",Movimientos!$R$2:$R$1993,0))=0,"S/D",INDEX(Movimientos!$M$2:$M$1993,MATCH(A516&amp;"ENTRADA",Movimientos!$R$2:$R$1993,0))),"S/D")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2823</v>
      </c>
      <c r="B517" s="2" t="str">
        <f>IFERROR(INDEX(Movimientos!$C$2:$C$1993,MATCH(A517&amp;"ENTRADA",Movimientos!$R$2:$R$1993,0)),"-")</f>
        <v>-</v>
      </c>
      <c r="C517" s="2" t="str">
        <f>IFERROR(INDEX(Movimientos!$D$2:$D$1993,MATCH(A517&amp;"ENTRADA",Movimientos!$R$2:$R$1993,0)),"-")</f>
        <v>-</v>
      </c>
      <c r="D517" s="2" t="str">
        <f>IFERROR(INDEX(Movimientos!$E$2:$E$1993,MATCH(A517&amp;"ENTRADA",Movimientos!$R$2:$R$1993,0)),"-")</f>
        <v>-</v>
      </c>
      <c r="E517" s="2" t="str">
        <f>IFERROR(INDEX(Movimientos!$F$2:$F$1993,MATCH(A517&amp;"ENTRADA",Movimientos!$R$2:$R$1993,0)),"-")</f>
        <v>-</v>
      </c>
      <c r="F517" s="2" t="str">
        <f>IFERROR(INDEX(Movimientos!$G$2:$G$1993,MATCH(A517&amp;"ENTRADA",Movimientos!$R$2:$R$1993,0)),"-")</f>
        <v>-</v>
      </c>
      <c r="G517" s="2" t="str">
        <f>IFERROR(INDEX(Movimientos!$L$2:$L$1993,MATCH(A517&amp;"ENTRADA",Movimientos!$R$2:$R$1993,0)),"-")</f>
        <v>-</v>
      </c>
      <c r="H517" s="17" t="str">
        <f>IFERROR(IF(INDEX(Movimientos!$M$2:$M$1993,MATCH(A517&amp;"ENTRADA",Movimientos!$R$2:$R$1993,0))=0,"S/D",INDEX(Movimientos!$M$2:$M$1993,MATCH(A517&amp;"ENTRADA",Movimientos!$R$2:$R$1993,0))),"S/D")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2824</v>
      </c>
      <c r="B518" s="2" t="str">
        <f>IFERROR(INDEX(Movimientos!$C$2:$C$1993,MATCH(A518&amp;"ENTRADA",Movimientos!$R$2:$R$1993,0)),"-")</f>
        <v>-</v>
      </c>
      <c r="C518" s="2" t="str">
        <f>IFERROR(INDEX(Movimientos!$D$2:$D$1993,MATCH(A518&amp;"ENTRADA",Movimientos!$R$2:$R$1993,0)),"-")</f>
        <v>-</v>
      </c>
      <c r="D518" s="2" t="str">
        <f>IFERROR(INDEX(Movimientos!$E$2:$E$1993,MATCH(A518&amp;"ENTRADA",Movimientos!$R$2:$R$1993,0)),"-")</f>
        <v>-</v>
      </c>
      <c r="E518" s="2" t="str">
        <f>IFERROR(INDEX(Movimientos!$F$2:$F$1993,MATCH(A518&amp;"ENTRADA",Movimientos!$R$2:$R$1993,0)),"-")</f>
        <v>-</v>
      </c>
      <c r="F518" s="2" t="str">
        <f>IFERROR(INDEX(Movimientos!$G$2:$G$1993,MATCH(A518&amp;"ENTRADA",Movimientos!$R$2:$R$1993,0)),"-")</f>
        <v>-</v>
      </c>
      <c r="G518" s="2" t="str">
        <f>IFERROR(INDEX(Movimientos!$L$2:$L$1993,MATCH(A518&amp;"ENTRADA",Movimientos!$R$2:$R$1993,0)),"-")</f>
        <v>-</v>
      </c>
      <c r="H518" s="17" t="str">
        <f>IFERROR(IF(INDEX(Movimientos!$M$2:$M$1993,MATCH(A518&amp;"ENTRADA",Movimientos!$R$2:$R$1993,0))=0,"S/D",INDEX(Movimientos!$M$2:$M$1993,MATCH(A518&amp;"ENTRADA",Movimientos!$R$2:$R$1993,0))),"S/D")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2825</v>
      </c>
      <c r="B519" s="2" t="str">
        <f>IFERROR(INDEX(Movimientos!$C$2:$C$1993,MATCH(A519&amp;"ENTRADA",Movimientos!$R$2:$R$1993,0)),"-")</f>
        <v>-</v>
      </c>
      <c r="C519" s="2" t="str">
        <f>IFERROR(INDEX(Movimientos!$D$2:$D$1993,MATCH(A519&amp;"ENTRADA",Movimientos!$R$2:$R$1993,0)),"-")</f>
        <v>-</v>
      </c>
      <c r="D519" s="2" t="str">
        <f>IFERROR(INDEX(Movimientos!$E$2:$E$1993,MATCH(A519&amp;"ENTRADA",Movimientos!$R$2:$R$1993,0)),"-")</f>
        <v>-</v>
      </c>
      <c r="E519" s="2" t="str">
        <f>IFERROR(INDEX(Movimientos!$F$2:$F$1993,MATCH(A519&amp;"ENTRADA",Movimientos!$R$2:$R$1993,0)),"-")</f>
        <v>-</v>
      </c>
      <c r="F519" s="2" t="str">
        <f>IFERROR(INDEX(Movimientos!$G$2:$G$1993,MATCH(A519&amp;"ENTRADA",Movimientos!$R$2:$R$1993,0)),"-")</f>
        <v>-</v>
      </c>
      <c r="G519" s="2" t="str">
        <f>IFERROR(INDEX(Movimientos!$L$2:$L$1993,MATCH(A519&amp;"ENTRADA",Movimientos!$R$2:$R$1993,0)),"-")</f>
        <v>-</v>
      </c>
      <c r="H519" s="17" t="str">
        <f>IFERROR(IF(INDEX(Movimientos!$M$2:$M$1993,MATCH(A519&amp;"ENTRADA",Movimientos!$R$2:$R$1993,0))=0,"S/D",INDEX(Movimientos!$M$2:$M$1993,MATCH(A519&amp;"ENTRADA",Movimientos!$R$2:$R$1993,0))),"S/D")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2826</v>
      </c>
      <c r="B520" s="2" t="str">
        <f>IFERROR(INDEX(Movimientos!$C$2:$C$1993,MATCH(A520&amp;"ENTRADA",Movimientos!$R$2:$R$1993,0)),"-")</f>
        <v>-</v>
      </c>
      <c r="C520" s="2" t="str">
        <f>IFERROR(INDEX(Movimientos!$D$2:$D$1993,MATCH(A520&amp;"ENTRADA",Movimientos!$R$2:$R$1993,0)),"-")</f>
        <v>-</v>
      </c>
      <c r="D520" s="2" t="str">
        <f>IFERROR(INDEX(Movimientos!$E$2:$E$1993,MATCH(A520&amp;"ENTRADA",Movimientos!$R$2:$R$1993,0)),"-")</f>
        <v>-</v>
      </c>
      <c r="E520" s="2" t="str">
        <f>IFERROR(INDEX(Movimientos!$F$2:$F$1993,MATCH(A520&amp;"ENTRADA",Movimientos!$R$2:$R$1993,0)),"-")</f>
        <v>-</v>
      </c>
      <c r="F520" s="2" t="str">
        <f>IFERROR(INDEX(Movimientos!$G$2:$G$1993,MATCH(A520&amp;"ENTRADA",Movimientos!$R$2:$R$1993,0)),"-")</f>
        <v>-</v>
      </c>
      <c r="G520" s="2" t="str">
        <f>IFERROR(INDEX(Movimientos!$L$2:$L$1993,MATCH(A520&amp;"ENTRADA",Movimientos!$R$2:$R$1993,0)),"-")</f>
        <v>-</v>
      </c>
      <c r="H520" s="17" t="str">
        <f>IFERROR(IF(INDEX(Movimientos!$M$2:$M$1993,MATCH(A520&amp;"ENTRADA",Movimientos!$R$2:$R$1993,0))=0,"S/D",INDEX(Movimientos!$M$2:$M$1993,MATCH(A520&amp;"ENTRADA",Movimientos!$R$2:$R$1993,0))),"S/D")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2827</v>
      </c>
      <c r="B521" s="2" t="str">
        <f>IFERROR(INDEX(Movimientos!$C$2:$C$1993,MATCH(A521&amp;"ENTRADA",Movimientos!$R$2:$R$1993,0)),"-")</f>
        <v>-</v>
      </c>
      <c r="C521" s="2" t="str">
        <f>IFERROR(INDEX(Movimientos!$D$2:$D$1993,MATCH(A521&amp;"ENTRADA",Movimientos!$R$2:$R$1993,0)),"-")</f>
        <v>-</v>
      </c>
      <c r="D521" s="2" t="str">
        <f>IFERROR(INDEX(Movimientos!$E$2:$E$1993,MATCH(A521&amp;"ENTRADA",Movimientos!$R$2:$R$1993,0)),"-")</f>
        <v>-</v>
      </c>
      <c r="E521" s="2" t="str">
        <f>IFERROR(INDEX(Movimientos!$F$2:$F$1993,MATCH(A521&amp;"ENTRADA",Movimientos!$R$2:$R$1993,0)),"-")</f>
        <v>-</v>
      </c>
      <c r="F521" s="2" t="str">
        <f>IFERROR(INDEX(Movimientos!$G$2:$G$1993,MATCH(A521&amp;"ENTRADA",Movimientos!$R$2:$R$1993,0)),"-")</f>
        <v>-</v>
      </c>
      <c r="G521" s="2" t="str">
        <f>IFERROR(INDEX(Movimientos!$L$2:$L$1993,MATCH(A521&amp;"ENTRADA",Movimientos!$R$2:$R$1993,0)),"-")</f>
        <v>-</v>
      </c>
      <c r="H521" s="17" t="str">
        <f>IFERROR(IF(INDEX(Movimientos!$M$2:$M$1993,MATCH(A521&amp;"ENTRADA",Movimientos!$R$2:$R$1993,0))=0,"S/D",INDEX(Movimientos!$M$2:$M$1993,MATCH(A521&amp;"ENTRADA",Movimientos!$R$2:$R$1993,0))),"S/D")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2828</v>
      </c>
      <c r="B522" s="2" t="str">
        <f>IFERROR(INDEX(Movimientos!$C$2:$C$1993,MATCH(A522&amp;"ENTRADA",Movimientos!$R$2:$R$1993,0)),"-")</f>
        <v>-</v>
      </c>
      <c r="C522" s="2" t="str">
        <f>IFERROR(INDEX(Movimientos!$D$2:$D$1993,MATCH(A522&amp;"ENTRADA",Movimientos!$R$2:$R$1993,0)),"-")</f>
        <v>-</v>
      </c>
      <c r="D522" s="2" t="str">
        <f>IFERROR(INDEX(Movimientos!$E$2:$E$1993,MATCH(A522&amp;"ENTRADA",Movimientos!$R$2:$R$1993,0)),"-")</f>
        <v>-</v>
      </c>
      <c r="E522" s="2" t="str">
        <f>IFERROR(INDEX(Movimientos!$F$2:$F$1993,MATCH(A522&amp;"ENTRADA",Movimientos!$R$2:$R$1993,0)),"-")</f>
        <v>-</v>
      </c>
      <c r="F522" s="2" t="str">
        <f>IFERROR(INDEX(Movimientos!$G$2:$G$1993,MATCH(A522&amp;"ENTRADA",Movimientos!$R$2:$R$1993,0)),"-")</f>
        <v>-</v>
      </c>
      <c r="G522" s="2" t="str">
        <f>IFERROR(INDEX(Movimientos!$L$2:$L$1993,MATCH(A522&amp;"ENTRADA",Movimientos!$R$2:$R$1993,0)),"-")</f>
        <v>-</v>
      </c>
      <c r="H522" s="17" t="str">
        <f>IFERROR(IF(INDEX(Movimientos!$M$2:$M$1993,MATCH(A522&amp;"ENTRADA",Movimientos!$R$2:$R$1993,0))=0,"S/D",INDEX(Movimientos!$M$2:$M$1993,MATCH(A522&amp;"ENTRADA",Movimientos!$R$2:$R$1993,0))),"S/D")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2829</v>
      </c>
      <c r="B523" s="2" t="str">
        <f>IFERROR(INDEX(Movimientos!$C$2:$C$1993,MATCH(A523&amp;"ENTRADA",Movimientos!$R$2:$R$1993,0)),"-")</f>
        <v>-</v>
      </c>
      <c r="C523" s="2" t="str">
        <f>IFERROR(INDEX(Movimientos!$D$2:$D$1993,MATCH(A523&amp;"ENTRADA",Movimientos!$R$2:$R$1993,0)),"-")</f>
        <v>-</v>
      </c>
      <c r="D523" s="2" t="str">
        <f>IFERROR(INDEX(Movimientos!$E$2:$E$1993,MATCH(A523&amp;"ENTRADA",Movimientos!$R$2:$R$1993,0)),"-")</f>
        <v>-</v>
      </c>
      <c r="E523" s="2" t="str">
        <f>IFERROR(INDEX(Movimientos!$F$2:$F$1993,MATCH(A523&amp;"ENTRADA",Movimientos!$R$2:$R$1993,0)),"-")</f>
        <v>-</v>
      </c>
      <c r="F523" s="2" t="str">
        <f>IFERROR(INDEX(Movimientos!$G$2:$G$1993,MATCH(A523&amp;"ENTRADA",Movimientos!$R$2:$R$1993,0)),"-")</f>
        <v>-</v>
      </c>
      <c r="G523" s="2" t="str">
        <f>IFERROR(INDEX(Movimientos!$L$2:$L$1993,MATCH(A523&amp;"ENTRADA",Movimientos!$R$2:$R$1993,0)),"-")</f>
        <v>-</v>
      </c>
      <c r="H523" s="17" t="str">
        <f>IFERROR(IF(INDEX(Movimientos!$M$2:$M$1993,MATCH(A523&amp;"ENTRADA",Movimientos!$R$2:$R$1993,0))=0,"S/D",INDEX(Movimientos!$M$2:$M$1993,MATCH(A523&amp;"ENTRADA",Movimientos!$R$2:$R$1993,0))),"S/D")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2830</v>
      </c>
      <c r="B524" s="2" t="str">
        <f>IFERROR(INDEX(Movimientos!$C$2:$C$1993,MATCH(A524&amp;"ENTRADA",Movimientos!$R$2:$R$1993,0)),"-")</f>
        <v>-</v>
      </c>
      <c r="C524" s="2" t="str">
        <f>IFERROR(INDEX(Movimientos!$D$2:$D$1993,MATCH(A524&amp;"ENTRADA",Movimientos!$R$2:$R$1993,0)),"-")</f>
        <v>-</v>
      </c>
      <c r="D524" s="2" t="str">
        <f>IFERROR(INDEX(Movimientos!$E$2:$E$1993,MATCH(A524&amp;"ENTRADA",Movimientos!$R$2:$R$1993,0)),"-")</f>
        <v>-</v>
      </c>
      <c r="E524" s="2" t="str">
        <f>IFERROR(INDEX(Movimientos!$F$2:$F$1993,MATCH(A524&amp;"ENTRADA",Movimientos!$R$2:$R$1993,0)),"-")</f>
        <v>-</v>
      </c>
      <c r="F524" s="2" t="str">
        <f>IFERROR(INDEX(Movimientos!$G$2:$G$1993,MATCH(A524&amp;"ENTRADA",Movimientos!$R$2:$R$1993,0)),"-")</f>
        <v>-</v>
      </c>
      <c r="G524" s="2" t="str">
        <f>IFERROR(INDEX(Movimientos!$L$2:$L$1993,MATCH(A524&amp;"ENTRADA",Movimientos!$R$2:$R$1993,0)),"-")</f>
        <v>-</v>
      </c>
      <c r="H524" s="17" t="str">
        <f>IFERROR(IF(INDEX(Movimientos!$M$2:$M$1993,MATCH(A524&amp;"ENTRADA",Movimientos!$R$2:$R$1993,0))=0,"S/D",INDEX(Movimientos!$M$2:$M$1993,MATCH(A524&amp;"ENTRADA",Movimientos!$R$2:$R$1993,0))),"S/D")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2831</v>
      </c>
      <c r="B525" s="2" t="str">
        <f>IFERROR(INDEX(Movimientos!$C$2:$C$1993,MATCH(A525&amp;"ENTRADA",Movimientos!$R$2:$R$1993,0)),"-")</f>
        <v>-</v>
      </c>
      <c r="C525" s="2" t="str">
        <f>IFERROR(INDEX(Movimientos!$D$2:$D$1993,MATCH(A525&amp;"ENTRADA",Movimientos!$R$2:$R$1993,0)),"-")</f>
        <v>-</v>
      </c>
      <c r="D525" s="2" t="str">
        <f>IFERROR(INDEX(Movimientos!$E$2:$E$1993,MATCH(A525&amp;"ENTRADA",Movimientos!$R$2:$R$1993,0)),"-")</f>
        <v>-</v>
      </c>
      <c r="E525" s="2" t="str">
        <f>IFERROR(INDEX(Movimientos!$F$2:$F$1993,MATCH(A525&amp;"ENTRADA",Movimientos!$R$2:$R$1993,0)),"-")</f>
        <v>-</v>
      </c>
      <c r="F525" s="2" t="str">
        <f>IFERROR(INDEX(Movimientos!$G$2:$G$1993,MATCH(A525&amp;"ENTRADA",Movimientos!$R$2:$R$1993,0)),"-")</f>
        <v>-</v>
      </c>
      <c r="G525" s="2" t="str">
        <f>IFERROR(INDEX(Movimientos!$L$2:$L$1993,MATCH(A525&amp;"ENTRADA",Movimientos!$R$2:$R$1993,0)),"-")</f>
        <v>-</v>
      </c>
      <c r="H525" s="17" t="str">
        <f>IFERROR(IF(INDEX(Movimientos!$M$2:$M$1993,MATCH(A525&amp;"ENTRADA",Movimientos!$R$2:$R$1993,0))=0,"S/D",INDEX(Movimientos!$M$2:$M$1993,MATCH(A525&amp;"ENTRADA",Movimientos!$R$2:$R$1993,0))),"S/D")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2832</v>
      </c>
      <c r="B526" s="2" t="str">
        <f>IFERROR(INDEX(Movimientos!$C$2:$C$1993,MATCH(A526&amp;"ENTRADA",Movimientos!$R$2:$R$1993,0)),"-")</f>
        <v>-</v>
      </c>
      <c r="C526" s="2" t="str">
        <f>IFERROR(INDEX(Movimientos!$D$2:$D$1993,MATCH(A526&amp;"ENTRADA",Movimientos!$R$2:$R$1993,0)),"-")</f>
        <v>-</v>
      </c>
      <c r="D526" s="2" t="str">
        <f>IFERROR(INDEX(Movimientos!$E$2:$E$1993,MATCH(A526&amp;"ENTRADA",Movimientos!$R$2:$R$1993,0)),"-")</f>
        <v>-</v>
      </c>
      <c r="E526" s="2" t="str">
        <f>IFERROR(INDEX(Movimientos!$F$2:$F$1993,MATCH(A526&amp;"ENTRADA",Movimientos!$R$2:$R$1993,0)),"-")</f>
        <v>-</v>
      </c>
      <c r="F526" s="2" t="str">
        <f>IFERROR(INDEX(Movimientos!$G$2:$G$1993,MATCH(A526&amp;"ENTRADA",Movimientos!$R$2:$R$1993,0)),"-")</f>
        <v>-</v>
      </c>
      <c r="G526" s="2" t="str">
        <f>IFERROR(INDEX(Movimientos!$L$2:$L$1993,MATCH(A526&amp;"ENTRADA",Movimientos!$R$2:$R$1993,0)),"-")</f>
        <v>-</v>
      </c>
      <c r="H526" s="17" t="str">
        <f>IFERROR(IF(INDEX(Movimientos!$M$2:$M$1993,MATCH(A526&amp;"ENTRADA",Movimientos!$R$2:$R$1993,0))=0,"S/D",INDEX(Movimientos!$M$2:$M$1993,MATCH(A526&amp;"ENTRADA",Movimientos!$R$2:$R$1993,0))),"S/D")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2833</v>
      </c>
      <c r="B527" s="2" t="str">
        <f>IFERROR(INDEX(Movimientos!$C$2:$C$1993,MATCH(A527&amp;"ENTRADA",Movimientos!$R$2:$R$1993,0)),"-")</f>
        <v>-</v>
      </c>
      <c r="C527" s="2" t="str">
        <f>IFERROR(INDEX(Movimientos!$D$2:$D$1993,MATCH(A527&amp;"ENTRADA",Movimientos!$R$2:$R$1993,0)),"-")</f>
        <v>-</v>
      </c>
      <c r="D527" s="2" t="str">
        <f>IFERROR(INDEX(Movimientos!$E$2:$E$1993,MATCH(A527&amp;"ENTRADA",Movimientos!$R$2:$R$1993,0)),"-")</f>
        <v>-</v>
      </c>
      <c r="E527" s="2" t="str">
        <f>IFERROR(INDEX(Movimientos!$F$2:$F$1993,MATCH(A527&amp;"ENTRADA",Movimientos!$R$2:$R$1993,0)),"-")</f>
        <v>-</v>
      </c>
      <c r="F527" s="2" t="str">
        <f>IFERROR(INDEX(Movimientos!$G$2:$G$1993,MATCH(A527&amp;"ENTRADA",Movimientos!$R$2:$R$1993,0)),"-")</f>
        <v>-</v>
      </c>
      <c r="G527" s="2" t="str">
        <f>IFERROR(INDEX(Movimientos!$L$2:$L$1993,MATCH(A527&amp;"ENTRADA",Movimientos!$R$2:$R$1993,0)),"-")</f>
        <v>-</v>
      </c>
      <c r="H527" s="17" t="str">
        <f>IFERROR(IF(INDEX(Movimientos!$M$2:$M$1993,MATCH(A527&amp;"ENTRADA",Movimientos!$R$2:$R$1993,0))=0,"S/D",INDEX(Movimientos!$M$2:$M$1993,MATCH(A527&amp;"ENTRADA",Movimientos!$R$2:$R$1993,0))),"S/D")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2834</v>
      </c>
      <c r="B528" s="2" t="str">
        <f>IFERROR(INDEX(Movimientos!$C$2:$C$1993,MATCH(A528&amp;"ENTRADA",Movimientos!$R$2:$R$1993,0)),"-")</f>
        <v>-</v>
      </c>
      <c r="C528" s="2" t="str">
        <f>IFERROR(INDEX(Movimientos!$D$2:$D$1993,MATCH(A528&amp;"ENTRADA",Movimientos!$R$2:$R$1993,0)),"-")</f>
        <v>-</v>
      </c>
      <c r="D528" s="2" t="str">
        <f>IFERROR(INDEX(Movimientos!$E$2:$E$1993,MATCH(A528&amp;"ENTRADA",Movimientos!$R$2:$R$1993,0)),"-")</f>
        <v>-</v>
      </c>
      <c r="E528" s="2" t="str">
        <f>IFERROR(INDEX(Movimientos!$F$2:$F$1993,MATCH(A528&amp;"ENTRADA",Movimientos!$R$2:$R$1993,0)),"-")</f>
        <v>-</v>
      </c>
      <c r="F528" s="2" t="str">
        <f>IFERROR(INDEX(Movimientos!$G$2:$G$1993,MATCH(A528&amp;"ENTRADA",Movimientos!$R$2:$R$1993,0)),"-")</f>
        <v>-</v>
      </c>
      <c r="G528" s="2" t="str">
        <f>IFERROR(INDEX(Movimientos!$L$2:$L$1993,MATCH(A528&amp;"ENTRADA",Movimientos!$R$2:$R$1993,0)),"-")</f>
        <v>-</v>
      </c>
      <c r="H528" s="17" t="str">
        <f>IFERROR(IF(INDEX(Movimientos!$M$2:$M$1993,MATCH(A528&amp;"ENTRADA",Movimientos!$R$2:$R$1993,0))=0,"S/D",INDEX(Movimientos!$M$2:$M$1993,MATCH(A528&amp;"ENTRADA",Movimientos!$R$2:$R$1993,0))),"S/D")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2835</v>
      </c>
      <c r="B529" s="2" t="str">
        <f>IFERROR(INDEX(Movimientos!$C$2:$C$1993,MATCH(A529&amp;"ENTRADA",Movimientos!$R$2:$R$1993,0)),"-")</f>
        <v>-</v>
      </c>
      <c r="C529" s="2" t="str">
        <f>IFERROR(INDEX(Movimientos!$D$2:$D$1993,MATCH(A529&amp;"ENTRADA",Movimientos!$R$2:$R$1993,0)),"-")</f>
        <v>-</v>
      </c>
      <c r="D529" s="2" t="str">
        <f>IFERROR(INDEX(Movimientos!$E$2:$E$1993,MATCH(A529&amp;"ENTRADA",Movimientos!$R$2:$R$1993,0)),"-")</f>
        <v>-</v>
      </c>
      <c r="E529" s="2" t="str">
        <f>IFERROR(INDEX(Movimientos!$F$2:$F$1993,MATCH(A529&amp;"ENTRADA",Movimientos!$R$2:$R$1993,0)),"-")</f>
        <v>-</v>
      </c>
      <c r="F529" s="2" t="str">
        <f>IFERROR(INDEX(Movimientos!$G$2:$G$1993,MATCH(A529&amp;"ENTRADA",Movimientos!$R$2:$R$1993,0)),"-")</f>
        <v>-</v>
      </c>
      <c r="G529" s="2" t="str">
        <f>IFERROR(INDEX(Movimientos!$L$2:$L$1993,MATCH(A529&amp;"ENTRADA",Movimientos!$R$2:$R$1993,0)),"-")</f>
        <v>-</v>
      </c>
      <c r="H529" s="17" t="str">
        <f>IFERROR(IF(INDEX(Movimientos!$M$2:$M$1993,MATCH(A529&amp;"ENTRADA",Movimientos!$R$2:$R$1993,0))=0,"S/D",INDEX(Movimientos!$M$2:$M$1993,MATCH(A529&amp;"ENTRADA",Movimientos!$R$2:$R$1993,0))),"S/D")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2836</v>
      </c>
      <c r="B530" s="2" t="str">
        <f>IFERROR(INDEX(Movimientos!$C$2:$C$1993,MATCH(A530&amp;"ENTRADA",Movimientos!$R$2:$R$1993,0)),"-")</f>
        <v>-</v>
      </c>
      <c r="C530" s="2" t="str">
        <f>IFERROR(INDEX(Movimientos!$D$2:$D$1993,MATCH(A530&amp;"ENTRADA",Movimientos!$R$2:$R$1993,0)),"-")</f>
        <v>-</v>
      </c>
      <c r="D530" s="2" t="str">
        <f>IFERROR(INDEX(Movimientos!$E$2:$E$1993,MATCH(A530&amp;"ENTRADA",Movimientos!$R$2:$R$1993,0)),"-")</f>
        <v>-</v>
      </c>
      <c r="E530" s="2" t="str">
        <f>IFERROR(INDEX(Movimientos!$F$2:$F$1993,MATCH(A530&amp;"ENTRADA",Movimientos!$R$2:$R$1993,0)),"-")</f>
        <v>-</v>
      </c>
      <c r="F530" s="2" t="str">
        <f>IFERROR(INDEX(Movimientos!$G$2:$G$1993,MATCH(A530&amp;"ENTRADA",Movimientos!$R$2:$R$1993,0)),"-")</f>
        <v>-</v>
      </c>
      <c r="G530" s="2" t="str">
        <f>IFERROR(INDEX(Movimientos!$L$2:$L$1993,MATCH(A530&amp;"ENTRADA",Movimientos!$R$2:$R$1993,0)),"-")</f>
        <v>-</v>
      </c>
      <c r="H530" s="17" t="str">
        <f>IFERROR(IF(INDEX(Movimientos!$M$2:$M$1993,MATCH(A530&amp;"ENTRADA",Movimientos!$R$2:$R$1993,0))=0,"S/D",INDEX(Movimientos!$M$2:$M$1993,MATCH(A530&amp;"ENTRADA",Movimientos!$R$2:$R$1993,0))),"S/D")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2837</v>
      </c>
      <c r="B531" s="2" t="str">
        <f>IFERROR(INDEX(Movimientos!$C$2:$C$1993,MATCH(A531&amp;"ENTRADA",Movimientos!$R$2:$R$1993,0)),"-")</f>
        <v>-</v>
      </c>
      <c r="C531" s="2" t="str">
        <f>IFERROR(INDEX(Movimientos!$D$2:$D$1993,MATCH(A531&amp;"ENTRADA",Movimientos!$R$2:$R$1993,0)),"-")</f>
        <v>-</v>
      </c>
      <c r="D531" s="2" t="str">
        <f>IFERROR(INDEX(Movimientos!$E$2:$E$1993,MATCH(A531&amp;"ENTRADA",Movimientos!$R$2:$R$1993,0)),"-")</f>
        <v>-</v>
      </c>
      <c r="E531" s="2" t="str">
        <f>IFERROR(INDEX(Movimientos!$F$2:$F$1993,MATCH(A531&amp;"ENTRADA",Movimientos!$R$2:$R$1993,0)),"-")</f>
        <v>-</v>
      </c>
      <c r="F531" s="2" t="str">
        <f>IFERROR(INDEX(Movimientos!$G$2:$G$1993,MATCH(A531&amp;"ENTRADA",Movimientos!$R$2:$R$1993,0)),"-")</f>
        <v>-</v>
      </c>
      <c r="G531" s="2" t="str">
        <f>IFERROR(INDEX(Movimientos!$L$2:$L$1993,MATCH(A531&amp;"ENTRADA",Movimientos!$R$2:$R$1993,0)),"-")</f>
        <v>-</v>
      </c>
      <c r="H531" s="17" t="str">
        <f>IFERROR(IF(INDEX(Movimientos!$M$2:$M$1993,MATCH(A531&amp;"ENTRADA",Movimientos!$R$2:$R$1993,0))=0,"S/D",INDEX(Movimientos!$M$2:$M$1993,MATCH(A531&amp;"ENTRADA",Movimientos!$R$2:$R$1993,0))),"S/D")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2838</v>
      </c>
      <c r="B532" s="2" t="str">
        <f>IFERROR(INDEX(Movimientos!$C$2:$C$1993,MATCH(A532&amp;"ENTRADA",Movimientos!$R$2:$R$1993,0)),"-")</f>
        <v>-</v>
      </c>
      <c r="C532" s="2" t="str">
        <f>IFERROR(INDEX(Movimientos!$D$2:$D$1993,MATCH(A532&amp;"ENTRADA",Movimientos!$R$2:$R$1993,0)),"-")</f>
        <v>-</v>
      </c>
      <c r="D532" s="2" t="str">
        <f>IFERROR(INDEX(Movimientos!$E$2:$E$1993,MATCH(A532&amp;"ENTRADA",Movimientos!$R$2:$R$1993,0)),"-")</f>
        <v>-</v>
      </c>
      <c r="E532" s="2" t="str">
        <f>IFERROR(INDEX(Movimientos!$F$2:$F$1993,MATCH(A532&amp;"ENTRADA",Movimientos!$R$2:$R$1993,0)),"-")</f>
        <v>-</v>
      </c>
      <c r="F532" s="2" t="str">
        <f>IFERROR(INDEX(Movimientos!$G$2:$G$1993,MATCH(A532&amp;"ENTRADA",Movimientos!$R$2:$R$1993,0)),"-")</f>
        <v>-</v>
      </c>
      <c r="G532" s="2" t="str">
        <f>IFERROR(INDEX(Movimientos!$L$2:$L$1993,MATCH(A532&amp;"ENTRADA",Movimientos!$R$2:$R$1993,0)),"-")</f>
        <v>-</v>
      </c>
      <c r="H532" s="17" t="str">
        <f>IFERROR(IF(INDEX(Movimientos!$M$2:$M$1993,MATCH(A532&amp;"ENTRADA",Movimientos!$R$2:$R$1993,0))=0,"S/D",INDEX(Movimientos!$M$2:$M$1993,MATCH(A532&amp;"ENTRADA",Movimientos!$R$2:$R$1993,0))),"S/D")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2839</v>
      </c>
      <c r="B533" s="2" t="str">
        <f>IFERROR(INDEX(Movimientos!$C$2:$C$1993,MATCH(A533&amp;"ENTRADA",Movimientos!$R$2:$R$1993,0)),"-")</f>
        <v>-</v>
      </c>
      <c r="C533" s="2" t="str">
        <f>IFERROR(INDEX(Movimientos!$D$2:$D$1993,MATCH(A533&amp;"ENTRADA",Movimientos!$R$2:$R$1993,0)),"-")</f>
        <v>-</v>
      </c>
      <c r="D533" s="2" t="str">
        <f>IFERROR(INDEX(Movimientos!$E$2:$E$1993,MATCH(A533&amp;"ENTRADA",Movimientos!$R$2:$R$1993,0)),"-")</f>
        <v>-</v>
      </c>
      <c r="E533" s="2" t="str">
        <f>IFERROR(INDEX(Movimientos!$F$2:$F$1993,MATCH(A533&amp;"ENTRADA",Movimientos!$R$2:$R$1993,0)),"-")</f>
        <v>-</v>
      </c>
      <c r="F533" s="2" t="str">
        <f>IFERROR(INDEX(Movimientos!$G$2:$G$1993,MATCH(A533&amp;"ENTRADA",Movimientos!$R$2:$R$1993,0)),"-")</f>
        <v>-</v>
      </c>
      <c r="G533" s="2" t="str">
        <f>IFERROR(INDEX(Movimientos!$L$2:$L$1993,MATCH(A533&amp;"ENTRADA",Movimientos!$R$2:$R$1993,0)),"-")</f>
        <v>-</v>
      </c>
      <c r="H533" s="17" t="str">
        <f>IFERROR(IF(INDEX(Movimientos!$M$2:$M$1993,MATCH(A533&amp;"ENTRADA",Movimientos!$R$2:$R$1993,0))=0,"S/D",INDEX(Movimientos!$M$2:$M$1993,MATCH(A533&amp;"ENTRADA",Movimientos!$R$2:$R$1993,0))),"S/D")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2840</v>
      </c>
      <c r="B534" s="2" t="str">
        <f>IFERROR(INDEX(Movimientos!$C$2:$C$1993,MATCH(A534&amp;"ENTRADA",Movimientos!$R$2:$R$1993,0)),"-")</f>
        <v>-</v>
      </c>
      <c r="C534" s="2" t="str">
        <f>IFERROR(INDEX(Movimientos!$D$2:$D$1993,MATCH(A534&amp;"ENTRADA",Movimientos!$R$2:$R$1993,0)),"-")</f>
        <v>-</v>
      </c>
      <c r="D534" s="2" t="str">
        <f>IFERROR(INDEX(Movimientos!$E$2:$E$1993,MATCH(A534&amp;"ENTRADA",Movimientos!$R$2:$R$1993,0)),"-")</f>
        <v>-</v>
      </c>
      <c r="E534" s="2" t="str">
        <f>IFERROR(INDEX(Movimientos!$F$2:$F$1993,MATCH(A534&amp;"ENTRADA",Movimientos!$R$2:$R$1993,0)),"-")</f>
        <v>-</v>
      </c>
      <c r="F534" s="2" t="str">
        <f>IFERROR(INDEX(Movimientos!$G$2:$G$1993,MATCH(A534&amp;"ENTRADA",Movimientos!$R$2:$R$1993,0)),"-")</f>
        <v>-</v>
      </c>
      <c r="G534" s="2" t="str">
        <f>IFERROR(INDEX(Movimientos!$L$2:$L$1993,MATCH(A534&amp;"ENTRADA",Movimientos!$R$2:$R$1993,0)),"-")</f>
        <v>-</v>
      </c>
      <c r="H534" s="17" t="str">
        <f>IFERROR(IF(INDEX(Movimientos!$M$2:$M$1993,MATCH(A534&amp;"ENTRADA",Movimientos!$R$2:$R$1993,0))=0,"S/D",INDEX(Movimientos!$M$2:$M$1993,MATCH(A534&amp;"ENTRADA",Movimientos!$R$2:$R$1993,0))),"S/D")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2841</v>
      </c>
      <c r="B535" s="2" t="str">
        <f>IFERROR(INDEX(Movimientos!$C$2:$C$1993,MATCH(A535&amp;"ENTRADA",Movimientos!$R$2:$R$1993,0)),"-")</f>
        <v>-</v>
      </c>
      <c r="C535" s="2" t="str">
        <f>IFERROR(INDEX(Movimientos!$D$2:$D$1993,MATCH(A535&amp;"ENTRADA",Movimientos!$R$2:$R$1993,0)),"-")</f>
        <v>-</v>
      </c>
      <c r="D535" s="2" t="str">
        <f>IFERROR(INDEX(Movimientos!$E$2:$E$1993,MATCH(A535&amp;"ENTRADA",Movimientos!$R$2:$R$1993,0)),"-")</f>
        <v>-</v>
      </c>
      <c r="E535" s="2" t="str">
        <f>IFERROR(INDEX(Movimientos!$F$2:$F$1993,MATCH(A535&amp;"ENTRADA",Movimientos!$R$2:$R$1993,0)),"-")</f>
        <v>-</v>
      </c>
      <c r="F535" s="2" t="str">
        <f>IFERROR(INDEX(Movimientos!$G$2:$G$1993,MATCH(A535&amp;"ENTRADA",Movimientos!$R$2:$R$1993,0)),"-")</f>
        <v>-</v>
      </c>
      <c r="G535" s="2" t="str">
        <f>IFERROR(INDEX(Movimientos!$L$2:$L$1993,MATCH(A535&amp;"ENTRADA",Movimientos!$R$2:$R$1993,0)),"-")</f>
        <v>-</v>
      </c>
      <c r="H535" s="17" t="str">
        <f>IFERROR(IF(INDEX(Movimientos!$M$2:$M$1993,MATCH(A535&amp;"ENTRADA",Movimientos!$R$2:$R$1993,0))=0,"S/D",INDEX(Movimientos!$M$2:$M$1993,MATCH(A535&amp;"ENTRADA",Movimientos!$R$2:$R$1993,0))),"S/D")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2842</v>
      </c>
      <c r="B536" s="2" t="str">
        <f>IFERROR(INDEX(Movimientos!$C$2:$C$1993,MATCH(A536&amp;"ENTRADA",Movimientos!$R$2:$R$1993,0)),"-")</f>
        <v>-</v>
      </c>
      <c r="C536" s="2" t="str">
        <f>IFERROR(INDEX(Movimientos!$D$2:$D$1993,MATCH(A536&amp;"ENTRADA",Movimientos!$R$2:$R$1993,0)),"-")</f>
        <v>-</v>
      </c>
      <c r="D536" s="2" t="str">
        <f>IFERROR(INDEX(Movimientos!$E$2:$E$1993,MATCH(A536&amp;"ENTRADA",Movimientos!$R$2:$R$1993,0)),"-")</f>
        <v>-</v>
      </c>
      <c r="E536" s="2" t="str">
        <f>IFERROR(INDEX(Movimientos!$F$2:$F$1993,MATCH(A536&amp;"ENTRADA",Movimientos!$R$2:$R$1993,0)),"-")</f>
        <v>-</v>
      </c>
      <c r="F536" s="2" t="str">
        <f>IFERROR(INDEX(Movimientos!$G$2:$G$1993,MATCH(A536&amp;"ENTRADA",Movimientos!$R$2:$R$1993,0)),"-")</f>
        <v>-</v>
      </c>
      <c r="G536" s="2" t="str">
        <f>IFERROR(INDEX(Movimientos!$L$2:$L$1993,MATCH(A536&amp;"ENTRADA",Movimientos!$R$2:$R$1993,0)),"-")</f>
        <v>-</v>
      </c>
      <c r="H536" s="17" t="str">
        <f>IFERROR(IF(INDEX(Movimientos!$M$2:$M$1993,MATCH(A536&amp;"ENTRADA",Movimientos!$R$2:$R$1993,0))=0,"S/D",INDEX(Movimientos!$M$2:$M$1993,MATCH(A536&amp;"ENTRADA",Movimientos!$R$2:$R$1993,0))),"S/D")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2843</v>
      </c>
      <c r="B537" s="2" t="str">
        <f>IFERROR(INDEX(Movimientos!$C$2:$C$1993,MATCH(A537&amp;"ENTRADA",Movimientos!$R$2:$R$1993,0)),"-")</f>
        <v>-</v>
      </c>
      <c r="C537" s="2" t="str">
        <f>IFERROR(INDEX(Movimientos!$D$2:$D$1993,MATCH(A537&amp;"ENTRADA",Movimientos!$R$2:$R$1993,0)),"-")</f>
        <v>-</v>
      </c>
      <c r="D537" s="2" t="str">
        <f>IFERROR(INDEX(Movimientos!$E$2:$E$1993,MATCH(A537&amp;"ENTRADA",Movimientos!$R$2:$R$1993,0)),"-")</f>
        <v>-</v>
      </c>
      <c r="E537" s="2" t="str">
        <f>IFERROR(INDEX(Movimientos!$F$2:$F$1993,MATCH(A537&amp;"ENTRADA",Movimientos!$R$2:$R$1993,0)),"-")</f>
        <v>-</v>
      </c>
      <c r="F537" s="2" t="str">
        <f>IFERROR(INDEX(Movimientos!$G$2:$G$1993,MATCH(A537&amp;"ENTRADA",Movimientos!$R$2:$R$1993,0)),"-")</f>
        <v>-</v>
      </c>
      <c r="G537" s="2" t="str">
        <f>IFERROR(INDEX(Movimientos!$L$2:$L$1993,MATCH(A537&amp;"ENTRADA",Movimientos!$R$2:$R$1993,0)),"-")</f>
        <v>-</v>
      </c>
      <c r="H537" s="17" t="str">
        <f>IFERROR(IF(INDEX(Movimientos!$M$2:$M$1993,MATCH(A537&amp;"ENTRADA",Movimientos!$R$2:$R$1993,0))=0,"S/D",INDEX(Movimientos!$M$2:$M$1993,MATCH(A537&amp;"ENTRADA",Movimientos!$R$2:$R$1993,0))),"S/D")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2844</v>
      </c>
      <c r="B538" s="2" t="str">
        <f>IFERROR(INDEX(Movimientos!$C$2:$C$1993,MATCH(A538&amp;"ENTRADA",Movimientos!$R$2:$R$1993,0)),"-")</f>
        <v>-</v>
      </c>
      <c r="C538" s="2" t="str">
        <f>IFERROR(INDEX(Movimientos!$D$2:$D$1993,MATCH(A538&amp;"ENTRADA",Movimientos!$R$2:$R$1993,0)),"-")</f>
        <v>-</v>
      </c>
      <c r="D538" s="2" t="str">
        <f>IFERROR(INDEX(Movimientos!$E$2:$E$1993,MATCH(A538&amp;"ENTRADA",Movimientos!$R$2:$R$1993,0)),"-")</f>
        <v>-</v>
      </c>
      <c r="E538" s="2" t="str">
        <f>IFERROR(INDEX(Movimientos!$F$2:$F$1993,MATCH(A538&amp;"ENTRADA",Movimientos!$R$2:$R$1993,0)),"-")</f>
        <v>-</v>
      </c>
      <c r="F538" s="2" t="str">
        <f>IFERROR(INDEX(Movimientos!$G$2:$G$1993,MATCH(A538&amp;"ENTRADA",Movimientos!$R$2:$R$1993,0)),"-")</f>
        <v>-</v>
      </c>
      <c r="G538" s="2" t="str">
        <f>IFERROR(INDEX(Movimientos!$L$2:$L$1993,MATCH(A538&amp;"ENTRADA",Movimientos!$R$2:$R$1993,0)),"-")</f>
        <v>-</v>
      </c>
      <c r="H538" s="17" t="str">
        <f>IFERROR(IF(INDEX(Movimientos!$M$2:$M$1993,MATCH(A538&amp;"ENTRADA",Movimientos!$R$2:$R$1993,0))=0,"S/D",INDEX(Movimientos!$M$2:$M$1993,MATCH(A538&amp;"ENTRADA",Movimientos!$R$2:$R$1993,0))),"S/D")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2845</v>
      </c>
      <c r="B539" s="2" t="str">
        <f>IFERROR(INDEX(Movimientos!$C$2:$C$1993,MATCH(A539&amp;"ENTRADA",Movimientos!$R$2:$R$1993,0)),"-")</f>
        <v>-</v>
      </c>
      <c r="C539" s="2" t="str">
        <f>IFERROR(INDEX(Movimientos!$D$2:$D$1993,MATCH(A539&amp;"ENTRADA",Movimientos!$R$2:$R$1993,0)),"-")</f>
        <v>-</v>
      </c>
      <c r="D539" s="2" t="str">
        <f>IFERROR(INDEX(Movimientos!$E$2:$E$1993,MATCH(A539&amp;"ENTRADA",Movimientos!$R$2:$R$1993,0)),"-")</f>
        <v>-</v>
      </c>
      <c r="E539" s="2" t="str">
        <f>IFERROR(INDEX(Movimientos!$F$2:$F$1993,MATCH(A539&amp;"ENTRADA",Movimientos!$R$2:$R$1993,0)),"-")</f>
        <v>-</v>
      </c>
      <c r="F539" s="2" t="str">
        <f>IFERROR(INDEX(Movimientos!$G$2:$G$1993,MATCH(A539&amp;"ENTRADA",Movimientos!$R$2:$R$1993,0)),"-")</f>
        <v>-</v>
      </c>
      <c r="G539" s="2" t="str">
        <f>IFERROR(INDEX(Movimientos!$L$2:$L$1993,MATCH(A539&amp;"ENTRADA",Movimientos!$R$2:$R$1993,0)),"-")</f>
        <v>-</v>
      </c>
      <c r="H539" s="17" t="str">
        <f>IFERROR(IF(INDEX(Movimientos!$M$2:$M$1993,MATCH(A539&amp;"ENTRADA",Movimientos!$R$2:$R$1993,0))=0,"S/D",INDEX(Movimientos!$M$2:$M$1993,MATCH(A539&amp;"ENTRADA",Movimientos!$R$2:$R$1993,0))),"S/D")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2846</v>
      </c>
      <c r="B540" s="2" t="str">
        <f>IFERROR(INDEX(Movimientos!$C$2:$C$1993,MATCH(A540&amp;"ENTRADA",Movimientos!$R$2:$R$1993,0)),"-")</f>
        <v>-</v>
      </c>
      <c r="C540" s="2" t="str">
        <f>IFERROR(INDEX(Movimientos!$D$2:$D$1993,MATCH(A540&amp;"ENTRADA",Movimientos!$R$2:$R$1993,0)),"-")</f>
        <v>-</v>
      </c>
      <c r="D540" s="2" t="str">
        <f>IFERROR(INDEX(Movimientos!$E$2:$E$1993,MATCH(A540&amp;"ENTRADA",Movimientos!$R$2:$R$1993,0)),"-")</f>
        <v>-</v>
      </c>
      <c r="E540" s="2" t="str">
        <f>IFERROR(INDEX(Movimientos!$F$2:$F$1993,MATCH(A540&amp;"ENTRADA",Movimientos!$R$2:$R$1993,0)),"-")</f>
        <v>-</v>
      </c>
      <c r="F540" s="2" t="str">
        <f>IFERROR(INDEX(Movimientos!$G$2:$G$1993,MATCH(A540&amp;"ENTRADA",Movimientos!$R$2:$R$1993,0)),"-")</f>
        <v>-</v>
      </c>
      <c r="G540" s="2" t="str">
        <f>IFERROR(INDEX(Movimientos!$L$2:$L$1993,MATCH(A540&amp;"ENTRADA",Movimientos!$R$2:$R$1993,0)),"-")</f>
        <v>-</v>
      </c>
      <c r="H540" s="17" t="str">
        <f>IFERROR(IF(INDEX(Movimientos!$M$2:$M$1993,MATCH(A540&amp;"ENTRADA",Movimientos!$R$2:$R$1993,0))=0,"S/D",INDEX(Movimientos!$M$2:$M$1993,MATCH(A540&amp;"ENTRADA",Movimientos!$R$2:$R$1993,0))),"S/D")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2847</v>
      </c>
      <c r="B541" s="2" t="str">
        <f>IFERROR(INDEX(Movimientos!$C$2:$C$1993,MATCH(A541&amp;"ENTRADA",Movimientos!$R$2:$R$1993,0)),"-")</f>
        <v>-</v>
      </c>
      <c r="C541" s="2" t="str">
        <f>IFERROR(INDEX(Movimientos!$D$2:$D$1993,MATCH(A541&amp;"ENTRADA",Movimientos!$R$2:$R$1993,0)),"-")</f>
        <v>-</v>
      </c>
      <c r="D541" s="2" t="str">
        <f>IFERROR(INDEX(Movimientos!$E$2:$E$1993,MATCH(A541&amp;"ENTRADA",Movimientos!$R$2:$R$1993,0)),"-")</f>
        <v>-</v>
      </c>
      <c r="E541" s="2" t="str">
        <f>IFERROR(INDEX(Movimientos!$F$2:$F$1993,MATCH(A541&amp;"ENTRADA",Movimientos!$R$2:$R$1993,0)),"-")</f>
        <v>-</v>
      </c>
      <c r="F541" s="2" t="str">
        <f>IFERROR(INDEX(Movimientos!$G$2:$G$1993,MATCH(A541&amp;"ENTRADA",Movimientos!$R$2:$R$1993,0)),"-")</f>
        <v>-</v>
      </c>
      <c r="G541" s="2" t="str">
        <f>IFERROR(INDEX(Movimientos!$L$2:$L$1993,MATCH(A541&amp;"ENTRADA",Movimientos!$R$2:$R$1993,0)),"-")</f>
        <v>-</v>
      </c>
      <c r="H541" s="17" t="str">
        <f>IFERROR(IF(INDEX(Movimientos!$M$2:$M$1993,MATCH(A541&amp;"ENTRADA",Movimientos!$R$2:$R$1993,0))=0,"S/D",INDEX(Movimientos!$M$2:$M$1993,MATCH(A541&amp;"ENTRADA",Movimientos!$R$2:$R$1993,0))),"S/D")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2848</v>
      </c>
      <c r="B542" s="2" t="str">
        <f>IFERROR(INDEX(Movimientos!$C$2:$C$1993,MATCH(A542&amp;"ENTRADA",Movimientos!$R$2:$R$1993,0)),"-")</f>
        <v>-</v>
      </c>
      <c r="C542" s="2" t="str">
        <f>IFERROR(INDEX(Movimientos!$D$2:$D$1993,MATCH(A542&amp;"ENTRADA",Movimientos!$R$2:$R$1993,0)),"-")</f>
        <v>-</v>
      </c>
      <c r="D542" s="2" t="str">
        <f>IFERROR(INDEX(Movimientos!$E$2:$E$1993,MATCH(A542&amp;"ENTRADA",Movimientos!$R$2:$R$1993,0)),"-")</f>
        <v>-</v>
      </c>
      <c r="E542" s="2" t="str">
        <f>IFERROR(INDEX(Movimientos!$F$2:$F$1993,MATCH(A542&amp;"ENTRADA",Movimientos!$R$2:$R$1993,0)),"-")</f>
        <v>-</v>
      </c>
      <c r="F542" s="2" t="str">
        <f>IFERROR(INDEX(Movimientos!$G$2:$G$1993,MATCH(A542&amp;"ENTRADA",Movimientos!$R$2:$R$1993,0)),"-")</f>
        <v>-</v>
      </c>
      <c r="G542" s="2" t="str">
        <f>IFERROR(INDEX(Movimientos!$L$2:$L$1993,MATCH(A542&amp;"ENTRADA",Movimientos!$R$2:$R$1993,0)),"-")</f>
        <v>-</v>
      </c>
      <c r="H542" s="17" t="str">
        <f>IFERROR(IF(INDEX(Movimientos!$M$2:$M$1993,MATCH(A542&amp;"ENTRADA",Movimientos!$R$2:$R$1993,0))=0,"S/D",INDEX(Movimientos!$M$2:$M$1993,MATCH(A542&amp;"ENTRADA",Movimientos!$R$2:$R$1993,0))),"S/D")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2849</v>
      </c>
      <c r="B543" s="2" t="str">
        <f>IFERROR(INDEX(Movimientos!$C$2:$C$1993,MATCH(A543&amp;"ENTRADA",Movimientos!$R$2:$R$1993,0)),"-")</f>
        <v>-</v>
      </c>
      <c r="C543" s="2" t="str">
        <f>IFERROR(INDEX(Movimientos!$D$2:$D$1993,MATCH(A543&amp;"ENTRADA",Movimientos!$R$2:$R$1993,0)),"-")</f>
        <v>-</v>
      </c>
      <c r="D543" s="2" t="str">
        <f>IFERROR(INDEX(Movimientos!$E$2:$E$1993,MATCH(A543&amp;"ENTRADA",Movimientos!$R$2:$R$1993,0)),"-")</f>
        <v>-</v>
      </c>
      <c r="E543" s="2" t="str">
        <f>IFERROR(INDEX(Movimientos!$F$2:$F$1993,MATCH(A543&amp;"ENTRADA",Movimientos!$R$2:$R$1993,0)),"-")</f>
        <v>-</v>
      </c>
      <c r="F543" s="2" t="str">
        <f>IFERROR(INDEX(Movimientos!$G$2:$G$1993,MATCH(A543&amp;"ENTRADA",Movimientos!$R$2:$R$1993,0)),"-")</f>
        <v>-</v>
      </c>
      <c r="G543" s="2" t="str">
        <f>IFERROR(INDEX(Movimientos!$L$2:$L$1993,MATCH(A543&amp;"ENTRADA",Movimientos!$R$2:$R$1993,0)),"-")</f>
        <v>-</v>
      </c>
      <c r="H543" s="17" t="str">
        <f>IFERROR(IF(INDEX(Movimientos!$M$2:$M$1993,MATCH(A543&amp;"ENTRADA",Movimientos!$R$2:$R$1993,0))=0,"S/D",INDEX(Movimientos!$M$2:$M$1993,MATCH(A543&amp;"ENTRADA",Movimientos!$R$2:$R$1993,0))),"S/D")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2850</v>
      </c>
      <c r="B544" s="2" t="str">
        <f>IFERROR(INDEX(Movimientos!$C$2:$C$1993,MATCH(A544&amp;"ENTRADA",Movimientos!$R$2:$R$1993,0)),"-")</f>
        <v>-</v>
      </c>
      <c r="C544" s="2" t="str">
        <f>IFERROR(INDEX(Movimientos!$D$2:$D$1993,MATCH(A544&amp;"ENTRADA",Movimientos!$R$2:$R$1993,0)),"-")</f>
        <v>-</v>
      </c>
      <c r="D544" s="2" t="str">
        <f>IFERROR(INDEX(Movimientos!$E$2:$E$1993,MATCH(A544&amp;"ENTRADA",Movimientos!$R$2:$R$1993,0)),"-")</f>
        <v>-</v>
      </c>
      <c r="E544" s="2" t="str">
        <f>IFERROR(INDEX(Movimientos!$F$2:$F$1993,MATCH(A544&amp;"ENTRADA",Movimientos!$R$2:$R$1993,0)),"-")</f>
        <v>-</v>
      </c>
      <c r="F544" s="2" t="str">
        <f>IFERROR(INDEX(Movimientos!$G$2:$G$1993,MATCH(A544&amp;"ENTRADA",Movimientos!$R$2:$R$1993,0)),"-")</f>
        <v>-</v>
      </c>
      <c r="G544" s="2" t="str">
        <f>IFERROR(INDEX(Movimientos!$L$2:$L$1993,MATCH(A544&amp;"ENTRADA",Movimientos!$R$2:$R$1993,0)),"-")</f>
        <v>-</v>
      </c>
      <c r="H544" s="17" t="str">
        <f>IFERROR(IF(INDEX(Movimientos!$M$2:$M$1993,MATCH(A544&amp;"ENTRADA",Movimientos!$R$2:$R$1993,0))=0,"S/D",INDEX(Movimientos!$M$2:$M$1993,MATCH(A544&amp;"ENTRADA",Movimientos!$R$2:$R$1993,0))),"S/D")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2851</v>
      </c>
      <c r="B545" s="2" t="str">
        <f>IFERROR(INDEX(Movimientos!$C$2:$C$1993,MATCH(A545&amp;"ENTRADA",Movimientos!$R$2:$R$1993,0)),"-")</f>
        <v>-</v>
      </c>
      <c r="C545" s="2" t="str">
        <f>IFERROR(INDEX(Movimientos!$D$2:$D$1993,MATCH(A545&amp;"ENTRADA",Movimientos!$R$2:$R$1993,0)),"-")</f>
        <v>-</v>
      </c>
      <c r="D545" s="2" t="str">
        <f>IFERROR(INDEX(Movimientos!$E$2:$E$1993,MATCH(A545&amp;"ENTRADA",Movimientos!$R$2:$R$1993,0)),"-")</f>
        <v>-</v>
      </c>
      <c r="E545" s="2" t="str">
        <f>IFERROR(INDEX(Movimientos!$F$2:$F$1993,MATCH(A545&amp;"ENTRADA",Movimientos!$R$2:$R$1993,0)),"-")</f>
        <v>-</v>
      </c>
      <c r="F545" s="2" t="str">
        <f>IFERROR(INDEX(Movimientos!$G$2:$G$1993,MATCH(A545&amp;"ENTRADA",Movimientos!$R$2:$R$1993,0)),"-")</f>
        <v>-</v>
      </c>
      <c r="G545" s="2" t="str">
        <f>IFERROR(INDEX(Movimientos!$L$2:$L$1993,MATCH(A545&amp;"ENTRADA",Movimientos!$R$2:$R$1993,0)),"-")</f>
        <v>-</v>
      </c>
      <c r="H545" s="17" t="str">
        <f>IFERROR(IF(INDEX(Movimientos!$M$2:$M$1993,MATCH(A545&amp;"ENTRADA",Movimientos!$R$2:$R$1993,0))=0,"S/D",INDEX(Movimientos!$M$2:$M$1993,MATCH(A545&amp;"ENTRADA",Movimientos!$R$2:$R$1993,0))),"S/D")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2852</v>
      </c>
      <c r="B546" s="2" t="str">
        <f>IFERROR(INDEX(Movimientos!$C$2:$C$1993,MATCH(A546&amp;"ENTRADA",Movimientos!$R$2:$R$1993,0)),"-")</f>
        <v>-</v>
      </c>
      <c r="C546" s="2" t="str">
        <f>IFERROR(INDEX(Movimientos!$D$2:$D$1993,MATCH(A546&amp;"ENTRADA",Movimientos!$R$2:$R$1993,0)),"-")</f>
        <v>-</v>
      </c>
      <c r="D546" s="2" t="str">
        <f>IFERROR(INDEX(Movimientos!$E$2:$E$1993,MATCH(A546&amp;"ENTRADA",Movimientos!$R$2:$R$1993,0)),"-")</f>
        <v>-</v>
      </c>
      <c r="E546" s="2" t="str">
        <f>IFERROR(INDEX(Movimientos!$F$2:$F$1993,MATCH(A546&amp;"ENTRADA",Movimientos!$R$2:$R$1993,0)),"-")</f>
        <v>-</v>
      </c>
      <c r="F546" s="2" t="str">
        <f>IFERROR(INDEX(Movimientos!$G$2:$G$1993,MATCH(A546&amp;"ENTRADA",Movimientos!$R$2:$R$1993,0)),"-")</f>
        <v>-</v>
      </c>
      <c r="G546" s="2" t="str">
        <f>IFERROR(INDEX(Movimientos!$L$2:$L$1993,MATCH(A546&amp;"ENTRADA",Movimientos!$R$2:$R$1993,0)),"-")</f>
        <v>-</v>
      </c>
      <c r="H546" s="17" t="str">
        <f>IFERROR(IF(INDEX(Movimientos!$M$2:$M$1993,MATCH(A546&amp;"ENTRADA",Movimientos!$R$2:$R$1993,0))=0,"S/D",INDEX(Movimientos!$M$2:$M$1993,MATCH(A546&amp;"ENTRADA",Movimientos!$R$2:$R$1993,0))),"S/D")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2853</v>
      </c>
      <c r="B547" s="2" t="str">
        <f>IFERROR(INDEX(Movimientos!$C$2:$C$1993,MATCH(A547&amp;"ENTRADA",Movimientos!$R$2:$R$1993,0)),"-")</f>
        <v>-</v>
      </c>
      <c r="C547" s="2" t="str">
        <f>IFERROR(INDEX(Movimientos!$D$2:$D$1993,MATCH(A547&amp;"ENTRADA",Movimientos!$R$2:$R$1993,0)),"-")</f>
        <v>-</v>
      </c>
      <c r="D547" s="2" t="str">
        <f>IFERROR(INDEX(Movimientos!$E$2:$E$1993,MATCH(A547&amp;"ENTRADA",Movimientos!$R$2:$R$1993,0)),"-")</f>
        <v>-</v>
      </c>
      <c r="E547" s="2" t="str">
        <f>IFERROR(INDEX(Movimientos!$F$2:$F$1993,MATCH(A547&amp;"ENTRADA",Movimientos!$R$2:$R$1993,0)),"-")</f>
        <v>-</v>
      </c>
      <c r="F547" s="2" t="str">
        <f>IFERROR(INDEX(Movimientos!$G$2:$G$1993,MATCH(A547&amp;"ENTRADA",Movimientos!$R$2:$R$1993,0)),"-")</f>
        <v>-</v>
      </c>
      <c r="G547" s="2" t="str">
        <f>IFERROR(INDEX(Movimientos!$L$2:$L$1993,MATCH(A547&amp;"ENTRADA",Movimientos!$R$2:$R$1993,0)),"-")</f>
        <v>-</v>
      </c>
      <c r="H547" s="17" t="str">
        <f>IFERROR(IF(INDEX(Movimientos!$M$2:$M$1993,MATCH(A547&amp;"ENTRADA",Movimientos!$R$2:$R$1993,0))=0,"S/D",INDEX(Movimientos!$M$2:$M$1993,MATCH(A547&amp;"ENTRADA",Movimientos!$R$2:$R$1993,0))),"S/D")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2854</v>
      </c>
      <c r="B548" s="2" t="str">
        <f>IFERROR(INDEX(Movimientos!$C$2:$C$1993,MATCH(A548&amp;"ENTRADA",Movimientos!$R$2:$R$1993,0)),"-")</f>
        <v>-</v>
      </c>
      <c r="C548" s="2" t="str">
        <f>IFERROR(INDEX(Movimientos!$D$2:$D$1993,MATCH(A548&amp;"ENTRADA",Movimientos!$R$2:$R$1993,0)),"-")</f>
        <v>-</v>
      </c>
      <c r="D548" s="2" t="str">
        <f>IFERROR(INDEX(Movimientos!$E$2:$E$1993,MATCH(A548&amp;"ENTRADA",Movimientos!$R$2:$R$1993,0)),"-")</f>
        <v>-</v>
      </c>
      <c r="E548" s="2" t="str">
        <f>IFERROR(INDEX(Movimientos!$F$2:$F$1993,MATCH(A548&amp;"ENTRADA",Movimientos!$R$2:$R$1993,0)),"-")</f>
        <v>-</v>
      </c>
      <c r="F548" s="2" t="str">
        <f>IFERROR(INDEX(Movimientos!$G$2:$G$1993,MATCH(A548&amp;"ENTRADA",Movimientos!$R$2:$R$1993,0)),"-")</f>
        <v>-</v>
      </c>
      <c r="G548" s="2" t="str">
        <f>IFERROR(INDEX(Movimientos!$L$2:$L$1993,MATCH(A548&amp;"ENTRADA",Movimientos!$R$2:$R$1993,0)),"-")</f>
        <v>-</v>
      </c>
      <c r="H548" s="17" t="str">
        <f>IFERROR(IF(INDEX(Movimientos!$M$2:$M$1993,MATCH(A548&amp;"ENTRADA",Movimientos!$R$2:$R$1993,0))=0,"S/D",INDEX(Movimientos!$M$2:$M$1993,MATCH(A548&amp;"ENTRADA",Movimientos!$R$2:$R$1993,0))),"S/D")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2855</v>
      </c>
      <c r="B549" s="2" t="str">
        <f>IFERROR(INDEX(Movimientos!$C$2:$C$1993,MATCH(A549&amp;"ENTRADA",Movimientos!$R$2:$R$1993,0)),"-")</f>
        <v>-</v>
      </c>
      <c r="C549" s="2" t="str">
        <f>IFERROR(INDEX(Movimientos!$D$2:$D$1993,MATCH(A549&amp;"ENTRADA",Movimientos!$R$2:$R$1993,0)),"-")</f>
        <v>-</v>
      </c>
      <c r="D549" s="2" t="str">
        <f>IFERROR(INDEX(Movimientos!$E$2:$E$1993,MATCH(A549&amp;"ENTRADA",Movimientos!$R$2:$R$1993,0)),"-")</f>
        <v>-</v>
      </c>
      <c r="E549" s="2" t="str">
        <f>IFERROR(INDEX(Movimientos!$F$2:$F$1993,MATCH(A549&amp;"ENTRADA",Movimientos!$R$2:$R$1993,0)),"-")</f>
        <v>-</v>
      </c>
      <c r="F549" s="2" t="str">
        <f>IFERROR(INDEX(Movimientos!$G$2:$G$1993,MATCH(A549&amp;"ENTRADA",Movimientos!$R$2:$R$1993,0)),"-")</f>
        <v>-</v>
      </c>
      <c r="G549" s="2" t="str">
        <f>IFERROR(INDEX(Movimientos!$L$2:$L$1993,MATCH(A549&amp;"ENTRADA",Movimientos!$R$2:$R$1993,0)),"-")</f>
        <v>-</v>
      </c>
      <c r="H549" s="17" t="str">
        <f>IFERROR(IF(INDEX(Movimientos!$M$2:$M$1993,MATCH(A549&amp;"ENTRADA",Movimientos!$R$2:$R$1993,0))=0,"S/D",INDEX(Movimientos!$M$2:$M$1993,MATCH(A549&amp;"ENTRADA",Movimientos!$R$2:$R$1993,0))),"S/D")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2856</v>
      </c>
      <c r="B550" s="2" t="str">
        <f>IFERROR(INDEX(Movimientos!$C$2:$C$1993,MATCH(A550&amp;"ENTRADA",Movimientos!$R$2:$R$1993,0)),"-")</f>
        <v>-</v>
      </c>
      <c r="C550" s="2" t="str">
        <f>IFERROR(INDEX(Movimientos!$D$2:$D$1993,MATCH(A550&amp;"ENTRADA",Movimientos!$R$2:$R$1993,0)),"-")</f>
        <v>-</v>
      </c>
      <c r="D550" s="2" t="str">
        <f>IFERROR(INDEX(Movimientos!$E$2:$E$1993,MATCH(A550&amp;"ENTRADA",Movimientos!$R$2:$R$1993,0)),"-")</f>
        <v>-</v>
      </c>
      <c r="E550" s="2" t="str">
        <f>IFERROR(INDEX(Movimientos!$F$2:$F$1993,MATCH(A550&amp;"ENTRADA",Movimientos!$R$2:$R$1993,0)),"-")</f>
        <v>-</v>
      </c>
      <c r="F550" s="2" t="str">
        <f>IFERROR(INDEX(Movimientos!$G$2:$G$1993,MATCH(A550&amp;"ENTRADA",Movimientos!$R$2:$R$1993,0)),"-")</f>
        <v>-</v>
      </c>
      <c r="G550" s="2" t="str">
        <f>IFERROR(INDEX(Movimientos!$L$2:$L$1993,MATCH(A550&amp;"ENTRADA",Movimientos!$R$2:$R$1993,0)),"-")</f>
        <v>-</v>
      </c>
      <c r="H550" s="17" t="str">
        <f>IFERROR(IF(INDEX(Movimientos!$M$2:$M$1993,MATCH(A550&amp;"ENTRADA",Movimientos!$R$2:$R$1993,0))=0,"S/D",INDEX(Movimientos!$M$2:$M$1993,MATCH(A550&amp;"ENTRADA",Movimientos!$R$2:$R$1993,0))),"S/D")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2857</v>
      </c>
      <c r="B551" s="2" t="str">
        <f>IFERROR(INDEX(Movimientos!$C$2:$C$1993,MATCH(A551&amp;"ENTRADA",Movimientos!$R$2:$R$1993,0)),"-")</f>
        <v>-</v>
      </c>
      <c r="C551" s="2" t="str">
        <f>IFERROR(INDEX(Movimientos!$D$2:$D$1993,MATCH(A551&amp;"ENTRADA",Movimientos!$R$2:$R$1993,0)),"-")</f>
        <v>-</v>
      </c>
      <c r="D551" s="2" t="str">
        <f>IFERROR(INDEX(Movimientos!$E$2:$E$1993,MATCH(A551&amp;"ENTRADA",Movimientos!$R$2:$R$1993,0)),"-")</f>
        <v>-</v>
      </c>
      <c r="E551" s="2" t="str">
        <f>IFERROR(INDEX(Movimientos!$F$2:$F$1993,MATCH(A551&amp;"ENTRADA",Movimientos!$R$2:$R$1993,0)),"-")</f>
        <v>-</v>
      </c>
      <c r="F551" s="2" t="str">
        <f>IFERROR(INDEX(Movimientos!$G$2:$G$1993,MATCH(A551&amp;"ENTRADA",Movimientos!$R$2:$R$1993,0)),"-")</f>
        <v>-</v>
      </c>
      <c r="G551" s="2" t="str">
        <f>IFERROR(INDEX(Movimientos!$L$2:$L$1993,MATCH(A551&amp;"ENTRADA",Movimientos!$R$2:$R$1993,0)),"-")</f>
        <v>-</v>
      </c>
      <c r="H551" s="17" t="str">
        <f>IFERROR(IF(INDEX(Movimientos!$M$2:$M$1993,MATCH(A551&amp;"ENTRADA",Movimientos!$R$2:$R$1993,0))=0,"S/D",INDEX(Movimientos!$M$2:$M$1993,MATCH(A551&amp;"ENTRADA",Movimientos!$R$2:$R$1993,0))),"S/D")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2858</v>
      </c>
      <c r="B552" s="2" t="str">
        <f>IFERROR(INDEX(Movimientos!$C$2:$C$1993,MATCH(A552&amp;"ENTRADA",Movimientos!$R$2:$R$1993,0)),"-")</f>
        <v>-</v>
      </c>
      <c r="C552" s="2" t="str">
        <f>IFERROR(INDEX(Movimientos!$D$2:$D$1993,MATCH(A552&amp;"ENTRADA",Movimientos!$R$2:$R$1993,0)),"-")</f>
        <v>-</v>
      </c>
      <c r="D552" s="2" t="str">
        <f>IFERROR(INDEX(Movimientos!$E$2:$E$1993,MATCH(A552&amp;"ENTRADA",Movimientos!$R$2:$R$1993,0)),"-")</f>
        <v>-</v>
      </c>
      <c r="E552" s="2" t="str">
        <f>IFERROR(INDEX(Movimientos!$F$2:$F$1993,MATCH(A552&amp;"ENTRADA",Movimientos!$R$2:$R$1993,0)),"-")</f>
        <v>-</v>
      </c>
      <c r="F552" s="2" t="str">
        <f>IFERROR(INDEX(Movimientos!$G$2:$G$1993,MATCH(A552&amp;"ENTRADA",Movimientos!$R$2:$R$1993,0)),"-")</f>
        <v>-</v>
      </c>
      <c r="G552" s="2" t="str">
        <f>IFERROR(INDEX(Movimientos!$L$2:$L$1993,MATCH(A552&amp;"ENTRADA",Movimientos!$R$2:$R$1993,0)),"-")</f>
        <v>-</v>
      </c>
      <c r="H552" s="17" t="str">
        <f>IFERROR(IF(INDEX(Movimientos!$M$2:$M$1993,MATCH(A552&amp;"ENTRADA",Movimientos!$R$2:$R$1993,0))=0,"S/D",INDEX(Movimientos!$M$2:$M$1993,MATCH(A552&amp;"ENTRADA",Movimientos!$R$2:$R$1993,0))),"S/D")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2859</v>
      </c>
      <c r="B553" s="2" t="str">
        <f>IFERROR(INDEX(Movimientos!$C$2:$C$1993,MATCH(A553&amp;"ENTRADA",Movimientos!$R$2:$R$1993,0)),"-")</f>
        <v>-</v>
      </c>
      <c r="C553" s="2" t="str">
        <f>IFERROR(INDEX(Movimientos!$D$2:$D$1993,MATCH(A553&amp;"ENTRADA",Movimientos!$R$2:$R$1993,0)),"-")</f>
        <v>-</v>
      </c>
      <c r="D553" s="2" t="str">
        <f>IFERROR(INDEX(Movimientos!$E$2:$E$1993,MATCH(A553&amp;"ENTRADA",Movimientos!$R$2:$R$1993,0)),"-")</f>
        <v>-</v>
      </c>
      <c r="E553" s="2" t="str">
        <f>IFERROR(INDEX(Movimientos!$F$2:$F$1993,MATCH(A553&amp;"ENTRADA",Movimientos!$R$2:$R$1993,0)),"-")</f>
        <v>-</v>
      </c>
      <c r="F553" s="2" t="str">
        <f>IFERROR(INDEX(Movimientos!$G$2:$G$1993,MATCH(A553&amp;"ENTRADA",Movimientos!$R$2:$R$1993,0)),"-")</f>
        <v>-</v>
      </c>
      <c r="G553" s="2" t="str">
        <f>IFERROR(INDEX(Movimientos!$L$2:$L$1993,MATCH(A553&amp;"ENTRADA",Movimientos!$R$2:$R$1993,0)),"-")</f>
        <v>-</v>
      </c>
      <c r="H553" s="17" t="str">
        <f>IFERROR(IF(INDEX(Movimientos!$M$2:$M$1993,MATCH(A553&amp;"ENTRADA",Movimientos!$R$2:$R$1993,0))=0,"S/D",INDEX(Movimientos!$M$2:$M$1993,MATCH(A553&amp;"ENTRADA",Movimientos!$R$2:$R$1993,0))),"S/D")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2860</v>
      </c>
      <c r="B554" s="2" t="str">
        <f>IFERROR(INDEX(Movimientos!$C$2:$C$1993,MATCH(A554&amp;"ENTRADA",Movimientos!$R$2:$R$1993,0)),"-")</f>
        <v>-</v>
      </c>
      <c r="C554" s="2" t="str">
        <f>IFERROR(INDEX(Movimientos!$D$2:$D$1993,MATCH(A554&amp;"ENTRADA",Movimientos!$R$2:$R$1993,0)),"-")</f>
        <v>-</v>
      </c>
      <c r="D554" s="2" t="str">
        <f>IFERROR(INDEX(Movimientos!$E$2:$E$1993,MATCH(A554&amp;"ENTRADA",Movimientos!$R$2:$R$1993,0)),"-")</f>
        <v>-</v>
      </c>
      <c r="E554" s="2" t="str">
        <f>IFERROR(INDEX(Movimientos!$F$2:$F$1993,MATCH(A554&amp;"ENTRADA",Movimientos!$R$2:$R$1993,0)),"-")</f>
        <v>-</v>
      </c>
      <c r="F554" s="2" t="str">
        <f>IFERROR(INDEX(Movimientos!$G$2:$G$1993,MATCH(A554&amp;"ENTRADA",Movimientos!$R$2:$R$1993,0)),"-")</f>
        <v>-</v>
      </c>
      <c r="G554" s="2" t="str">
        <f>IFERROR(INDEX(Movimientos!$L$2:$L$1993,MATCH(A554&amp;"ENTRADA",Movimientos!$R$2:$R$1993,0)),"-")</f>
        <v>-</v>
      </c>
      <c r="H554" s="17" t="str">
        <f>IFERROR(IF(INDEX(Movimientos!$M$2:$M$1993,MATCH(A554&amp;"ENTRADA",Movimientos!$R$2:$R$1993,0))=0,"S/D",INDEX(Movimientos!$M$2:$M$1993,MATCH(A554&amp;"ENTRADA",Movimientos!$R$2:$R$1993,0))),"S/D")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2861</v>
      </c>
      <c r="B555" s="2" t="str">
        <f>IFERROR(INDEX(Movimientos!$C$2:$C$1993,MATCH(A555&amp;"ENTRADA",Movimientos!$R$2:$R$1993,0)),"-")</f>
        <v>-</v>
      </c>
      <c r="C555" s="2" t="str">
        <f>IFERROR(INDEX(Movimientos!$D$2:$D$1993,MATCH(A555&amp;"ENTRADA",Movimientos!$R$2:$R$1993,0)),"-")</f>
        <v>-</v>
      </c>
      <c r="D555" s="2" t="str">
        <f>IFERROR(INDEX(Movimientos!$E$2:$E$1993,MATCH(A555&amp;"ENTRADA",Movimientos!$R$2:$R$1993,0)),"-")</f>
        <v>-</v>
      </c>
      <c r="E555" s="2" t="str">
        <f>IFERROR(INDEX(Movimientos!$F$2:$F$1993,MATCH(A555&amp;"ENTRADA",Movimientos!$R$2:$R$1993,0)),"-")</f>
        <v>-</v>
      </c>
      <c r="F555" s="2" t="str">
        <f>IFERROR(INDEX(Movimientos!$G$2:$G$1993,MATCH(A555&amp;"ENTRADA",Movimientos!$R$2:$R$1993,0)),"-")</f>
        <v>-</v>
      </c>
      <c r="G555" s="2" t="str">
        <f>IFERROR(INDEX(Movimientos!$L$2:$L$1993,MATCH(A555&amp;"ENTRADA",Movimientos!$R$2:$R$1993,0)),"-")</f>
        <v>-</v>
      </c>
      <c r="H555" s="17" t="str">
        <f>IFERROR(IF(INDEX(Movimientos!$M$2:$M$1993,MATCH(A555&amp;"ENTRADA",Movimientos!$R$2:$R$1993,0))=0,"S/D",INDEX(Movimientos!$M$2:$M$1993,MATCH(A555&amp;"ENTRADA",Movimientos!$R$2:$R$1993,0))),"S/D")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2862</v>
      </c>
      <c r="B556" s="2" t="str">
        <f>IFERROR(INDEX(Movimientos!$C$2:$C$1993,MATCH(A556&amp;"ENTRADA",Movimientos!$R$2:$R$1993,0)),"-")</f>
        <v>-</v>
      </c>
      <c r="C556" s="2" t="str">
        <f>IFERROR(INDEX(Movimientos!$D$2:$D$1993,MATCH(A556&amp;"ENTRADA",Movimientos!$R$2:$R$1993,0)),"-")</f>
        <v>-</v>
      </c>
      <c r="D556" s="2" t="str">
        <f>IFERROR(INDEX(Movimientos!$E$2:$E$1993,MATCH(A556&amp;"ENTRADA",Movimientos!$R$2:$R$1993,0)),"-")</f>
        <v>-</v>
      </c>
      <c r="E556" s="2" t="str">
        <f>IFERROR(INDEX(Movimientos!$F$2:$F$1993,MATCH(A556&amp;"ENTRADA",Movimientos!$R$2:$R$1993,0)),"-")</f>
        <v>-</v>
      </c>
      <c r="F556" s="2" t="str">
        <f>IFERROR(INDEX(Movimientos!$G$2:$G$1993,MATCH(A556&amp;"ENTRADA",Movimientos!$R$2:$R$1993,0)),"-")</f>
        <v>-</v>
      </c>
      <c r="G556" s="2" t="str">
        <f>IFERROR(INDEX(Movimientos!$L$2:$L$1993,MATCH(A556&amp;"ENTRADA",Movimientos!$R$2:$R$1993,0)),"-")</f>
        <v>-</v>
      </c>
      <c r="H556" s="17" t="str">
        <f>IFERROR(IF(INDEX(Movimientos!$M$2:$M$1993,MATCH(A556&amp;"ENTRADA",Movimientos!$R$2:$R$1993,0))=0,"S/D",INDEX(Movimientos!$M$2:$M$1993,MATCH(A556&amp;"ENTRADA",Movimientos!$R$2:$R$1993,0))),"S/D")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2863</v>
      </c>
      <c r="B557" s="2" t="str">
        <f>IFERROR(INDEX(Movimientos!$C$2:$C$1993,MATCH(A557&amp;"ENTRADA",Movimientos!$R$2:$R$1993,0)),"-")</f>
        <v>-</v>
      </c>
      <c r="C557" s="2" t="str">
        <f>IFERROR(INDEX(Movimientos!$D$2:$D$1993,MATCH(A557&amp;"ENTRADA",Movimientos!$R$2:$R$1993,0)),"-")</f>
        <v>-</v>
      </c>
      <c r="D557" s="2" t="str">
        <f>IFERROR(INDEX(Movimientos!$E$2:$E$1993,MATCH(A557&amp;"ENTRADA",Movimientos!$R$2:$R$1993,0)),"-")</f>
        <v>-</v>
      </c>
      <c r="E557" s="2" t="str">
        <f>IFERROR(INDEX(Movimientos!$F$2:$F$1993,MATCH(A557&amp;"ENTRADA",Movimientos!$R$2:$R$1993,0)),"-")</f>
        <v>-</v>
      </c>
      <c r="F557" s="2" t="str">
        <f>IFERROR(INDEX(Movimientos!$G$2:$G$1993,MATCH(A557&amp;"ENTRADA",Movimientos!$R$2:$R$1993,0)),"-")</f>
        <v>-</v>
      </c>
      <c r="G557" s="2" t="str">
        <f>IFERROR(INDEX(Movimientos!$L$2:$L$1993,MATCH(A557&amp;"ENTRADA",Movimientos!$R$2:$R$1993,0)),"-")</f>
        <v>-</v>
      </c>
      <c r="H557" s="17" t="str">
        <f>IFERROR(IF(INDEX(Movimientos!$M$2:$M$1993,MATCH(A557&amp;"ENTRADA",Movimientos!$R$2:$R$1993,0))=0,"S/D",INDEX(Movimientos!$M$2:$M$1993,MATCH(A557&amp;"ENTRADA",Movimientos!$R$2:$R$1993,0))),"S/D")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2864</v>
      </c>
      <c r="B558" s="2" t="str">
        <f>IFERROR(INDEX(Movimientos!$C$2:$C$1993,MATCH(A558&amp;"ENTRADA",Movimientos!$R$2:$R$1993,0)),"-")</f>
        <v>-</v>
      </c>
      <c r="C558" s="2" t="str">
        <f>IFERROR(INDEX(Movimientos!$D$2:$D$1993,MATCH(A558&amp;"ENTRADA",Movimientos!$R$2:$R$1993,0)),"-")</f>
        <v>-</v>
      </c>
      <c r="D558" s="2" t="str">
        <f>IFERROR(INDEX(Movimientos!$E$2:$E$1993,MATCH(A558&amp;"ENTRADA",Movimientos!$R$2:$R$1993,0)),"-")</f>
        <v>-</v>
      </c>
      <c r="E558" s="2" t="str">
        <f>IFERROR(INDEX(Movimientos!$F$2:$F$1993,MATCH(A558&amp;"ENTRADA",Movimientos!$R$2:$R$1993,0)),"-")</f>
        <v>-</v>
      </c>
      <c r="F558" s="2" t="str">
        <f>IFERROR(INDEX(Movimientos!$G$2:$G$1993,MATCH(A558&amp;"ENTRADA",Movimientos!$R$2:$R$1993,0)),"-")</f>
        <v>-</v>
      </c>
      <c r="G558" s="2" t="str">
        <f>IFERROR(INDEX(Movimientos!$L$2:$L$1993,MATCH(A558&amp;"ENTRADA",Movimientos!$R$2:$R$1993,0)),"-")</f>
        <v>-</v>
      </c>
      <c r="H558" s="17" t="str">
        <f>IFERROR(IF(INDEX(Movimientos!$M$2:$M$1993,MATCH(A558&amp;"ENTRADA",Movimientos!$R$2:$R$1993,0))=0,"S/D",INDEX(Movimientos!$M$2:$M$1993,MATCH(A558&amp;"ENTRADA",Movimientos!$R$2:$R$1993,0))),"S/D")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2865</v>
      </c>
      <c r="B559" s="2" t="str">
        <f>IFERROR(INDEX(Movimientos!$C$2:$C$1993,MATCH(A559&amp;"ENTRADA",Movimientos!$R$2:$R$1993,0)),"-")</f>
        <v>-</v>
      </c>
      <c r="C559" s="2" t="str">
        <f>IFERROR(INDEX(Movimientos!$D$2:$D$1993,MATCH(A559&amp;"ENTRADA",Movimientos!$R$2:$R$1993,0)),"-")</f>
        <v>-</v>
      </c>
      <c r="D559" s="2" t="str">
        <f>IFERROR(INDEX(Movimientos!$E$2:$E$1993,MATCH(A559&amp;"ENTRADA",Movimientos!$R$2:$R$1993,0)),"-")</f>
        <v>-</v>
      </c>
      <c r="E559" s="2" t="str">
        <f>IFERROR(INDEX(Movimientos!$F$2:$F$1993,MATCH(A559&amp;"ENTRADA",Movimientos!$R$2:$R$1993,0)),"-")</f>
        <v>-</v>
      </c>
      <c r="F559" s="2" t="str">
        <f>IFERROR(INDEX(Movimientos!$G$2:$G$1993,MATCH(A559&amp;"ENTRADA",Movimientos!$R$2:$R$1993,0)),"-")</f>
        <v>-</v>
      </c>
      <c r="G559" s="2" t="str">
        <f>IFERROR(INDEX(Movimientos!$L$2:$L$1993,MATCH(A559&amp;"ENTRADA",Movimientos!$R$2:$R$1993,0)),"-")</f>
        <v>-</v>
      </c>
      <c r="H559" s="17" t="str">
        <f>IFERROR(IF(INDEX(Movimientos!$M$2:$M$1993,MATCH(A559&amp;"ENTRADA",Movimientos!$R$2:$R$1993,0))=0,"S/D",INDEX(Movimientos!$M$2:$M$1993,MATCH(A559&amp;"ENTRADA",Movimientos!$R$2:$R$1993,0))),"S/D")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2866</v>
      </c>
      <c r="B560" s="2" t="str">
        <f>IFERROR(INDEX(Movimientos!$C$2:$C$1993,MATCH(A560&amp;"ENTRADA",Movimientos!$R$2:$R$1993,0)),"-")</f>
        <v>-</v>
      </c>
      <c r="C560" s="2" t="str">
        <f>IFERROR(INDEX(Movimientos!$D$2:$D$1993,MATCH(A560&amp;"ENTRADA",Movimientos!$R$2:$R$1993,0)),"-")</f>
        <v>-</v>
      </c>
      <c r="D560" s="2" t="str">
        <f>IFERROR(INDEX(Movimientos!$E$2:$E$1993,MATCH(A560&amp;"ENTRADA",Movimientos!$R$2:$R$1993,0)),"-")</f>
        <v>-</v>
      </c>
      <c r="E560" s="2" t="str">
        <f>IFERROR(INDEX(Movimientos!$F$2:$F$1993,MATCH(A560&amp;"ENTRADA",Movimientos!$R$2:$R$1993,0)),"-")</f>
        <v>-</v>
      </c>
      <c r="F560" s="2" t="str">
        <f>IFERROR(INDEX(Movimientos!$G$2:$G$1993,MATCH(A560&amp;"ENTRADA",Movimientos!$R$2:$R$1993,0)),"-")</f>
        <v>-</v>
      </c>
      <c r="G560" s="2" t="str">
        <f>IFERROR(INDEX(Movimientos!$L$2:$L$1993,MATCH(A560&amp;"ENTRADA",Movimientos!$R$2:$R$1993,0)),"-")</f>
        <v>-</v>
      </c>
      <c r="H560" s="17" t="str">
        <f>IFERROR(IF(INDEX(Movimientos!$M$2:$M$1993,MATCH(A560&amp;"ENTRADA",Movimientos!$R$2:$R$1993,0))=0,"S/D",INDEX(Movimientos!$M$2:$M$1993,MATCH(A560&amp;"ENTRADA",Movimientos!$R$2:$R$1993,0))),"S/D")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2867</v>
      </c>
      <c r="B561" s="2" t="str">
        <f>IFERROR(INDEX(Movimientos!$C$2:$C$1993,MATCH(A561&amp;"ENTRADA",Movimientos!$R$2:$R$1993,0)),"-")</f>
        <v>-</v>
      </c>
      <c r="C561" s="2" t="str">
        <f>IFERROR(INDEX(Movimientos!$D$2:$D$1993,MATCH(A561&amp;"ENTRADA",Movimientos!$R$2:$R$1993,0)),"-")</f>
        <v>-</v>
      </c>
      <c r="D561" s="2" t="str">
        <f>IFERROR(INDEX(Movimientos!$E$2:$E$1993,MATCH(A561&amp;"ENTRADA",Movimientos!$R$2:$R$1993,0)),"-")</f>
        <v>-</v>
      </c>
      <c r="E561" s="2" t="str">
        <f>IFERROR(INDEX(Movimientos!$F$2:$F$1993,MATCH(A561&amp;"ENTRADA",Movimientos!$R$2:$R$1993,0)),"-")</f>
        <v>-</v>
      </c>
      <c r="F561" s="2" t="str">
        <f>IFERROR(INDEX(Movimientos!$G$2:$G$1993,MATCH(A561&amp;"ENTRADA",Movimientos!$R$2:$R$1993,0)),"-")</f>
        <v>-</v>
      </c>
      <c r="G561" s="2" t="str">
        <f>IFERROR(INDEX(Movimientos!$L$2:$L$1993,MATCH(A561&amp;"ENTRADA",Movimientos!$R$2:$R$1993,0)),"-")</f>
        <v>-</v>
      </c>
      <c r="H561" s="17" t="str">
        <f>IFERROR(IF(INDEX(Movimientos!$M$2:$M$1993,MATCH(A561&amp;"ENTRADA",Movimientos!$R$2:$R$1993,0))=0,"S/D",INDEX(Movimientos!$M$2:$M$1993,MATCH(A561&amp;"ENTRADA",Movimientos!$R$2:$R$1993,0))),"S/D")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2868</v>
      </c>
      <c r="B562" s="2" t="str">
        <f>IFERROR(INDEX(Movimientos!$C$2:$C$1993,MATCH(A562&amp;"ENTRADA",Movimientos!$R$2:$R$1993,0)),"-")</f>
        <v>-</v>
      </c>
      <c r="C562" s="2" t="str">
        <f>IFERROR(INDEX(Movimientos!$D$2:$D$1993,MATCH(A562&amp;"ENTRADA",Movimientos!$R$2:$R$1993,0)),"-")</f>
        <v>-</v>
      </c>
      <c r="D562" s="2" t="str">
        <f>IFERROR(INDEX(Movimientos!$E$2:$E$1993,MATCH(A562&amp;"ENTRADA",Movimientos!$R$2:$R$1993,0)),"-")</f>
        <v>-</v>
      </c>
      <c r="E562" s="2" t="str">
        <f>IFERROR(INDEX(Movimientos!$F$2:$F$1993,MATCH(A562&amp;"ENTRADA",Movimientos!$R$2:$R$1993,0)),"-")</f>
        <v>-</v>
      </c>
      <c r="F562" s="2" t="str">
        <f>IFERROR(INDEX(Movimientos!$G$2:$G$1993,MATCH(A562&amp;"ENTRADA",Movimientos!$R$2:$R$1993,0)),"-")</f>
        <v>-</v>
      </c>
      <c r="G562" s="2" t="str">
        <f>IFERROR(INDEX(Movimientos!$L$2:$L$1993,MATCH(A562&amp;"ENTRADA",Movimientos!$R$2:$R$1993,0)),"-")</f>
        <v>-</v>
      </c>
      <c r="H562" s="17" t="str">
        <f>IFERROR(IF(INDEX(Movimientos!$M$2:$M$1993,MATCH(A562&amp;"ENTRADA",Movimientos!$R$2:$R$1993,0))=0,"S/D",INDEX(Movimientos!$M$2:$M$1993,MATCH(A562&amp;"ENTRADA",Movimientos!$R$2:$R$1993,0))),"S/D")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2869</v>
      </c>
      <c r="B563" s="2" t="str">
        <f>IFERROR(INDEX(Movimientos!$C$2:$C$1993,MATCH(A563&amp;"ENTRADA",Movimientos!$R$2:$R$1993,0)),"-")</f>
        <v>-</v>
      </c>
      <c r="C563" s="2" t="str">
        <f>IFERROR(INDEX(Movimientos!$D$2:$D$1993,MATCH(A563&amp;"ENTRADA",Movimientos!$R$2:$R$1993,0)),"-")</f>
        <v>-</v>
      </c>
      <c r="D563" s="2" t="str">
        <f>IFERROR(INDEX(Movimientos!$E$2:$E$1993,MATCH(A563&amp;"ENTRADA",Movimientos!$R$2:$R$1993,0)),"-")</f>
        <v>-</v>
      </c>
      <c r="E563" s="2" t="str">
        <f>IFERROR(INDEX(Movimientos!$F$2:$F$1993,MATCH(A563&amp;"ENTRADA",Movimientos!$R$2:$R$1993,0)),"-")</f>
        <v>-</v>
      </c>
      <c r="F563" s="2" t="str">
        <f>IFERROR(INDEX(Movimientos!$G$2:$G$1993,MATCH(A563&amp;"ENTRADA",Movimientos!$R$2:$R$1993,0)),"-")</f>
        <v>-</v>
      </c>
      <c r="G563" s="2" t="str">
        <f>IFERROR(INDEX(Movimientos!$L$2:$L$1993,MATCH(A563&amp;"ENTRADA",Movimientos!$R$2:$R$1993,0)),"-")</f>
        <v>-</v>
      </c>
      <c r="H563" s="17" t="str">
        <f>IFERROR(IF(INDEX(Movimientos!$M$2:$M$1993,MATCH(A563&amp;"ENTRADA",Movimientos!$R$2:$R$1993,0))=0,"S/D",INDEX(Movimientos!$M$2:$M$1993,MATCH(A563&amp;"ENTRADA",Movimientos!$R$2:$R$1993,0))),"S/D")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2870</v>
      </c>
      <c r="B564" s="2" t="str">
        <f>IFERROR(INDEX(Movimientos!$C$2:$C$1993,MATCH(A564&amp;"ENTRADA",Movimientos!$R$2:$R$1993,0)),"-")</f>
        <v>-</v>
      </c>
      <c r="C564" s="2" t="str">
        <f>IFERROR(INDEX(Movimientos!$D$2:$D$1993,MATCH(A564&amp;"ENTRADA",Movimientos!$R$2:$R$1993,0)),"-")</f>
        <v>-</v>
      </c>
      <c r="D564" s="2" t="str">
        <f>IFERROR(INDEX(Movimientos!$E$2:$E$1993,MATCH(A564&amp;"ENTRADA",Movimientos!$R$2:$R$1993,0)),"-")</f>
        <v>-</v>
      </c>
      <c r="E564" s="2" t="str">
        <f>IFERROR(INDEX(Movimientos!$F$2:$F$1993,MATCH(A564&amp;"ENTRADA",Movimientos!$R$2:$R$1993,0)),"-")</f>
        <v>-</v>
      </c>
      <c r="F564" s="2" t="str">
        <f>IFERROR(INDEX(Movimientos!$G$2:$G$1993,MATCH(A564&amp;"ENTRADA",Movimientos!$R$2:$R$1993,0)),"-")</f>
        <v>-</v>
      </c>
      <c r="G564" s="2" t="str">
        <f>IFERROR(INDEX(Movimientos!$L$2:$L$1993,MATCH(A564&amp;"ENTRADA",Movimientos!$R$2:$R$1993,0)),"-")</f>
        <v>-</v>
      </c>
      <c r="H564" s="17" t="str">
        <f>IFERROR(IF(INDEX(Movimientos!$M$2:$M$1993,MATCH(A564&amp;"ENTRADA",Movimientos!$R$2:$R$1993,0))=0,"S/D",INDEX(Movimientos!$M$2:$M$1993,MATCH(A564&amp;"ENTRADA",Movimientos!$R$2:$R$1993,0))),"S/D")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2871</v>
      </c>
      <c r="B565" s="2" t="str">
        <f>IFERROR(INDEX(Movimientos!$C$2:$C$1993,MATCH(A565&amp;"ENTRADA",Movimientos!$R$2:$R$1993,0)),"-")</f>
        <v>-</v>
      </c>
      <c r="C565" s="2" t="str">
        <f>IFERROR(INDEX(Movimientos!$D$2:$D$1993,MATCH(A565&amp;"ENTRADA",Movimientos!$R$2:$R$1993,0)),"-")</f>
        <v>-</v>
      </c>
      <c r="D565" s="2" t="str">
        <f>IFERROR(INDEX(Movimientos!$E$2:$E$1993,MATCH(A565&amp;"ENTRADA",Movimientos!$R$2:$R$1993,0)),"-")</f>
        <v>-</v>
      </c>
      <c r="E565" s="2" t="str">
        <f>IFERROR(INDEX(Movimientos!$F$2:$F$1993,MATCH(A565&amp;"ENTRADA",Movimientos!$R$2:$R$1993,0)),"-")</f>
        <v>-</v>
      </c>
      <c r="F565" s="2" t="str">
        <f>IFERROR(INDEX(Movimientos!$G$2:$G$1993,MATCH(A565&amp;"ENTRADA",Movimientos!$R$2:$R$1993,0)),"-")</f>
        <v>-</v>
      </c>
      <c r="G565" s="2" t="str">
        <f>IFERROR(INDEX(Movimientos!$L$2:$L$1993,MATCH(A565&amp;"ENTRADA",Movimientos!$R$2:$R$1993,0)),"-")</f>
        <v>-</v>
      </c>
      <c r="H565" s="17" t="str">
        <f>IFERROR(IF(INDEX(Movimientos!$M$2:$M$1993,MATCH(A565&amp;"ENTRADA",Movimientos!$R$2:$R$1993,0))=0,"S/D",INDEX(Movimientos!$M$2:$M$1993,MATCH(A565&amp;"ENTRADA",Movimientos!$R$2:$R$1993,0))),"S/D")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2872</v>
      </c>
      <c r="B566" s="2" t="str">
        <f>IFERROR(INDEX(Movimientos!$C$2:$C$1993,MATCH(A566&amp;"ENTRADA",Movimientos!$R$2:$R$1993,0)),"-")</f>
        <v>-</v>
      </c>
      <c r="C566" s="2" t="str">
        <f>IFERROR(INDEX(Movimientos!$D$2:$D$1993,MATCH(A566&amp;"ENTRADA",Movimientos!$R$2:$R$1993,0)),"-")</f>
        <v>-</v>
      </c>
      <c r="D566" s="2" t="str">
        <f>IFERROR(INDEX(Movimientos!$E$2:$E$1993,MATCH(A566&amp;"ENTRADA",Movimientos!$R$2:$R$1993,0)),"-")</f>
        <v>-</v>
      </c>
      <c r="E566" s="2" t="str">
        <f>IFERROR(INDEX(Movimientos!$F$2:$F$1993,MATCH(A566&amp;"ENTRADA",Movimientos!$R$2:$R$1993,0)),"-")</f>
        <v>-</v>
      </c>
      <c r="F566" s="2" t="str">
        <f>IFERROR(INDEX(Movimientos!$G$2:$G$1993,MATCH(A566&amp;"ENTRADA",Movimientos!$R$2:$R$1993,0)),"-")</f>
        <v>-</v>
      </c>
      <c r="G566" s="2" t="str">
        <f>IFERROR(INDEX(Movimientos!$L$2:$L$1993,MATCH(A566&amp;"ENTRADA",Movimientos!$R$2:$R$1993,0)),"-")</f>
        <v>-</v>
      </c>
      <c r="H566" s="17" t="str">
        <f>IFERROR(IF(INDEX(Movimientos!$M$2:$M$1993,MATCH(A566&amp;"ENTRADA",Movimientos!$R$2:$R$1993,0))=0,"S/D",INDEX(Movimientos!$M$2:$M$1993,MATCH(A566&amp;"ENTRADA",Movimientos!$R$2:$R$1993,0))),"S/D")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2873</v>
      </c>
      <c r="B567" s="2" t="str">
        <f>IFERROR(INDEX(Movimientos!$C$2:$C$1993,MATCH(A567&amp;"ENTRADA",Movimientos!$R$2:$R$1993,0)),"-")</f>
        <v>-</v>
      </c>
      <c r="C567" s="2" t="str">
        <f>IFERROR(INDEX(Movimientos!$D$2:$D$1993,MATCH(A567&amp;"ENTRADA",Movimientos!$R$2:$R$1993,0)),"-")</f>
        <v>-</v>
      </c>
      <c r="D567" s="2" t="str">
        <f>IFERROR(INDEX(Movimientos!$E$2:$E$1993,MATCH(A567&amp;"ENTRADA",Movimientos!$R$2:$R$1993,0)),"-")</f>
        <v>-</v>
      </c>
      <c r="E567" s="2" t="str">
        <f>IFERROR(INDEX(Movimientos!$F$2:$F$1993,MATCH(A567&amp;"ENTRADA",Movimientos!$R$2:$R$1993,0)),"-")</f>
        <v>-</v>
      </c>
      <c r="F567" s="2" t="str">
        <f>IFERROR(INDEX(Movimientos!$G$2:$G$1993,MATCH(A567&amp;"ENTRADA",Movimientos!$R$2:$R$1993,0)),"-")</f>
        <v>-</v>
      </c>
      <c r="G567" s="2" t="str">
        <f>IFERROR(INDEX(Movimientos!$L$2:$L$1993,MATCH(A567&amp;"ENTRADA",Movimientos!$R$2:$R$1993,0)),"-")</f>
        <v>-</v>
      </c>
      <c r="H567" s="17" t="str">
        <f>IFERROR(IF(INDEX(Movimientos!$M$2:$M$1993,MATCH(A567&amp;"ENTRADA",Movimientos!$R$2:$R$1993,0))=0,"S/D",INDEX(Movimientos!$M$2:$M$1993,MATCH(A567&amp;"ENTRADA",Movimientos!$R$2:$R$1993,0))),"S/D")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2874</v>
      </c>
      <c r="B568" s="2" t="str">
        <f>IFERROR(INDEX(Movimientos!$C$2:$C$1993,MATCH(A568&amp;"ENTRADA",Movimientos!$R$2:$R$1993,0)),"-")</f>
        <v>-</v>
      </c>
      <c r="C568" s="2" t="str">
        <f>IFERROR(INDEX(Movimientos!$D$2:$D$1993,MATCH(A568&amp;"ENTRADA",Movimientos!$R$2:$R$1993,0)),"-")</f>
        <v>-</v>
      </c>
      <c r="D568" s="2" t="str">
        <f>IFERROR(INDEX(Movimientos!$E$2:$E$1993,MATCH(A568&amp;"ENTRADA",Movimientos!$R$2:$R$1993,0)),"-")</f>
        <v>-</v>
      </c>
      <c r="E568" s="2" t="str">
        <f>IFERROR(INDEX(Movimientos!$F$2:$F$1993,MATCH(A568&amp;"ENTRADA",Movimientos!$R$2:$R$1993,0)),"-")</f>
        <v>-</v>
      </c>
      <c r="F568" s="2" t="str">
        <f>IFERROR(INDEX(Movimientos!$G$2:$G$1993,MATCH(A568&amp;"ENTRADA",Movimientos!$R$2:$R$1993,0)),"-")</f>
        <v>-</v>
      </c>
      <c r="G568" s="2" t="str">
        <f>IFERROR(INDEX(Movimientos!$L$2:$L$1993,MATCH(A568&amp;"ENTRADA",Movimientos!$R$2:$R$1993,0)),"-")</f>
        <v>-</v>
      </c>
      <c r="H568" s="17" t="str">
        <f>IFERROR(IF(INDEX(Movimientos!$M$2:$M$1993,MATCH(A568&amp;"ENTRADA",Movimientos!$R$2:$R$1993,0))=0,"S/D",INDEX(Movimientos!$M$2:$M$1993,MATCH(A568&amp;"ENTRADA",Movimientos!$R$2:$R$1993,0))),"S/D")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2875</v>
      </c>
      <c r="B569" s="2" t="str">
        <f>IFERROR(INDEX(Movimientos!$C$2:$C$1993,MATCH(A569&amp;"ENTRADA",Movimientos!$R$2:$R$1993,0)),"-")</f>
        <v>-</v>
      </c>
      <c r="C569" s="2" t="str">
        <f>IFERROR(INDEX(Movimientos!$D$2:$D$1993,MATCH(A569&amp;"ENTRADA",Movimientos!$R$2:$R$1993,0)),"-")</f>
        <v>-</v>
      </c>
      <c r="D569" s="2" t="str">
        <f>IFERROR(INDEX(Movimientos!$E$2:$E$1993,MATCH(A569&amp;"ENTRADA",Movimientos!$R$2:$R$1993,0)),"-")</f>
        <v>-</v>
      </c>
      <c r="E569" s="2" t="str">
        <f>IFERROR(INDEX(Movimientos!$F$2:$F$1993,MATCH(A569&amp;"ENTRADA",Movimientos!$R$2:$R$1993,0)),"-")</f>
        <v>-</v>
      </c>
      <c r="F569" s="2" t="str">
        <f>IFERROR(INDEX(Movimientos!$G$2:$G$1993,MATCH(A569&amp;"ENTRADA",Movimientos!$R$2:$R$1993,0)),"-")</f>
        <v>-</v>
      </c>
      <c r="G569" s="2" t="str">
        <f>IFERROR(INDEX(Movimientos!$L$2:$L$1993,MATCH(A569&amp;"ENTRADA",Movimientos!$R$2:$R$1993,0)),"-")</f>
        <v>-</v>
      </c>
      <c r="H569" s="17" t="str">
        <f>IFERROR(IF(INDEX(Movimientos!$M$2:$M$1993,MATCH(A569&amp;"ENTRADA",Movimientos!$R$2:$R$1993,0))=0,"S/D",INDEX(Movimientos!$M$2:$M$1993,MATCH(A569&amp;"ENTRADA",Movimientos!$R$2:$R$1993,0))),"S/D")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2876</v>
      </c>
      <c r="B570" s="2" t="str">
        <f>IFERROR(INDEX(Movimientos!$C$2:$C$1993,MATCH(A570&amp;"ENTRADA",Movimientos!$R$2:$R$1993,0)),"-")</f>
        <v>-</v>
      </c>
      <c r="C570" s="2" t="str">
        <f>IFERROR(INDEX(Movimientos!$D$2:$D$1993,MATCH(A570&amp;"ENTRADA",Movimientos!$R$2:$R$1993,0)),"-")</f>
        <v>-</v>
      </c>
      <c r="D570" s="2" t="str">
        <f>IFERROR(INDEX(Movimientos!$E$2:$E$1993,MATCH(A570&amp;"ENTRADA",Movimientos!$R$2:$R$1993,0)),"-")</f>
        <v>-</v>
      </c>
      <c r="E570" s="2" t="str">
        <f>IFERROR(INDEX(Movimientos!$F$2:$F$1993,MATCH(A570&amp;"ENTRADA",Movimientos!$R$2:$R$1993,0)),"-")</f>
        <v>-</v>
      </c>
      <c r="F570" s="2" t="str">
        <f>IFERROR(INDEX(Movimientos!$G$2:$G$1993,MATCH(A570&amp;"ENTRADA",Movimientos!$R$2:$R$1993,0)),"-")</f>
        <v>-</v>
      </c>
      <c r="G570" s="2" t="str">
        <f>IFERROR(INDEX(Movimientos!$L$2:$L$1993,MATCH(A570&amp;"ENTRADA",Movimientos!$R$2:$R$1993,0)),"-")</f>
        <v>-</v>
      </c>
      <c r="H570" s="17" t="str">
        <f>IFERROR(IF(INDEX(Movimientos!$M$2:$M$1993,MATCH(A570&amp;"ENTRADA",Movimientos!$R$2:$R$1993,0))=0,"S/D",INDEX(Movimientos!$M$2:$M$1993,MATCH(A570&amp;"ENTRADA",Movimientos!$R$2:$R$1993,0))),"S/D")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2877</v>
      </c>
      <c r="B571" s="2" t="str">
        <f>IFERROR(INDEX(Movimientos!$C$2:$C$1993,MATCH(A571&amp;"ENTRADA",Movimientos!$R$2:$R$1993,0)),"-")</f>
        <v>-</v>
      </c>
      <c r="C571" s="2" t="str">
        <f>IFERROR(INDEX(Movimientos!$D$2:$D$1993,MATCH(A571&amp;"ENTRADA",Movimientos!$R$2:$R$1993,0)),"-")</f>
        <v>-</v>
      </c>
      <c r="D571" s="2" t="str">
        <f>IFERROR(INDEX(Movimientos!$E$2:$E$1993,MATCH(A571&amp;"ENTRADA",Movimientos!$R$2:$R$1993,0)),"-")</f>
        <v>-</v>
      </c>
      <c r="E571" s="2" t="str">
        <f>IFERROR(INDEX(Movimientos!$F$2:$F$1993,MATCH(A571&amp;"ENTRADA",Movimientos!$R$2:$R$1993,0)),"-")</f>
        <v>-</v>
      </c>
      <c r="F571" s="2" t="str">
        <f>IFERROR(INDEX(Movimientos!$G$2:$G$1993,MATCH(A571&amp;"ENTRADA",Movimientos!$R$2:$R$1993,0)),"-")</f>
        <v>-</v>
      </c>
      <c r="G571" s="2" t="str">
        <f>IFERROR(INDEX(Movimientos!$L$2:$L$1993,MATCH(A571&amp;"ENTRADA",Movimientos!$R$2:$R$1993,0)),"-")</f>
        <v>-</v>
      </c>
      <c r="H571" s="17" t="str">
        <f>IFERROR(IF(INDEX(Movimientos!$M$2:$M$1993,MATCH(A571&amp;"ENTRADA",Movimientos!$R$2:$R$1993,0))=0,"S/D",INDEX(Movimientos!$M$2:$M$1993,MATCH(A571&amp;"ENTRADA",Movimientos!$R$2:$R$1993,0))),"S/D")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2878</v>
      </c>
      <c r="B572" s="2" t="str">
        <f>IFERROR(INDEX(Movimientos!$C$2:$C$1993,MATCH(A572&amp;"ENTRADA",Movimientos!$R$2:$R$1993,0)),"-")</f>
        <v>-</v>
      </c>
      <c r="C572" s="2" t="str">
        <f>IFERROR(INDEX(Movimientos!$D$2:$D$1993,MATCH(A572&amp;"ENTRADA",Movimientos!$R$2:$R$1993,0)),"-")</f>
        <v>-</v>
      </c>
      <c r="D572" s="2" t="str">
        <f>IFERROR(INDEX(Movimientos!$E$2:$E$1993,MATCH(A572&amp;"ENTRADA",Movimientos!$R$2:$R$1993,0)),"-")</f>
        <v>-</v>
      </c>
      <c r="E572" s="2" t="str">
        <f>IFERROR(INDEX(Movimientos!$F$2:$F$1993,MATCH(A572&amp;"ENTRADA",Movimientos!$R$2:$R$1993,0)),"-")</f>
        <v>-</v>
      </c>
      <c r="F572" s="2" t="str">
        <f>IFERROR(INDEX(Movimientos!$G$2:$G$1993,MATCH(A572&amp;"ENTRADA",Movimientos!$R$2:$R$1993,0)),"-")</f>
        <v>-</v>
      </c>
      <c r="G572" s="2" t="str">
        <f>IFERROR(INDEX(Movimientos!$L$2:$L$1993,MATCH(A572&amp;"ENTRADA",Movimientos!$R$2:$R$1993,0)),"-")</f>
        <v>-</v>
      </c>
      <c r="H572" s="17" t="str">
        <f>IFERROR(IF(INDEX(Movimientos!$M$2:$M$1993,MATCH(A572&amp;"ENTRADA",Movimientos!$R$2:$R$1993,0))=0,"S/D",INDEX(Movimientos!$M$2:$M$1993,MATCH(A572&amp;"ENTRADA",Movimientos!$R$2:$R$1993,0))),"S/D")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2879</v>
      </c>
      <c r="B573" s="2" t="str">
        <f>IFERROR(INDEX(Movimientos!$C$2:$C$1993,MATCH(A573&amp;"ENTRADA",Movimientos!$R$2:$R$1993,0)),"-")</f>
        <v>-</v>
      </c>
      <c r="C573" s="2" t="str">
        <f>IFERROR(INDEX(Movimientos!$D$2:$D$1993,MATCH(A573&amp;"ENTRADA",Movimientos!$R$2:$R$1993,0)),"-")</f>
        <v>-</v>
      </c>
      <c r="D573" s="2" t="str">
        <f>IFERROR(INDEX(Movimientos!$E$2:$E$1993,MATCH(A573&amp;"ENTRADA",Movimientos!$R$2:$R$1993,0)),"-")</f>
        <v>-</v>
      </c>
      <c r="E573" s="2" t="str">
        <f>IFERROR(INDEX(Movimientos!$F$2:$F$1993,MATCH(A573&amp;"ENTRADA",Movimientos!$R$2:$R$1993,0)),"-")</f>
        <v>-</v>
      </c>
      <c r="F573" s="2" t="str">
        <f>IFERROR(INDEX(Movimientos!$G$2:$G$1993,MATCH(A573&amp;"ENTRADA",Movimientos!$R$2:$R$1993,0)),"-")</f>
        <v>-</v>
      </c>
      <c r="G573" s="2" t="str">
        <f>IFERROR(INDEX(Movimientos!$L$2:$L$1993,MATCH(A573&amp;"ENTRADA",Movimientos!$R$2:$R$1993,0)),"-")</f>
        <v>-</v>
      </c>
      <c r="H573" s="17" t="str">
        <f>IFERROR(IF(INDEX(Movimientos!$M$2:$M$1993,MATCH(A573&amp;"ENTRADA",Movimientos!$R$2:$R$1993,0))=0,"S/D",INDEX(Movimientos!$M$2:$M$1993,MATCH(A573&amp;"ENTRADA",Movimientos!$R$2:$R$1993,0))),"S/D")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2880</v>
      </c>
      <c r="B574" s="2" t="str">
        <f>IFERROR(INDEX(Movimientos!$C$2:$C$1993,MATCH(A574&amp;"ENTRADA",Movimientos!$R$2:$R$1993,0)),"-")</f>
        <v>-</v>
      </c>
      <c r="C574" s="2" t="str">
        <f>IFERROR(INDEX(Movimientos!$D$2:$D$1993,MATCH(A574&amp;"ENTRADA",Movimientos!$R$2:$R$1993,0)),"-")</f>
        <v>-</v>
      </c>
      <c r="D574" s="2" t="str">
        <f>IFERROR(INDEX(Movimientos!$E$2:$E$1993,MATCH(A574&amp;"ENTRADA",Movimientos!$R$2:$R$1993,0)),"-")</f>
        <v>-</v>
      </c>
      <c r="E574" s="2" t="str">
        <f>IFERROR(INDEX(Movimientos!$F$2:$F$1993,MATCH(A574&amp;"ENTRADA",Movimientos!$R$2:$R$1993,0)),"-")</f>
        <v>-</v>
      </c>
      <c r="F574" s="2" t="str">
        <f>IFERROR(INDEX(Movimientos!$G$2:$G$1993,MATCH(A574&amp;"ENTRADA",Movimientos!$R$2:$R$1993,0)),"-")</f>
        <v>-</v>
      </c>
      <c r="G574" s="2" t="str">
        <f>IFERROR(INDEX(Movimientos!$L$2:$L$1993,MATCH(A574&amp;"ENTRADA",Movimientos!$R$2:$R$1993,0)),"-")</f>
        <v>-</v>
      </c>
      <c r="H574" s="17" t="str">
        <f>IFERROR(IF(INDEX(Movimientos!$M$2:$M$1993,MATCH(A574&amp;"ENTRADA",Movimientos!$R$2:$R$1993,0))=0,"S/D",INDEX(Movimientos!$M$2:$M$1993,MATCH(A574&amp;"ENTRADA",Movimientos!$R$2:$R$1993,0))),"S/D")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2881</v>
      </c>
      <c r="B575" s="2" t="str">
        <f>IFERROR(INDEX(Movimientos!$C$2:$C$1993,MATCH(A575&amp;"ENTRADA",Movimientos!$R$2:$R$1993,0)),"-")</f>
        <v>-</v>
      </c>
      <c r="C575" s="2" t="str">
        <f>IFERROR(INDEX(Movimientos!$D$2:$D$1993,MATCH(A575&amp;"ENTRADA",Movimientos!$R$2:$R$1993,0)),"-")</f>
        <v>-</v>
      </c>
      <c r="D575" s="2" t="str">
        <f>IFERROR(INDEX(Movimientos!$E$2:$E$1993,MATCH(A575&amp;"ENTRADA",Movimientos!$R$2:$R$1993,0)),"-")</f>
        <v>-</v>
      </c>
      <c r="E575" s="2" t="str">
        <f>IFERROR(INDEX(Movimientos!$F$2:$F$1993,MATCH(A575&amp;"ENTRADA",Movimientos!$R$2:$R$1993,0)),"-")</f>
        <v>-</v>
      </c>
      <c r="F575" s="2" t="str">
        <f>IFERROR(INDEX(Movimientos!$G$2:$G$1993,MATCH(A575&amp;"ENTRADA",Movimientos!$R$2:$R$1993,0)),"-")</f>
        <v>-</v>
      </c>
      <c r="G575" s="2" t="str">
        <f>IFERROR(INDEX(Movimientos!$L$2:$L$1993,MATCH(A575&amp;"ENTRADA",Movimientos!$R$2:$R$1993,0)),"-")</f>
        <v>-</v>
      </c>
      <c r="H575" s="17" t="str">
        <f>IFERROR(IF(INDEX(Movimientos!$M$2:$M$1993,MATCH(A575&amp;"ENTRADA",Movimientos!$R$2:$R$1993,0))=0,"S/D",INDEX(Movimientos!$M$2:$M$1993,MATCH(A575&amp;"ENTRADA",Movimientos!$R$2:$R$1993,0))),"S/D")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2882</v>
      </c>
      <c r="B576" s="2" t="str">
        <f>IFERROR(INDEX(Movimientos!$C$2:$C$1993,MATCH(A576&amp;"ENTRADA",Movimientos!$R$2:$R$1993,0)),"-")</f>
        <v>-</v>
      </c>
      <c r="C576" s="2" t="str">
        <f>IFERROR(INDEX(Movimientos!$D$2:$D$1993,MATCH(A576&amp;"ENTRADA",Movimientos!$R$2:$R$1993,0)),"-")</f>
        <v>-</v>
      </c>
      <c r="D576" s="2" t="str">
        <f>IFERROR(INDEX(Movimientos!$E$2:$E$1993,MATCH(A576&amp;"ENTRADA",Movimientos!$R$2:$R$1993,0)),"-")</f>
        <v>-</v>
      </c>
      <c r="E576" s="2" t="str">
        <f>IFERROR(INDEX(Movimientos!$F$2:$F$1993,MATCH(A576&amp;"ENTRADA",Movimientos!$R$2:$R$1993,0)),"-")</f>
        <v>-</v>
      </c>
      <c r="F576" s="2" t="str">
        <f>IFERROR(INDEX(Movimientos!$G$2:$G$1993,MATCH(A576&amp;"ENTRADA",Movimientos!$R$2:$R$1993,0)),"-")</f>
        <v>-</v>
      </c>
      <c r="G576" s="2" t="str">
        <f>IFERROR(INDEX(Movimientos!$L$2:$L$1993,MATCH(A576&amp;"ENTRADA",Movimientos!$R$2:$R$1993,0)),"-")</f>
        <v>-</v>
      </c>
      <c r="H576" s="17" t="str">
        <f>IFERROR(IF(INDEX(Movimientos!$M$2:$M$1993,MATCH(A576&amp;"ENTRADA",Movimientos!$R$2:$R$1993,0))=0,"S/D",INDEX(Movimientos!$M$2:$M$1993,MATCH(A576&amp;"ENTRADA",Movimientos!$R$2:$R$1993,0))),"S/D")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2883</v>
      </c>
      <c r="B577" s="2" t="str">
        <f>IFERROR(INDEX(Movimientos!$C$2:$C$1993,MATCH(A577&amp;"ENTRADA",Movimientos!$R$2:$R$1993,0)),"-")</f>
        <v>-</v>
      </c>
      <c r="C577" s="2" t="str">
        <f>IFERROR(INDEX(Movimientos!$D$2:$D$1993,MATCH(A577&amp;"ENTRADA",Movimientos!$R$2:$R$1993,0)),"-")</f>
        <v>-</v>
      </c>
      <c r="D577" s="2" t="str">
        <f>IFERROR(INDEX(Movimientos!$E$2:$E$1993,MATCH(A577&amp;"ENTRADA",Movimientos!$R$2:$R$1993,0)),"-")</f>
        <v>-</v>
      </c>
      <c r="E577" s="2" t="str">
        <f>IFERROR(INDEX(Movimientos!$F$2:$F$1993,MATCH(A577&amp;"ENTRADA",Movimientos!$R$2:$R$1993,0)),"-")</f>
        <v>-</v>
      </c>
      <c r="F577" s="2" t="str">
        <f>IFERROR(INDEX(Movimientos!$G$2:$G$1993,MATCH(A577&amp;"ENTRADA",Movimientos!$R$2:$R$1993,0)),"-")</f>
        <v>-</v>
      </c>
      <c r="G577" s="2" t="str">
        <f>IFERROR(INDEX(Movimientos!$L$2:$L$1993,MATCH(A577&amp;"ENTRADA",Movimientos!$R$2:$R$1993,0)),"-")</f>
        <v>-</v>
      </c>
      <c r="H577" s="17" t="str">
        <f>IFERROR(IF(INDEX(Movimientos!$M$2:$M$1993,MATCH(A577&amp;"ENTRADA",Movimientos!$R$2:$R$1993,0))=0,"S/D",INDEX(Movimientos!$M$2:$M$1993,MATCH(A577&amp;"ENTRADA",Movimientos!$R$2:$R$1993,0))),"S/D")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2884</v>
      </c>
      <c r="B578" s="2" t="str">
        <f>IFERROR(INDEX(Movimientos!$C$2:$C$1993,MATCH(A578&amp;"ENTRADA",Movimientos!$R$2:$R$1993,0)),"-")</f>
        <v>-</v>
      </c>
      <c r="C578" s="2" t="str">
        <f>IFERROR(INDEX(Movimientos!$D$2:$D$1993,MATCH(A578&amp;"ENTRADA",Movimientos!$R$2:$R$1993,0)),"-")</f>
        <v>-</v>
      </c>
      <c r="D578" s="2" t="str">
        <f>IFERROR(INDEX(Movimientos!$E$2:$E$1993,MATCH(A578&amp;"ENTRADA",Movimientos!$R$2:$R$1993,0)),"-")</f>
        <v>-</v>
      </c>
      <c r="E578" s="2" t="str">
        <f>IFERROR(INDEX(Movimientos!$F$2:$F$1993,MATCH(A578&amp;"ENTRADA",Movimientos!$R$2:$R$1993,0)),"-")</f>
        <v>-</v>
      </c>
      <c r="F578" s="2" t="str">
        <f>IFERROR(INDEX(Movimientos!$G$2:$G$1993,MATCH(A578&amp;"ENTRADA",Movimientos!$R$2:$R$1993,0)),"-")</f>
        <v>-</v>
      </c>
      <c r="G578" s="2" t="str">
        <f>IFERROR(INDEX(Movimientos!$L$2:$L$1993,MATCH(A578&amp;"ENTRADA",Movimientos!$R$2:$R$1993,0)),"-")</f>
        <v>-</v>
      </c>
      <c r="H578" s="17" t="str">
        <f>IFERROR(IF(INDEX(Movimientos!$M$2:$M$1993,MATCH(A578&amp;"ENTRADA",Movimientos!$R$2:$R$1993,0))=0,"S/D",INDEX(Movimientos!$M$2:$M$1993,MATCH(A578&amp;"ENTRADA",Movimientos!$R$2:$R$1993,0))),"S/D")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2885</v>
      </c>
      <c r="B579" s="2" t="str">
        <f>IFERROR(INDEX(Movimientos!$C$2:$C$1993,MATCH(A579&amp;"ENTRADA",Movimientos!$R$2:$R$1993,0)),"-")</f>
        <v>-</v>
      </c>
      <c r="C579" s="2" t="str">
        <f>IFERROR(INDEX(Movimientos!$D$2:$D$1993,MATCH(A579&amp;"ENTRADA",Movimientos!$R$2:$R$1993,0)),"-")</f>
        <v>-</v>
      </c>
      <c r="D579" s="2" t="str">
        <f>IFERROR(INDEX(Movimientos!$E$2:$E$1993,MATCH(A579&amp;"ENTRADA",Movimientos!$R$2:$R$1993,0)),"-")</f>
        <v>-</v>
      </c>
      <c r="E579" s="2" t="str">
        <f>IFERROR(INDEX(Movimientos!$F$2:$F$1993,MATCH(A579&amp;"ENTRADA",Movimientos!$R$2:$R$1993,0)),"-")</f>
        <v>-</v>
      </c>
      <c r="F579" s="2" t="str">
        <f>IFERROR(INDEX(Movimientos!$G$2:$G$1993,MATCH(A579&amp;"ENTRADA",Movimientos!$R$2:$R$1993,0)),"-")</f>
        <v>-</v>
      </c>
      <c r="G579" s="2" t="str">
        <f>IFERROR(INDEX(Movimientos!$L$2:$L$1993,MATCH(A579&amp;"ENTRADA",Movimientos!$R$2:$R$1993,0)),"-")</f>
        <v>-</v>
      </c>
      <c r="H579" s="17" t="str">
        <f>IFERROR(IF(INDEX(Movimientos!$M$2:$M$1993,MATCH(A579&amp;"ENTRADA",Movimientos!$R$2:$R$1993,0))=0,"S/D",INDEX(Movimientos!$M$2:$M$1993,MATCH(A579&amp;"ENTRADA",Movimientos!$R$2:$R$1993,0))),"S/D")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2886</v>
      </c>
      <c r="B580" s="2" t="str">
        <f>IFERROR(INDEX(Movimientos!$C$2:$C$1993,MATCH(A580&amp;"ENTRADA",Movimientos!$R$2:$R$1993,0)),"-")</f>
        <v>-</v>
      </c>
      <c r="C580" s="2" t="str">
        <f>IFERROR(INDEX(Movimientos!$D$2:$D$1993,MATCH(A580&amp;"ENTRADA",Movimientos!$R$2:$R$1993,0)),"-")</f>
        <v>-</v>
      </c>
      <c r="D580" s="2" t="str">
        <f>IFERROR(INDEX(Movimientos!$E$2:$E$1993,MATCH(A580&amp;"ENTRADA",Movimientos!$R$2:$R$1993,0)),"-")</f>
        <v>-</v>
      </c>
      <c r="E580" s="2" t="str">
        <f>IFERROR(INDEX(Movimientos!$F$2:$F$1993,MATCH(A580&amp;"ENTRADA",Movimientos!$R$2:$R$1993,0)),"-")</f>
        <v>-</v>
      </c>
      <c r="F580" s="2" t="str">
        <f>IFERROR(INDEX(Movimientos!$G$2:$G$1993,MATCH(A580&amp;"ENTRADA",Movimientos!$R$2:$R$1993,0)),"-")</f>
        <v>-</v>
      </c>
      <c r="G580" s="2" t="str">
        <f>IFERROR(INDEX(Movimientos!$L$2:$L$1993,MATCH(A580&amp;"ENTRADA",Movimientos!$R$2:$R$1993,0)),"-")</f>
        <v>-</v>
      </c>
      <c r="H580" s="17" t="str">
        <f>IFERROR(IF(INDEX(Movimientos!$M$2:$M$1993,MATCH(A580&amp;"ENTRADA",Movimientos!$R$2:$R$1993,0))=0,"S/D",INDEX(Movimientos!$M$2:$M$1993,MATCH(A580&amp;"ENTRADA",Movimientos!$R$2:$R$1993,0))),"S/D")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2887</v>
      </c>
      <c r="B581" s="2" t="str">
        <f>IFERROR(INDEX(Movimientos!$C$2:$C$1993,MATCH(A581&amp;"ENTRADA",Movimientos!$R$2:$R$1993,0)),"-")</f>
        <v>-</v>
      </c>
      <c r="C581" s="2" t="str">
        <f>IFERROR(INDEX(Movimientos!$D$2:$D$1993,MATCH(A581&amp;"ENTRADA",Movimientos!$R$2:$R$1993,0)),"-")</f>
        <v>-</v>
      </c>
      <c r="D581" s="2" t="str">
        <f>IFERROR(INDEX(Movimientos!$E$2:$E$1993,MATCH(A581&amp;"ENTRADA",Movimientos!$R$2:$R$1993,0)),"-")</f>
        <v>-</v>
      </c>
      <c r="E581" s="2" t="str">
        <f>IFERROR(INDEX(Movimientos!$F$2:$F$1993,MATCH(A581&amp;"ENTRADA",Movimientos!$R$2:$R$1993,0)),"-")</f>
        <v>-</v>
      </c>
      <c r="F581" s="2" t="str">
        <f>IFERROR(INDEX(Movimientos!$G$2:$G$1993,MATCH(A581&amp;"ENTRADA",Movimientos!$R$2:$R$1993,0)),"-")</f>
        <v>-</v>
      </c>
      <c r="G581" s="2" t="str">
        <f>IFERROR(INDEX(Movimientos!$L$2:$L$1993,MATCH(A581&amp;"ENTRADA",Movimientos!$R$2:$R$1993,0)),"-")</f>
        <v>-</v>
      </c>
      <c r="H581" s="17" t="str">
        <f>IFERROR(IF(INDEX(Movimientos!$M$2:$M$1993,MATCH(A581&amp;"ENTRADA",Movimientos!$R$2:$R$1993,0))=0,"S/D",INDEX(Movimientos!$M$2:$M$1993,MATCH(A581&amp;"ENTRADA",Movimientos!$R$2:$R$1993,0))),"S/D")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2888</v>
      </c>
      <c r="B582" s="2" t="str">
        <f>IFERROR(INDEX(Movimientos!$C$2:$C$1993,MATCH(A582&amp;"ENTRADA",Movimientos!$R$2:$R$1993,0)),"-")</f>
        <v>-</v>
      </c>
      <c r="C582" s="2" t="str">
        <f>IFERROR(INDEX(Movimientos!$D$2:$D$1993,MATCH(A582&amp;"ENTRADA",Movimientos!$R$2:$R$1993,0)),"-")</f>
        <v>-</v>
      </c>
      <c r="D582" s="2" t="str">
        <f>IFERROR(INDEX(Movimientos!$E$2:$E$1993,MATCH(A582&amp;"ENTRADA",Movimientos!$R$2:$R$1993,0)),"-")</f>
        <v>-</v>
      </c>
      <c r="E582" s="2" t="str">
        <f>IFERROR(INDEX(Movimientos!$F$2:$F$1993,MATCH(A582&amp;"ENTRADA",Movimientos!$R$2:$R$1993,0)),"-")</f>
        <v>-</v>
      </c>
      <c r="F582" s="2" t="str">
        <f>IFERROR(INDEX(Movimientos!$G$2:$G$1993,MATCH(A582&amp;"ENTRADA",Movimientos!$R$2:$R$1993,0)),"-")</f>
        <v>-</v>
      </c>
      <c r="G582" s="2" t="str">
        <f>IFERROR(INDEX(Movimientos!$L$2:$L$1993,MATCH(A582&amp;"ENTRADA",Movimientos!$R$2:$R$1993,0)),"-")</f>
        <v>-</v>
      </c>
      <c r="H582" s="17" t="str">
        <f>IFERROR(IF(INDEX(Movimientos!$M$2:$M$1993,MATCH(A582&amp;"ENTRADA",Movimientos!$R$2:$R$1993,0))=0,"S/D",INDEX(Movimientos!$M$2:$M$1993,MATCH(A582&amp;"ENTRADA",Movimientos!$R$2:$R$1993,0))),"S/D")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2889</v>
      </c>
      <c r="B583" s="2" t="str">
        <f>IFERROR(INDEX(Movimientos!$C$2:$C$1993,MATCH(A583&amp;"ENTRADA",Movimientos!$R$2:$R$1993,0)),"-")</f>
        <v>-</v>
      </c>
      <c r="C583" s="2" t="str">
        <f>IFERROR(INDEX(Movimientos!$D$2:$D$1993,MATCH(A583&amp;"ENTRADA",Movimientos!$R$2:$R$1993,0)),"-")</f>
        <v>-</v>
      </c>
      <c r="D583" s="2" t="str">
        <f>IFERROR(INDEX(Movimientos!$E$2:$E$1993,MATCH(A583&amp;"ENTRADA",Movimientos!$R$2:$R$1993,0)),"-")</f>
        <v>-</v>
      </c>
      <c r="E583" s="2" t="str">
        <f>IFERROR(INDEX(Movimientos!$F$2:$F$1993,MATCH(A583&amp;"ENTRADA",Movimientos!$R$2:$R$1993,0)),"-")</f>
        <v>-</v>
      </c>
      <c r="F583" s="2" t="str">
        <f>IFERROR(INDEX(Movimientos!$G$2:$G$1993,MATCH(A583&amp;"ENTRADA",Movimientos!$R$2:$R$1993,0)),"-")</f>
        <v>-</v>
      </c>
      <c r="G583" s="2" t="str">
        <f>IFERROR(INDEX(Movimientos!$L$2:$L$1993,MATCH(A583&amp;"ENTRADA",Movimientos!$R$2:$R$1993,0)),"-")</f>
        <v>-</v>
      </c>
      <c r="H583" s="17" t="str">
        <f>IFERROR(IF(INDEX(Movimientos!$M$2:$M$1993,MATCH(A583&amp;"ENTRADA",Movimientos!$R$2:$R$1993,0))=0,"S/D",INDEX(Movimientos!$M$2:$M$1993,MATCH(A583&amp;"ENTRADA",Movimientos!$R$2:$R$1993,0))),"S/D")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2890</v>
      </c>
      <c r="B584" s="2" t="str">
        <f>IFERROR(INDEX(Movimientos!$C$2:$C$1993,MATCH(A584&amp;"ENTRADA",Movimientos!$R$2:$R$1993,0)),"-")</f>
        <v>-</v>
      </c>
      <c r="C584" s="2" t="str">
        <f>IFERROR(INDEX(Movimientos!$D$2:$D$1993,MATCH(A584&amp;"ENTRADA",Movimientos!$R$2:$R$1993,0)),"-")</f>
        <v>-</v>
      </c>
      <c r="D584" s="2" t="str">
        <f>IFERROR(INDEX(Movimientos!$E$2:$E$1993,MATCH(A584&amp;"ENTRADA",Movimientos!$R$2:$R$1993,0)),"-")</f>
        <v>-</v>
      </c>
      <c r="E584" s="2" t="str">
        <f>IFERROR(INDEX(Movimientos!$F$2:$F$1993,MATCH(A584&amp;"ENTRADA",Movimientos!$R$2:$R$1993,0)),"-")</f>
        <v>-</v>
      </c>
      <c r="F584" s="2" t="str">
        <f>IFERROR(INDEX(Movimientos!$G$2:$G$1993,MATCH(A584&amp;"ENTRADA",Movimientos!$R$2:$R$1993,0)),"-")</f>
        <v>-</v>
      </c>
      <c r="G584" s="2" t="str">
        <f>IFERROR(INDEX(Movimientos!$L$2:$L$1993,MATCH(A584&amp;"ENTRADA",Movimientos!$R$2:$R$1993,0)),"-")</f>
        <v>-</v>
      </c>
      <c r="H584" s="17" t="str">
        <f>IFERROR(IF(INDEX(Movimientos!$M$2:$M$1993,MATCH(A584&amp;"ENTRADA",Movimientos!$R$2:$R$1993,0))=0,"S/D",INDEX(Movimientos!$M$2:$M$1993,MATCH(A584&amp;"ENTRADA",Movimientos!$R$2:$R$1993,0))),"S/D")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2891</v>
      </c>
      <c r="B585" s="2" t="str">
        <f>IFERROR(INDEX(Movimientos!$C$2:$C$1993,MATCH(A585&amp;"ENTRADA",Movimientos!$R$2:$R$1993,0)),"-")</f>
        <v>-</v>
      </c>
      <c r="C585" s="2" t="str">
        <f>IFERROR(INDEX(Movimientos!$D$2:$D$1993,MATCH(A585&amp;"ENTRADA",Movimientos!$R$2:$R$1993,0)),"-")</f>
        <v>-</v>
      </c>
      <c r="D585" s="2" t="str">
        <f>IFERROR(INDEX(Movimientos!$E$2:$E$1993,MATCH(A585&amp;"ENTRADA",Movimientos!$R$2:$R$1993,0)),"-")</f>
        <v>-</v>
      </c>
      <c r="E585" s="2" t="str">
        <f>IFERROR(INDEX(Movimientos!$F$2:$F$1993,MATCH(A585&amp;"ENTRADA",Movimientos!$R$2:$R$1993,0)),"-")</f>
        <v>-</v>
      </c>
      <c r="F585" s="2" t="str">
        <f>IFERROR(INDEX(Movimientos!$G$2:$G$1993,MATCH(A585&amp;"ENTRADA",Movimientos!$R$2:$R$1993,0)),"-")</f>
        <v>-</v>
      </c>
      <c r="G585" s="2" t="str">
        <f>IFERROR(INDEX(Movimientos!$L$2:$L$1993,MATCH(A585&amp;"ENTRADA",Movimientos!$R$2:$R$1993,0)),"-")</f>
        <v>-</v>
      </c>
      <c r="H585" s="17" t="str">
        <f>IFERROR(IF(INDEX(Movimientos!$M$2:$M$1993,MATCH(A585&amp;"ENTRADA",Movimientos!$R$2:$R$1993,0))=0,"S/D",INDEX(Movimientos!$M$2:$M$1993,MATCH(A585&amp;"ENTRADA",Movimientos!$R$2:$R$1993,0))),"S/D")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2892</v>
      </c>
      <c r="B586" s="2" t="str">
        <f>IFERROR(INDEX(Movimientos!$C$2:$C$1993,MATCH(A586&amp;"ENTRADA",Movimientos!$R$2:$R$1993,0)),"-")</f>
        <v>-</v>
      </c>
      <c r="C586" s="2" t="str">
        <f>IFERROR(INDEX(Movimientos!$D$2:$D$1993,MATCH(A586&amp;"ENTRADA",Movimientos!$R$2:$R$1993,0)),"-")</f>
        <v>-</v>
      </c>
      <c r="D586" s="2" t="str">
        <f>IFERROR(INDEX(Movimientos!$E$2:$E$1993,MATCH(A586&amp;"ENTRADA",Movimientos!$R$2:$R$1993,0)),"-")</f>
        <v>-</v>
      </c>
      <c r="E586" s="2" t="str">
        <f>IFERROR(INDEX(Movimientos!$F$2:$F$1993,MATCH(A586&amp;"ENTRADA",Movimientos!$R$2:$R$1993,0)),"-")</f>
        <v>-</v>
      </c>
      <c r="F586" s="2" t="str">
        <f>IFERROR(INDEX(Movimientos!$G$2:$G$1993,MATCH(A586&amp;"ENTRADA",Movimientos!$R$2:$R$1993,0)),"-")</f>
        <v>-</v>
      </c>
      <c r="G586" s="2" t="str">
        <f>IFERROR(INDEX(Movimientos!$L$2:$L$1993,MATCH(A586&amp;"ENTRADA",Movimientos!$R$2:$R$1993,0)),"-")</f>
        <v>-</v>
      </c>
      <c r="H586" s="17" t="str">
        <f>IFERROR(IF(INDEX(Movimientos!$M$2:$M$1993,MATCH(A586&amp;"ENTRADA",Movimientos!$R$2:$R$1993,0))=0,"S/D",INDEX(Movimientos!$M$2:$M$1993,MATCH(A586&amp;"ENTRADA",Movimientos!$R$2:$R$1993,0))),"S/D")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2893</v>
      </c>
      <c r="B587" s="2" t="str">
        <f>IFERROR(INDEX(Movimientos!$C$2:$C$1993,MATCH(A587&amp;"ENTRADA",Movimientos!$R$2:$R$1993,0)),"-")</f>
        <v>-</v>
      </c>
      <c r="C587" s="2" t="str">
        <f>IFERROR(INDEX(Movimientos!$D$2:$D$1993,MATCH(A587&amp;"ENTRADA",Movimientos!$R$2:$R$1993,0)),"-")</f>
        <v>-</v>
      </c>
      <c r="D587" s="2" t="str">
        <f>IFERROR(INDEX(Movimientos!$E$2:$E$1993,MATCH(A587&amp;"ENTRADA",Movimientos!$R$2:$R$1993,0)),"-")</f>
        <v>-</v>
      </c>
      <c r="E587" s="2" t="str">
        <f>IFERROR(INDEX(Movimientos!$F$2:$F$1993,MATCH(A587&amp;"ENTRADA",Movimientos!$R$2:$R$1993,0)),"-")</f>
        <v>-</v>
      </c>
      <c r="F587" s="2" t="str">
        <f>IFERROR(INDEX(Movimientos!$G$2:$G$1993,MATCH(A587&amp;"ENTRADA",Movimientos!$R$2:$R$1993,0)),"-")</f>
        <v>-</v>
      </c>
      <c r="G587" s="2" t="str">
        <f>IFERROR(INDEX(Movimientos!$L$2:$L$1993,MATCH(A587&amp;"ENTRADA",Movimientos!$R$2:$R$1993,0)),"-")</f>
        <v>-</v>
      </c>
      <c r="H587" s="17" t="str">
        <f>IFERROR(IF(INDEX(Movimientos!$M$2:$M$1993,MATCH(A587&amp;"ENTRADA",Movimientos!$R$2:$R$1993,0))=0,"S/D",INDEX(Movimientos!$M$2:$M$1993,MATCH(A587&amp;"ENTRADA",Movimientos!$R$2:$R$1993,0))),"S/D")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2894</v>
      </c>
      <c r="B588" s="2" t="str">
        <f>IFERROR(INDEX(Movimientos!$C$2:$C$1993,MATCH(A588&amp;"ENTRADA",Movimientos!$R$2:$R$1993,0)),"-")</f>
        <v>-</v>
      </c>
      <c r="C588" s="2" t="str">
        <f>IFERROR(INDEX(Movimientos!$D$2:$D$1993,MATCH(A588&amp;"ENTRADA",Movimientos!$R$2:$R$1993,0)),"-")</f>
        <v>-</v>
      </c>
      <c r="D588" s="2" t="str">
        <f>IFERROR(INDEX(Movimientos!$E$2:$E$1993,MATCH(A588&amp;"ENTRADA",Movimientos!$R$2:$R$1993,0)),"-")</f>
        <v>-</v>
      </c>
      <c r="E588" s="2" t="str">
        <f>IFERROR(INDEX(Movimientos!$F$2:$F$1993,MATCH(A588&amp;"ENTRADA",Movimientos!$R$2:$R$1993,0)),"-")</f>
        <v>-</v>
      </c>
      <c r="F588" s="2" t="str">
        <f>IFERROR(INDEX(Movimientos!$G$2:$G$1993,MATCH(A588&amp;"ENTRADA",Movimientos!$R$2:$R$1993,0)),"-")</f>
        <v>-</v>
      </c>
      <c r="G588" s="2" t="str">
        <f>IFERROR(INDEX(Movimientos!$L$2:$L$1993,MATCH(A588&amp;"ENTRADA",Movimientos!$R$2:$R$1993,0)),"-")</f>
        <v>-</v>
      </c>
      <c r="H588" s="17" t="str">
        <f>IFERROR(IF(INDEX(Movimientos!$M$2:$M$1993,MATCH(A588&amp;"ENTRADA",Movimientos!$R$2:$R$1993,0))=0,"S/D",INDEX(Movimientos!$M$2:$M$1993,MATCH(A588&amp;"ENTRADA",Movimientos!$R$2:$R$1993,0))),"S/D")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2895</v>
      </c>
      <c r="B589" s="2" t="str">
        <f>IFERROR(INDEX(Movimientos!$C$2:$C$1993,MATCH(A589&amp;"ENTRADA",Movimientos!$R$2:$R$1993,0)),"-")</f>
        <v>-</v>
      </c>
      <c r="C589" s="2" t="str">
        <f>IFERROR(INDEX(Movimientos!$D$2:$D$1993,MATCH(A589&amp;"ENTRADA",Movimientos!$R$2:$R$1993,0)),"-")</f>
        <v>-</v>
      </c>
      <c r="D589" s="2" t="str">
        <f>IFERROR(INDEX(Movimientos!$E$2:$E$1993,MATCH(A589&amp;"ENTRADA",Movimientos!$R$2:$R$1993,0)),"-")</f>
        <v>-</v>
      </c>
      <c r="E589" s="2" t="str">
        <f>IFERROR(INDEX(Movimientos!$F$2:$F$1993,MATCH(A589&amp;"ENTRADA",Movimientos!$R$2:$R$1993,0)),"-")</f>
        <v>-</v>
      </c>
      <c r="F589" s="2" t="str">
        <f>IFERROR(INDEX(Movimientos!$G$2:$G$1993,MATCH(A589&amp;"ENTRADA",Movimientos!$R$2:$R$1993,0)),"-")</f>
        <v>-</v>
      </c>
      <c r="G589" s="2" t="str">
        <f>IFERROR(INDEX(Movimientos!$L$2:$L$1993,MATCH(A589&amp;"ENTRADA",Movimientos!$R$2:$R$1993,0)),"-")</f>
        <v>-</v>
      </c>
      <c r="H589" s="17" t="str">
        <f>IFERROR(IF(INDEX(Movimientos!$M$2:$M$1993,MATCH(A589&amp;"ENTRADA",Movimientos!$R$2:$R$1993,0))=0,"S/D",INDEX(Movimientos!$M$2:$M$1993,MATCH(A589&amp;"ENTRADA",Movimientos!$R$2:$R$1993,0))),"S/D")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2896</v>
      </c>
      <c r="B590" s="2" t="str">
        <f>IFERROR(INDEX(Movimientos!$C$2:$C$1993,MATCH(A590&amp;"ENTRADA",Movimientos!$R$2:$R$1993,0)),"-")</f>
        <v>-</v>
      </c>
      <c r="C590" s="2" t="str">
        <f>IFERROR(INDEX(Movimientos!$D$2:$D$1993,MATCH(A590&amp;"ENTRADA",Movimientos!$R$2:$R$1993,0)),"-")</f>
        <v>-</v>
      </c>
      <c r="D590" s="2" t="str">
        <f>IFERROR(INDEX(Movimientos!$E$2:$E$1993,MATCH(A590&amp;"ENTRADA",Movimientos!$R$2:$R$1993,0)),"-")</f>
        <v>-</v>
      </c>
      <c r="E590" s="2" t="str">
        <f>IFERROR(INDEX(Movimientos!$F$2:$F$1993,MATCH(A590&amp;"ENTRADA",Movimientos!$R$2:$R$1993,0)),"-")</f>
        <v>-</v>
      </c>
      <c r="F590" s="2" t="str">
        <f>IFERROR(INDEX(Movimientos!$G$2:$G$1993,MATCH(A590&amp;"ENTRADA",Movimientos!$R$2:$R$1993,0)),"-")</f>
        <v>-</v>
      </c>
      <c r="G590" s="2" t="str">
        <f>IFERROR(INDEX(Movimientos!$L$2:$L$1993,MATCH(A590&amp;"ENTRADA",Movimientos!$R$2:$R$1993,0)),"-")</f>
        <v>-</v>
      </c>
      <c r="H590" s="17" t="str">
        <f>IFERROR(IF(INDEX(Movimientos!$M$2:$M$1993,MATCH(A590&amp;"ENTRADA",Movimientos!$R$2:$R$1993,0))=0,"S/D",INDEX(Movimientos!$M$2:$M$1993,MATCH(A590&amp;"ENTRADA",Movimientos!$R$2:$R$1993,0))),"S/D")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2897</v>
      </c>
      <c r="B591" s="2" t="str">
        <f>IFERROR(INDEX(Movimientos!$C$2:$C$1993,MATCH(A591&amp;"ENTRADA",Movimientos!$R$2:$R$1993,0)),"-")</f>
        <v>-</v>
      </c>
      <c r="C591" s="2" t="str">
        <f>IFERROR(INDEX(Movimientos!$D$2:$D$1993,MATCH(A591&amp;"ENTRADA",Movimientos!$R$2:$R$1993,0)),"-")</f>
        <v>-</v>
      </c>
      <c r="D591" s="2" t="str">
        <f>IFERROR(INDEX(Movimientos!$E$2:$E$1993,MATCH(A591&amp;"ENTRADA",Movimientos!$R$2:$R$1993,0)),"-")</f>
        <v>-</v>
      </c>
      <c r="E591" s="2" t="str">
        <f>IFERROR(INDEX(Movimientos!$F$2:$F$1993,MATCH(A591&amp;"ENTRADA",Movimientos!$R$2:$R$1993,0)),"-")</f>
        <v>-</v>
      </c>
      <c r="F591" s="2" t="str">
        <f>IFERROR(INDEX(Movimientos!$G$2:$G$1993,MATCH(A591&amp;"ENTRADA",Movimientos!$R$2:$R$1993,0)),"-")</f>
        <v>-</v>
      </c>
      <c r="G591" s="2" t="str">
        <f>IFERROR(INDEX(Movimientos!$L$2:$L$1993,MATCH(A591&amp;"ENTRADA",Movimientos!$R$2:$R$1993,0)),"-")</f>
        <v>-</v>
      </c>
      <c r="H591" s="17" t="str">
        <f>IFERROR(IF(INDEX(Movimientos!$M$2:$M$1993,MATCH(A591&amp;"ENTRADA",Movimientos!$R$2:$R$1993,0))=0,"S/D",INDEX(Movimientos!$M$2:$M$1993,MATCH(A591&amp;"ENTRADA",Movimientos!$R$2:$R$1993,0))),"S/D")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2898</v>
      </c>
      <c r="B592" s="2" t="str">
        <f>IFERROR(INDEX(Movimientos!$C$2:$C$1993,MATCH(A592&amp;"ENTRADA",Movimientos!$R$2:$R$1993,0)),"-")</f>
        <v>-</v>
      </c>
      <c r="C592" s="2" t="str">
        <f>IFERROR(INDEX(Movimientos!$D$2:$D$1993,MATCH(A592&amp;"ENTRADA",Movimientos!$R$2:$R$1993,0)),"-")</f>
        <v>-</v>
      </c>
      <c r="D592" s="2" t="str">
        <f>IFERROR(INDEX(Movimientos!$E$2:$E$1993,MATCH(A592&amp;"ENTRADA",Movimientos!$R$2:$R$1993,0)),"-")</f>
        <v>-</v>
      </c>
      <c r="E592" s="2" t="str">
        <f>IFERROR(INDEX(Movimientos!$F$2:$F$1993,MATCH(A592&amp;"ENTRADA",Movimientos!$R$2:$R$1993,0)),"-")</f>
        <v>-</v>
      </c>
      <c r="F592" s="2" t="str">
        <f>IFERROR(INDEX(Movimientos!$G$2:$G$1993,MATCH(A592&amp;"ENTRADA",Movimientos!$R$2:$R$1993,0)),"-")</f>
        <v>-</v>
      </c>
      <c r="G592" s="2" t="str">
        <f>IFERROR(INDEX(Movimientos!$L$2:$L$1993,MATCH(A592&amp;"ENTRADA",Movimientos!$R$2:$R$1993,0)),"-")</f>
        <v>-</v>
      </c>
      <c r="H592" s="17" t="str">
        <f>IFERROR(IF(INDEX(Movimientos!$M$2:$M$1993,MATCH(A592&amp;"ENTRADA",Movimientos!$R$2:$R$1993,0))=0,"S/D",INDEX(Movimientos!$M$2:$M$1993,MATCH(A592&amp;"ENTRADA",Movimientos!$R$2:$R$1993,0))),"S/D")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2899</v>
      </c>
      <c r="B593" s="2" t="str">
        <f>IFERROR(INDEX(Movimientos!$C$2:$C$1993,MATCH(A593&amp;"ENTRADA",Movimientos!$R$2:$R$1993,0)),"-")</f>
        <v>-</v>
      </c>
      <c r="C593" s="2" t="str">
        <f>IFERROR(INDEX(Movimientos!$D$2:$D$1993,MATCH(A593&amp;"ENTRADA",Movimientos!$R$2:$R$1993,0)),"-")</f>
        <v>-</v>
      </c>
      <c r="D593" s="2" t="str">
        <f>IFERROR(INDEX(Movimientos!$E$2:$E$1993,MATCH(A593&amp;"ENTRADA",Movimientos!$R$2:$R$1993,0)),"-")</f>
        <v>-</v>
      </c>
      <c r="E593" s="2" t="str">
        <f>IFERROR(INDEX(Movimientos!$F$2:$F$1993,MATCH(A593&amp;"ENTRADA",Movimientos!$R$2:$R$1993,0)),"-")</f>
        <v>-</v>
      </c>
      <c r="F593" s="2" t="str">
        <f>IFERROR(INDEX(Movimientos!$G$2:$G$1993,MATCH(A593&amp;"ENTRADA",Movimientos!$R$2:$R$1993,0)),"-")</f>
        <v>-</v>
      </c>
      <c r="G593" s="2" t="str">
        <f>IFERROR(INDEX(Movimientos!$L$2:$L$1993,MATCH(A593&amp;"ENTRADA",Movimientos!$R$2:$R$1993,0)),"-")</f>
        <v>-</v>
      </c>
      <c r="H593" s="17" t="str">
        <f>IFERROR(IF(INDEX(Movimientos!$M$2:$M$1993,MATCH(A593&amp;"ENTRADA",Movimientos!$R$2:$R$1993,0))=0,"S/D",INDEX(Movimientos!$M$2:$M$1993,MATCH(A593&amp;"ENTRADA",Movimientos!$R$2:$R$1993,0))),"S/D")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2900</v>
      </c>
      <c r="B594" s="2" t="str">
        <f>IFERROR(INDEX(Movimientos!$C$2:$C$1993,MATCH(A594&amp;"ENTRADA",Movimientos!$R$2:$R$1993,0)),"-")</f>
        <v>-</v>
      </c>
      <c r="C594" s="2" t="str">
        <f>IFERROR(INDEX(Movimientos!$D$2:$D$1993,MATCH(A594&amp;"ENTRADA",Movimientos!$R$2:$R$1993,0)),"-")</f>
        <v>-</v>
      </c>
      <c r="D594" s="2" t="str">
        <f>IFERROR(INDEX(Movimientos!$E$2:$E$1993,MATCH(A594&amp;"ENTRADA",Movimientos!$R$2:$R$1993,0)),"-")</f>
        <v>-</v>
      </c>
      <c r="E594" s="2" t="str">
        <f>IFERROR(INDEX(Movimientos!$F$2:$F$1993,MATCH(A594&amp;"ENTRADA",Movimientos!$R$2:$R$1993,0)),"-")</f>
        <v>-</v>
      </c>
      <c r="F594" s="2" t="str">
        <f>IFERROR(INDEX(Movimientos!$G$2:$G$1993,MATCH(A594&amp;"ENTRADA",Movimientos!$R$2:$R$1993,0)),"-")</f>
        <v>-</v>
      </c>
      <c r="G594" s="2" t="str">
        <f>IFERROR(INDEX(Movimientos!$L$2:$L$1993,MATCH(A594&amp;"ENTRADA",Movimientos!$R$2:$R$1993,0)),"-")</f>
        <v>-</v>
      </c>
      <c r="H594" s="17" t="str">
        <f>IFERROR(IF(INDEX(Movimientos!$M$2:$M$1993,MATCH(A594&amp;"ENTRADA",Movimientos!$R$2:$R$1993,0))=0,"S/D",INDEX(Movimientos!$M$2:$M$1993,MATCH(A594&amp;"ENTRADA",Movimientos!$R$2:$R$1993,0))),"S/D")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2901</v>
      </c>
      <c r="B595" s="2" t="str">
        <f>IFERROR(INDEX(Movimientos!$C$2:$C$1993,MATCH(A595&amp;"ENTRADA",Movimientos!$R$2:$R$1993,0)),"-")</f>
        <v>-</v>
      </c>
      <c r="C595" s="2" t="str">
        <f>IFERROR(INDEX(Movimientos!$D$2:$D$1993,MATCH(A595&amp;"ENTRADA",Movimientos!$R$2:$R$1993,0)),"-")</f>
        <v>-</v>
      </c>
      <c r="D595" s="2" t="str">
        <f>IFERROR(INDEX(Movimientos!$E$2:$E$1993,MATCH(A595&amp;"ENTRADA",Movimientos!$R$2:$R$1993,0)),"-")</f>
        <v>-</v>
      </c>
      <c r="E595" s="2" t="str">
        <f>IFERROR(INDEX(Movimientos!$F$2:$F$1993,MATCH(A595&amp;"ENTRADA",Movimientos!$R$2:$R$1993,0)),"-")</f>
        <v>-</v>
      </c>
      <c r="F595" s="2" t="str">
        <f>IFERROR(INDEX(Movimientos!$G$2:$G$1993,MATCH(A595&amp;"ENTRADA",Movimientos!$R$2:$R$1993,0)),"-")</f>
        <v>-</v>
      </c>
      <c r="G595" s="2" t="str">
        <f>IFERROR(INDEX(Movimientos!$L$2:$L$1993,MATCH(A595&amp;"ENTRADA",Movimientos!$R$2:$R$1993,0)),"-")</f>
        <v>-</v>
      </c>
      <c r="H595" s="17" t="str">
        <f>IFERROR(IF(INDEX(Movimientos!$M$2:$M$1993,MATCH(A595&amp;"ENTRADA",Movimientos!$R$2:$R$1993,0))=0,"S/D",INDEX(Movimientos!$M$2:$M$1993,MATCH(A595&amp;"ENTRADA",Movimientos!$R$2:$R$1993,0))),"S/D")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2902</v>
      </c>
      <c r="B596" s="2" t="str">
        <f>IFERROR(INDEX(Movimientos!$C$2:$C$1993,MATCH(A596&amp;"ENTRADA",Movimientos!$R$2:$R$1993,0)),"-")</f>
        <v>-</v>
      </c>
      <c r="C596" s="2" t="str">
        <f>IFERROR(INDEX(Movimientos!$D$2:$D$1993,MATCH(A596&amp;"ENTRADA",Movimientos!$R$2:$R$1993,0)),"-")</f>
        <v>-</v>
      </c>
      <c r="D596" s="2" t="str">
        <f>IFERROR(INDEX(Movimientos!$E$2:$E$1993,MATCH(A596&amp;"ENTRADA",Movimientos!$R$2:$R$1993,0)),"-")</f>
        <v>-</v>
      </c>
      <c r="E596" s="2" t="str">
        <f>IFERROR(INDEX(Movimientos!$F$2:$F$1993,MATCH(A596&amp;"ENTRADA",Movimientos!$R$2:$R$1993,0)),"-")</f>
        <v>-</v>
      </c>
      <c r="F596" s="2" t="str">
        <f>IFERROR(INDEX(Movimientos!$G$2:$G$1993,MATCH(A596&amp;"ENTRADA",Movimientos!$R$2:$R$1993,0)),"-")</f>
        <v>-</v>
      </c>
      <c r="G596" s="2" t="str">
        <f>IFERROR(INDEX(Movimientos!$L$2:$L$1993,MATCH(A596&amp;"ENTRADA",Movimientos!$R$2:$R$1993,0)),"-")</f>
        <v>-</v>
      </c>
      <c r="H596" s="17" t="str">
        <f>IFERROR(IF(INDEX(Movimientos!$M$2:$M$1993,MATCH(A596&amp;"ENTRADA",Movimientos!$R$2:$R$1993,0))=0,"S/D",INDEX(Movimientos!$M$2:$M$1993,MATCH(A596&amp;"ENTRADA",Movimientos!$R$2:$R$1993,0))),"S/D")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2903</v>
      </c>
      <c r="B597" s="2" t="str">
        <f>IFERROR(INDEX(Movimientos!$C$2:$C$1993,MATCH(A597&amp;"ENTRADA",Movimientos!$R$2:$R$1993,0)),"-")</f>
        <v>-</v>
      </c>
      <c r="C597" s="2" t="str">
        <f>IFERROR(INDEX(Movimientos!$D$2:$D$1993,MATCH(A597&amp;"ENTRADA",Movimientos!$R$2:$R$1993,0)),"-")</f>
        <v>-</v>
      </c>
      <c r="D597" s="2" t="str">
        <f>IFERROR(INDEX(Movimientos!$E$2:$E$1993,MATCH(A597&amp;"ENTRADA",Movimientos!$R$2:$R$1993,0)),"-")</f>
        <v>-</v>
      </c>
      <c r="E597" s="2" t="str">
        <f>IFERROR(INDEX(Movimientos!$F$2:$F$1993,MATCH(A597&amp;"ENTRADA",Movimientos!$R$2:$R$1993,0)),"-")</f>
        <v>-</v>
      </c>
      <c r="F597" s="2" t="str">
        <f>IFERROR(INDEX(Movimientos!$G$2:$G$1993,MATCH(A597&amp;"ENTRADA",Movimientos!$R$2:$R$1993,0)),"-")</f>
        <v>-</v>
      </c>
      <c r="G597" s="2" t="str">
        <f>IFERROR(INDEX(Movimientos!$L$2:$L$1993,MATCH(A597&amp;"ENTRADA",Movimientos!$R$2:$R$1993,0)),"-")</f>
        <v>-</v>
      </c>
      <c r="H597" s="17" t="str">
        <f>IFERROR(IF(INDEX(Movimientos!$M$2:$M$1993,MATCH(A597&amp;"ENTRADA",Movimientos!$R$2:$R$1993,0))=0,"S/D",INDEX(Movimientos!$M$2:$M$1993,MATCH(A597&amp;"ENTRADA",Movimientos!$R$2:$R$1993,0))),"S/D")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2904</v>
      </c>
      <c r="B598" s="2" t="str">
        <f>IFERROR(INDEX(Movimientos!$C$2:$C$1993,MATCH(A598&amp;"ENTRADA",Movimientos!$R$2:$R$1993,0)),"-")</f>
        <v>-</v>
      </c>
      <c r="C598" s="2" t="str">
        <f>IFERROR(INDEX(Movimientos!$D$2:$D$1993,MATCH(A598&amp;"ENTRADA",Movimientos!$R$2:$R$1993,0)),"-")</f>
        <v>-</v>
      </c>
      <c r="D598" s="2" t="str">
        <f>IFERROR(INDEX(Movimientos!$E$2:$E$1993,MATCH(A598&amp;"ENTRADA",Movimientos!$R$2:$R$1993,0)),"-")</f>
        <v>-</v>
      </c>
      <c r="E598" s="2" t="str">
        <f>IFERROR(INDEX(Movimientos!$F$2:$F$1993,MATCH(A598&amp;"ENTRADA",Movimientos!$R$2:$R$1993,0)),"-")</f>
        <v>-</v>
      </c>
      <c r="F598" s="2" t="str">
        <f>IFERROR(INDEX(Movimientos!$G$2:$G$1993,MATCH(A598&amp;"ENTRADA",Movimientos!$R$2:$R$1993,0)),"-")</f>
        <v>-</v>
      </c>
      <c r="G598" s="2" t="str">
        <f>IFERROR(INDEX(Movimientos!$L$2:$L$1993,MATCH(A598&amp;"ENTRADA",Movimientos!$R$2:$R$1993,0)),"-")</f>
        <v>-</v>
      </c>
      <c r="H598" s="17" t="str">
        <f>IFERROR(IF(INDEX(Movimientos!$M$2:$M$1993,MATCH(A598&amp;"ENTRADA",Movimientos!$R$2:$R$1993,0))=0,"S/D",INDEX(Movimientos!$M$2:$M$1993,MATCH(A598&amp;"ENTRADA",Movimientos!$R$2:$R$1993,0))),"S/D")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2905</v>
      </c>
      <c r="B599" s="2" t="str">
        <f>IFERROR(INDEX(Movimientos!$C$2:$C$1993,MATCH(A599&amp;"ENTRADA",Movimientos!$R$2:$R$1993,0)),"-")</f>
        <v>-</v>
      </c>
      <c r="C599" s="2" t="str">
        <f>IFERROR(INDEX(Movimientos!$D$2:$D$1993,MATCH(A599&amp;"ENTRADA",Movimientos!$R$2:$R$1993,0)),"-")</f>
        <v>-</v>
      </c>
      <c r="D599" s="2" t="str">
        <f>IFERROR(INDEX(Movimientos!$E$2:$E$1993,MATCH(A599&amp;"ENTRADA",Movimientos!$R$2:$R$1993,0)),"-")</f>
        <v>-</v>
      </c>
      <c r="E599" s="2" t="str">
        <f>IFERROR(INDEX(Movimientos!$F$2:$F$1993,MATCH(A599&amp;"ENTRADA",Movimientos!$R$2:$R$1993,0)),"-")</f>
        <v>-</v>
      </c>
      <c r="F599" s="2" t="str">
        <f>IFERROR(INDEX(Movimientos!$G$2:$G$1993,MATCH(A599&amp;"ENTRADA",Movimientos!$R$2:$R$1993,0)),"-")</f>
        <v>-</v>
      </c>
      <c r="G599" s="2" t="str">
        <f>IFERROR(INDEX(Movimientos!$L$2:$L$1993,MATCH(A599&amp;"ENTRADA",Movimientos!$R$2:$R$1993,0)),"-")</f>
        <v>-</v>
      </c>
      <c r="H599" s="17" t="str">
        <f>IFERROR(IF(INDEX(Movimientos!$M$2:$M$1993,MATCH(A599&amp;"ENTRADA",Movimientos!$R$2:$R$1993,0))=0,"S/D",INDEX(Movimientos!$M$2:$M$1993,MATCH(A599&amp;"ENTRADA",Movimientos!$R$2:$R$1993,0))),"S/D")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2906</v>
      </c>
      <c r="B600" s="2" t="str">
        <f>IFERROR(INDEX(Movimientos!$C$2:$C$1993,MATCH(A600&amp;"ENTRADA",Movimientos!$R$2:$R$1993,0)),"-")</f>
        <v>-</v>
      </c>
      <c r="C600" s="2" t="str">
        <f>IFERROR(INDEX(Movimientos!$D$2:$D$1993,MATCH(A600&amp;"ENTRADA",Movimientos!$R$2:$R$1993,0)),"-")</f>
        <v>-</v>
      </c>
      <c r="D600" s="2" t="str">
        <f>IFERROR(INDEX(Movimientos!$E$2:$E$1993,MATCH(A600&amp;"ENTRADA",Movimientos!$R$2:$R$1993,0)),"-")</f>
        <v>-</v>
      </c>
      <c r="E600" s="2" t="str">
        <f>IFERROR(INDEX(Movimientos!$F$2:$F$1993,MATCH(A600&amp;"ENTRADA",Movimientos!$R$2:$R$1993,0)),"-")</f>
        <v>-</v>
      </c>
      <c r="F600" s="2" t="str">
        <f>IFERROR(INDEX(Movimientos!$G$2:$G$1993,MATCH(A600&amp;"ENTRADA",Movimientos!$R$2:$R$1993,0)),"-")</f>
        <v>-</v>
      </c>
      <c r="G600" s="2" t="str">
        <f>IFERROR(INDEX(Movimientos!$L$2:$L$1993,MATCH(A600&amp;"ENTRADA",Movimientos!$R$2:$R$1993,0)),"-")</f>
        <v>-</v>
      </c>
      <c r="H600" s="17" t="str">
        <f>IFERROR(IF(INDEX(Movimientos!$M$2:$M$1993,MATCH(A600&amp;"ENTRADA",Movimientos!$R$2:$R$1993,0))=0,"S/D",INDEX(Movimientos!$M$2:$M$1993,MATCH(A600&amp;"ENTRADA",Movimientos!$R$2:$R$1993,0))),"S/D")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2907</v>
      </c>
      <c r="B601" s="2" t="str">
        <f>IFERROR(INDEX(Movimientos!$C$2:$C$1993,MATCH(A601&amp;"ENTRADA",Movimientos!$R$2:$R$1993,0)),"-")</f>
        <v>-</v>
      </c>
      <c r="C601" s="2" t="str">
        <f>IFERROR(INDEX(Movimientos!$D$2:$D$1993,MATCH(A601&amp;"ENTRADA",Movimientos!$R$2:$R$1993,0)),"-")</f>
        <v>-</v>
      </c>
      <c r="D601" s="2" t="str">
        <f>IFERROR(INDEX(Movimientos!$E$2:$E$1993,MATCH(A601&amp;"ENTRADA",Movimientos!$R$2:$R$1993,0)),"-")</f>
        <v>-</v>
      </c>
      <c r="E601" s="2" t="str">
        <f>IFERROR(INDEX(Movimientos!$F$2:$F$1993,MATCH(A601&amp;"ENTRADA",Movimientos!$R$2:$R$1993,0)),"-")</f>
        <v>-</v>
      </c>
      <c r="F601" s="2" t="str">
        <f>IFERROR(INDEX(Movimientos!$G$2:$G$1993,MATCH(A601&amp;"ENTRADA",Movimientos!$R$2:$R$1993,0)),"-")</f>
        <v>-</v>
      </c>
      <c r="G601" s="2" t="str">
        <f>IFERROR(INDEX(Movimientos!$L$2:$L$1993,MATCH(A601&amp;"ENTRADA",Movimientos!$R$2:$R$1993,0)),"-")</f>
        <v>-</v>
      </c>
      <c r="H601" s="17" t="str">
        <f>IFERROR(IF(INDEX(Movimientos!$M$2:$M$1993,MATCH(A601&amp;"ENTRADA",Movimientos!$R$2:$R$1993,0))=0,"S/D",INDEX(Movimientos!$M$2:$M$1993,MATCH(A601&amp;"ENTRADA",Movimientos!$R$2:$R$1993,0))),"S/D")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2908</v>
      </c>
      <c r="B602" s="2" t="str">
        <f>IFERROR(INDEX(Movimientos!$C$2:$C$1993,MATCH(A602&amp;"ENTRADA",Movimientos!$R$2:$R$1993,0)),"-")</f>
        <v>-</v>
      </c>
      <c r="C602" s="2" t="str">
        <f>IFERROR(INDEX(Movimientos!$D$2:$D$1993,MATCH(A602&amp;"ENTRADA",Movimientos!$R$2:$R$1993,0)),"-")</f>
        <v>-</v>
      </c>
      <c r="D602" s="2" t="str">
        <f>IFERROR(INDEX(Movimientos!$E$2:$E$1993,MATCH(A602&amp;"ENTRADA",Movimientos!$R$2:$R$1993,0)),"-")</f>
        <v>-</v>
      </c>
      <c r="E602" s="2" t="str">
        <f>IFERROR(INDEX(Movimientos!$F$2:$F$1993,MATCH(A602&amp;"ENTRADA",Movimientos!$R$2:$R$1993,0)),"-")</f>
        <v>-</v>
      </c>
      <c r="F602" s="2" t="str">
        <f>IFERROR(INDEX(Movimientos!$G$2:$G$1993,MATCH(A602&amp;"ENTRADA",Movimientos!$R$2:$R$1993,0)),"-")</f>
        <v>-</v>
      </c>
      <c r="G602" s="2" t="str">
        <f>IFERROR(INDEX(Movimientos!$L$2:$L$1993,MATCH(A602&amp;"ENTRADA",Movimientos!$R$2:$R$1993,0)),"-")</f>
        <v>-</v>
      </c>
      <c r="H602" s="17" t="str">
        <f>IFERROR(IF(INDEX(Movimientos!$M$2:$M$1993,MATCH(A602&amp;"ENTRADA",Movimientos!$R$2:$R$1993,0))=0,"S/D",INDEX(Movimientos!$M$2:$M$1993,MATCH(A602&amp;"ENTRADA",Movimientos!$R$2:$R$1993,0))),"S/D")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2909</v>
      </c>
      <c r="B603" s="2" t="str">
        <f>IFERROR(INDEX(Movimientos!$C$2:$C$1993,MATCH(A603&amp;"ENTRADA",Movimientos!$R$2:$R$1993,0)),"-")</f>
        <v>-</v>
      </c>
      <c r="C603" s="2" t="str">
        <f>IFERROR(INDEX(Movimientos!$D$2:$D$1993,MATCH(A603&amp;"ENTRADA",Movimientos!$R$2:$R$1993,0)),"-")</f>
        <v>-</v>
      </c>
      <c r="D603" s="2" t="str">
        <f>IFERROR(INDEX(Movimientos!$E$2:$E$1993,MATCH(A603&amp;"ENTRADA",Movimientos!$R$2:$R$1993,0)),"-")</f>
        <v>-</v>
      </c>
      <c r="E603" s="2" t="str">
        <f>IFERROR(INDEX(Movimientos!$F$2:$F$1993,MATCH(A603&amp;"ENTRADA",Movimientos!$R$2:$R$1993,0)),"-")</f>
        <v>-</v>
      </c>
      <c r="F603" s="2" t="str">
        <f>IFERROR(INDEX(Movimientos!$G$2:$G$1993,MATCH(A603&amp;"ENTRADA",Movimientos!$R$2:$R$1993,0)),"-")</f>
        <v>-</v>
      </c>
      <c r="G603" s="2" t="str">
        <f>IFERROR(INDEX(Movimientos!$L$2:$L$1993,MATCH(A603&amp;"ENTRADA",Movimientos!$R$2:$R$1993,0)),"-")</f>
        <v>-</v>
      </c>
      <c r="H603" s="17" t="str">
        <f>IFERROR(IF(INDEX(Movimientos!$M$2:$M$1993,MATCH(A603&amp;"ENTRADA",Movimientos!$R$2:$R$1993,0))=0,"S/D",INDEX(Movimientos!$M$2:$M$1993,MATCH(A603&amp;"ENTRADA",Movimientos!$R$2:$R$1993,0))),"S/D")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2910</v>
      </c>
      <c r="B604" s="2" t="str">
        <f>IFERROR(INDEX(Movimientos!$C$2:$C$1993,MATCH(A604&amp;"ENTRADA",Movimientos!$R$2:$R$1993,0)),"-")</f>
        <v>-</v>
      </c>
      <c r="C604" s="2" t="str">
        <f>IFERROR(INDEX(Movimientos!$D$2:$D$1993,MATCH(A604&amp;"ENTRADA",Movimientos!$R$2:$R$1993,0)),"-")</f>
        <v>-</v>
      </c>
      <c r="D604" s="2" t="str">
        <f>IFERROR(INDEX(Movimientos!$E$2:$E$1993,MATCH(A604&amp;"ENTRADA",Movimientos!$R$2:$R$1993,0)),"-")</f>
        <v>-</v>
      </c>
      <c r="E604" s="2" t="str">
        <f>IFERROR(INDEX(Movimientos!$F$2:$F$1993,MATCH(A604&amp;"ENTRADA",Movimientos!$R$2:$R$1993,0)),"-")</f>
        <v>-</v>
      </c>
      <c r="F604" s="2" t="str">
        <f>IFERROR(INDEX(Movimientos!$G$2:$G$1993,MATCH(A604&amp;"ENTRADA",Movimientos!$R$2:$R$1993,0)),"-")</f>
        <v>-</v>
      </c>
      <c r="G604" s="2" t="str">
        <f>IFERROR(INDEX(Movimientos!$L$2:$L$1993,MATCH(A604&amp;"ENTRADA",Movimientos!$R$2:$R$1993,0)),"-")</f>
        <v>-</v>
      </c>
      <c r="H604" s="17" t="str">
        <f>IFERROR(IF(INDEX(Movimientos!$M$2:$M$1993,MATCH(A604&amp;"ENTRADA",Movimientos!$R$2:$R$1993,0))=0,"S/D",INDEX(Movimientos!$M$2:$M$1993,MATCH(A604&amp;"ENTRADA",Movimientos!$R$2:$R$1993,0))),"S/D")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2911</v>
      </c>
      <c r="B605" s="2" t="str">
        <f>IFERROR(INDEX(Movimientos!$C$2:$C$1993,MATCH(A605&amp;"ENTRADA",Movimientos!$R$2:$R$1993,0)),"-")</f>
        <v>-</v>
      </c>
      <c r="C605" s="2" t="str">
        <f>IFERROR(INDEX(Movimientos!$D$2:$D$1993,MATCH(A605&amp;"ENTRADA",Movimientos!$R$2:$R$1993,0)),"-")</f>
        <v>-</v>
      </c>
      <c r="D605" s="2" t="str">
        <f>IFERROR(INDEX(Movimientos!$E$2:$E$1993,MATCH(A605&amp;"ENTRADA",Movimientos!$R$2:$R$1993,0)),"-")</f>
        <v>-</v>
      </c>
      <c r="E605" s="2" t="str">
        <f>IFERROR(INDEX(Movimientos!$F$2:$F$1993,MATCH(A605&amp;"ENTRADA",Movimientos!$R$2:$R$1993,0)),"-")</f>
        <v>-</v>
      </c>
      <c r="F605" s="2" t="str">
        <f>IFERROR(INDEX(Movimientos!$G$2:$G$1993,MATCH(A605&amp;"ENTRADA",Movimientos!$R$2:$R$1993,0)),"-")</f>
        <v>-</v>
      </c>
      <c r="G605" s="2" t="str">
        <f>IFERROR(INDEX(Movimientos!$L$2:$L$1993,MATCH(A605&amp;"ENTRADA",Movimientos!$R$2:$R$1993,0)),"-")</f>
        <v>-</v>
      </c>
      <c r="H605" s="17" t="str">
        <f>IFERROR(IF(INDEX(Movimientos!$M$2:$M$1993,MATCH(A605&amp;"ENTRADA",Movimientos!$R$2:$R$1993,0))=0,"S/D",INDEX(Movimientos!$M$2:$M$1993,MATCH(A605&amp;"ENTRADA",Movimientos!$R$2:$R$1993,0))),"S/D")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2912</v>
      </c>
      <c r="B606" s="2" t="str">
        <f>IFERROR(INDEX(Movimientos!$C$2:$C$1993,MATCH(A606&amp;"ENTRADA",Movimientos!$R$2:$R$1993,0)),"-")</f>
        <v>-</v>
      </c>
      <c r="C606" s="2" t="str">
        <f>IFERROR(INDEX(Movimientos!$D$2:$D$1993,MATCH(A606&amp;"ENTRADA",Movimientos!$R$2:$R$1993,0)),"-")</f>
        <v>-</v>
      </c>
      <c r="D606" s="2" t="str">
        <f>IFERROR(INDEX(Movimientos!$E$2:$E$1993,MATCH(A606&amp;"ENTRADA",Movimientos!$R$2:$R$1993,0)),"-")</f>
        <v>-</v>
      </c>
      <c r="E606" s="2" t="str">
        <f>IFERROR(INDEX(Movimientos!$F$2:$F$1993,MATCH(A606&amp;"ENTRADA",Movimientos!$R$2:$R$1993,0)),"-")</f>
        <v>-</v>
      </c>
      <c r="F606" s="2" t="str">
        <f>IFERROR(INDEX(Movimientos!$G$2:$G$1993,MATCH(A606&amp;"ENTRADA",Movimientos!$R$2:$R$1993,0)),"-")</f>
        <v>-</v>
      </c>
      <c r="G606" s="2" t="str">
        <f>IFERROR(INDEX(Movimientos!$L$2:$L$1993,MATCH(A606&amp;"ENTRADA",Movimientos!$R$2:$R$1993,0)),"-")</f>
        <v>-</v>
      </c>
      <c r="H606" s="17" t="str">
        <f>IFERROR(IF(INDEX(Movimientos!$M$2:$M$1993,MATCH(A606&amp;"ENTRADA",Movimientos!$R$2:$R$1993,0))=0,"S/D",INDEX(Movimientos!$M$2:$M$1993,MATCH(A606&amp;"ENTRADA",Movimientos!$R$2:$R$1993,0))),"S/D")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2913</v>
      </c>
      <c r="B607" s="2" t="str">
        <f>IFERROR(INDEX(Movimientos!$C$2:$C$1993,MATCH(A607&amp;"ENTRADA",Movimientos!$R$2:$R$1993,0)),"-")</f>
        <v>-</v>
      </c>
      <c r="C607" s="2" t="str">
        <f>IFERROR(INDEX(Movimientos!$D$2:$D$1993,MATCH(A607&amp;"ENTRADA",Movimientos!$R$2:$R$1993,0)),"-")</f>
        <v>-</v>
      </c>
      <c r="D607" s="2" t="str">
        <f>IFERROR(INDEX(Movimientos!$E$2:$E$1993,MATCH(A607&amp;"ENTRADA",Movimientos!$R$2:$R$1993,0)),"-")</f>
        <v>-</v>
      </c>
      <c r="E607" s="2" t="str">
        <f>IFERROR(INDEX(Movimientos!$F$2:$F$1993,MATCH(A607&amp;"ENTRADA",Movimientos!$R$2:$R$1993,0)),"-")</f>
        <v>-</v>
      </c>
      <c r="F607" s="2" t="str">
        <f>IFERROR(INDEX(Movimientos!$G$2:$G$1993,MATCH(A607&amp;"ENTRADA",Movimientos!$R$2:$R$1993,0)),"-")</f>
        <v>-</v>
      </c>
      <c r="G607" s="2" t="str">
        <f>IFERROR(INDEX(Movimientos!$L$2:$L$1993,MATCH(A607&amp;"ENTRADA",Movimientos!$R$2:$R$1993,0)),"-")</f>
        <v>-</v>
      </c>
      <c r="H607" s="17" t="str">
        <f>IFERROR(IF(INDEX(Movimientos!$M$2:$M$1993,MATCH(A607&amp;"ENTRADA",Movimientos!$R$2:$R$1993,0))=0,"S/D",INDEX(Movimientos!$M$2:$M$1993,MATCH(A607&amp;"ENTRADA",Movimientos!$R$2:$R$1993,0))),"S/D")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2914</v>
      </c>
      <c r="B608" s="2" t="str">
        <f>IFERROR(INDEX(Movimientos!$C$2:$C$1993,MATCH(A608&amp;"ENTRADA",Movimientos!$R$2:$R$1993,0)),"-")</f>
        <v>-</v>
      </c>
      <c r="C608" s="2" t="str">
        <f>IFERROR(INDEX(Movimientos!$D$2:$D$1993,MATCH(A608&amp;"ENTRADA",Movimientos!$R$2:$R$1993,0)),"-")</f>
        <v>-</v>
      </c>
      <c r="D608" s="2" t="str">
        <f>IFERROR(INDEX(Movimientos!$E$2:$E$1993,MATCH(A608&amp;"ENTRADA",Movimientos!$R$2:$R$1993,0)),"-")</f>
        <v>-</v>
      </c>
      <c r="E608" s="2" t="str">
        <f>IFERROR(INDEX(Movimientos!$F$2:$F$1993,MATCH(A608&amp;"ENTRADA",Movimientos!$R$2:$R$1993,0)),"-")</f>
        <v>-</v>
      </c>
      <c r="F608" s="2" t="str">
        <f>IFERROR(INDEX(Movimientos!$G$2:$G$1993,MATCH(A608&amp;"ENTRADA",Movimientos!$R$2:$R$1993,0)),"-")</f>
        <v>-</v>
      </c>
      <c r="G608" s="2" t="str">
        <f>IFERROR(INDEX(Movimientos!$L$2:$L$1993,MATCH(A608&amp;"ENTRADA",Movimientos!$R$2:$R$1993,0)),"-")</f>
        <v>-</v>
      </c>
      <c r="H608" s="17" t="str">
        <f>IFERROR(IF(INDEX(Movimientos!$M$2:$M$1993,MATCH(A608&amp;"ENTRADA",Movimientos!$R$2:$R$1993,0))=0,"S/D",INDEX(Movimientos!$M$2:$M$1993,MATCH(A608&amp;"ENTRADA",Movimientos!$R$2:$R$1993,0))),"S/D")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2915</v>
      </c>
      <c r="B609" s="2" t="str">
        <f>IFERROR(INDEX(Movimientos!$C$2:$C$1993,MATCH(A609&amp;"ENTRADA",Movimientos!$R$2:$R$1993,0)),"-")</f>
        <v>-</v>
      </c>
      <c r="C609" s="2" t="str">
        <f>IFERROR(INDEX(Movimientos!$D$2:$D$1993,MATCH(A609&amp;"ENTRADA",Movimientos!$R$2:$R$1993,0)),"-")</f>
        <v>-</v>
      </c>
      <c r="D609" s="2" t="str">
        <f>IFERROR(INDEX(Movimientos!$E$2:$E$1993,MATCH(A609&amp;"ENTRADA",Movimientos!$R$2:$R$1993,0)),"-")</f>
        <v>-</v>
      </c>
      <c r="E609" s="2" t="str">
        <f>IFERROR(INDEX(Movimientos!$F$2:$F$1993,MATCH(A609&amp;"ENTRADA",Movimientos!$R$2:$R$1993,0)),"-")</f>
        <v>-</v>
      </c>
      <c r="F609" s="2" t="str">
        <f>IFERROR(INDEX(Movimientos!$G$2:$G$1993,MATCH(A609&amp;"ENTRADA",Movimientos!$R$2:$R$1993,0)),"-")</f>
        <v>-</v>
      </c>
      <c r="G609" s="2" t="str">
        <f>IFERROR(INDEX(Movimientos!$L$2:$L$1993,MATCH(A609&amp;"ENTRADA",Movimientos!$R$2:$R$1993,0)),"-")</f>
        <v>-</v>
      </c>
      <c r="H609" s="17" t="str">
        <f>IFERROR(IF(INDEX(Movimientos!$M$2:$M$1993,MATCH(A609&amp;"ENTRADA",Movimientos!$R$2:$R$1993,0))=0,"S/D",INDEX(Movimientos!$M$2:$M$1993,MATCH(A609&amp;"ENTRADA",Movimientos!$R$2:$R$1993,0))),"S/D")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2916</v>
      </c>
      <c r="B610" s="2" t="str">
        <f>IFERROR(INDEX(Movimientos!$C$2:$C$1993,MATCH(A610&amp;"ENTRADA",Movimientos!$R$2:$R$1993,0)),"-")</f>
        <v>-</v>
      </c>
      <c r="C610" s="2" t="str">
        <f>IFERROR(INDEX(Movimientos!$D$2:$D$1993,MATCH(A610&amp;"ENTRADA",Movimientos!$R$2:$R$1993,0)),"-")</f>
        <v>-</v>
      </c>
      <c r="D610" s="2" t="str">
        <f>IFERROR(INDEX(Movimientos!$E$2:$E$1993,MATCH(A610&amp;"ENTRADA",Movimientos!$R$2:$R$1993,0)),"-")</f>
        <v>-</v>
      </c>
      <c r="E610" s="2" t="str">
        <f>IFERROR(INDEX(Movimientos!$F$2:$F$1993,MATCH(A610&amp;"ENTRADA",Movimientos!$R$2:$R$1993,0)),"-")</f>
        <v>-</v>
      </c>
      <c r="F610" s="2" t="str">
        <f>IFERROR(INDEX(Movimientos!$G$2:$G$1993,MATCH(A610&amp;"ENTRADA",Movimientos!$R$2:$R$1993,0)),"-")</f>
        <v>-</v>
      </c>
      <c r="G610" s="2" t="str">
        <f>IFERROR(INDEX(Movimientos!$L$2:$L$1993,MATCH(A610&amp;"ENTRADA",Movimientos!$R$2:$R$1993,0)),"-")</f>
        <v>-</v>
      </c>
      <c r="H610" s="17" t="str">
        <f>IFERROR(IF(INDEX(Movimientos!$M$2:$M$1993,MATCH(A610&amp;"ENTRADA",Movimientos!$R$2:$R$1993,0))=0,"S/D",INDEX(Movimientos!$M$2:$M$1993,MATCH(A610&amp;"ENTRADA",Movimientos!$R$2:$R$1993,0))),"S/D")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2917</v>
      </c>
      <c r="B611" s="2" t="str">
        <f>IFERROR(INDEX(Movimientos!$C$2:$C$1993,MATCH(A611&amp;"ENTRADA",Movimientos!$R$2:$R$1993,0)),"-")</f>
        <v>-</v>
      </c>
      <c r="C611" s="2" t="str">
        <f>IFERROR(INDEX(Movimientos!$D$2:$D$1993,MATCH(A611&amp;"ENTRADA",Movimientos!$R$2:$R$1993,0)),"-")</f>
        <v>-</v>
      </c>
      <c r="D611" s="2" t="str">
        <f>IFERROR(INDEX(Movimientos!$E$2:$E$1993,MATCH(A611&amp;"ENTRADA",Movimientos!$R$2:$R$1993,0)),"-")</f>
        <v>-</v>
      </c>
      <c r="E611" s="2" t="str">
        <f>IFERROR(INDEX(Movimientos!$F$2:$F$1993,MATCH(A611&amp;"ENTRADA",Movimientos!$R$2:$R$1993,0)),"-")</f>
        <v>-</v>
      </c>
      <c r="F611" s="2" t="str">
        <f>IFERROR(INDEX(Movimientos!$G$2:$G$1993,MATCH(A611&amp;"ENTRADA",Movimientos!$R$2:$R$1993,0)),"-")</f>
        <v>-</v>
      </c>
      <c r="G611" s="2" t="str">
        <f>IFERROR(INDEX(Movimientos!$L$2:$L$1993,MATCH(A611&amp;"ENTRADA",Movimientos!$R$2:$R$1993,0)),"-")</f>
        <v>-</v>
      </c>
      <c r="H611" s="17" t="str">
        <f>IFERROR(IF(INDEX(Movimientos!$M$2:$M$1993,MATCH(A611&amp;"ENTRADA",Movimientos!$R$2:$R$1993,0))=0,"S/D",INDEX(Movimientos!$M$2:$M$1993,MATCH(A611&amp;"ENTRADA",Movimientos!$R$2:$R$1993,0))),"S/D")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2918</v>
      </c>
      <c r="B612" s="2" t="str">
        <f>IFERROR(INDEX(Movimientos!$C$2:$C$1993,MATCH(A612&amp;"ENTRADA",Movimientos!$R$2:$R$1993,0)),"-")</f>
        <v>-</v>
      </c>
      <c r="C612" s="2" t="str">
        <f>IFERROR(INDEX(Movimientos!$D$2:$D$1993,MATCH(A612&amp;"ENTRADA",Movimientos!$R$2:$R$1993,0)),"-")</f>
        <v>-</v>
      </c>
      <c r="D612" s="2" t="str">
        <f>IFERROR(INDEX(Movimientos!$E$2:$E$1993,MATCH(A612&amp;"ENTRADA",Movimientos!$R$2:$R$1993,0)),"-")</f>
        <v>-</v>
      </c>
      <c r="E612" s="2" t="str">
        <f>IFERROR(INDEX(Movimientos!$F$2:$F$1993,MATCH(A612&amp;"ENTRADA",Movimientos!$R$2:$R$1993,0)),"-")</f>
        <v>-</v>
      </c>
      <c r="F612" s="2" t="str">
        <f>IFERROR(INDEX(Movimientos!$G$2:$G$1993,MATCH(A612&amp;"ENTRADA",Movimientos!$R$2:$R$1993,0)),"-")</f>
        <v>-</v>
      </c>
      <c r="G612" s="2" t="str">
        <f>IFERROR(INDEX(Movimientos!$L$2:$L$1993,MATCH(A612&amp;"ENTRADA",Movimientos!$R$2:$R$1993,0)),"-")</f>
        <v>-</v>
      </c>
      <c r="H612" s="17" t="str">
        <f>IFERROR(IF(INDEX(Movimientos!$M$2:$M$1993,MATCH(A612&amp;"ENTRADA",Movimientos!$R$2:$R$1993,0))=0,"S/D",INDEX(Movimientos!$M$2:$M$1993,MATCH(A612&amp;"ENTRADA",Movimientos!$R$2:$R$1993,0))),"S/D")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2919</v>
      </c>
      <c r="B613" s="2" t="str">
        <f>IFERROR(INDEX(Movimientos!$C$2:$C$1993,MATCH(A613&amp;"ENTRADA",Movimientos!$R$2:$R$1993,0)),"-")</f>
        <v>-</v>
      </c>
      <c r="C613" s="2" t="str">
        <f>IFERROR(INDEX(Movimientos!$D$2:$D$1993,MATCH(A613&amp;"ENTRADA",Movimientos!$R$2:$R$1993,0)),"-")</f>
        <v>-</v>
      </c>
      <c r="D613" s="2" t="str">
        <f>IFERROR(INDEX(Movimientos!$E$2:$E$1993,MATCH(A613&amp;"ENTRADA",Movimientos!$R$2:$R$1993,0)),"-")</f>
        <v>-</v>
      </c>
      <c r="E613" s="2" t="str">
        <f>IFERROR(INDEX(Movimientos!$F$2:$F$1993,MATCH(A613&amp;"ENTRADA",Movimientos!$R$2:$R$1993,0)),"-")</f>
        <v>-</v>
      </c>
      <c r="F613" s="2" t="str">
        <f>IFERROR(INDEX(Movimientos!$G$2:$G$1993,MATCH(A613&amp;"ENTRADA",Movimientos!$R$2:$R$1993,0)),"-")</f>
        <v>-</v>
      </c>
      <c r="G613" s="2" t="str">
        <f>IFERROR(INDEX(Movimientos!$L$2:$L$1993,MATCH(A613&amp;"ENTRADA",Movimientos!$R$2:$R$1993,0)),"-")</f>
        <v>-</v>
      </c>
      <c r="H613" s="17" t="str">
        <f>IFERROR(IF(INDEX(Movimientos!$M$2:$M$1993,MATCH(A613&amp;"ENTRADA",Movimientos!$R$2:$R$1993,0))=0,"S/D",INDEX(Movimientos!$M$2:$M$1993,MATCH(A613&amp;"ENTRADA",Movimientos!$R$2:$R$1993,0))),"S/D")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2920</v>
      </c>
      <c r="B614" s="2" t="str">
        <f>IFERROR(INDEX(Movimientos!$C$2:$C$1993,MATCH(A614&amp;"ENTRADA",Movimientos!$R$2:$R$1993,0)),"-")</f>
        <v>-</v>
      </c>
      <c r="C614" s="2" t="str">
        <f>IFERROR(INDEX(Movimientos!$D$2:$D$1993,MATCH(A614&amp;"ENTRADA",Movimientos!$R$2:$R$1993,0)),"-")</f>
        <v>-</v>
      </c>
      <c r="D614" s="2" t="str">
        <f>IFERROR(INDEX(Movimientos!$E$2:$E$1993,MATCH(A614&amp;"ENTRADA",Movimientos!$R$2:$R$1993,0)),"-")</f>
        <v>-</v>
      </c>
      <c r="E614" s="2" t="str">
        <f>IFERROR(INDEX(Movimientos!$F$2:$F$1993,MATCH(A614&amp;"ENTRADA",Movimientos!$R$2:$R$1993,0)),"-")</f>
        <v>-</v>
      </c>
      <c r="F614" s="2" t="str">
        <f>IFERROR(INDEX(Movimientos!$G$2:$G$1993,MATCH(A614&amp;"ENTRADA",Movimientos!$R$2:$R$1993,0)),"-")</f>
        <v>-</v>
      </c>
      <c r="G614" s="2" t="str">
        <f>IFERROR(INDEX(Movimientos!$L$2:$L$1993,MATCH(A614&amp;"ENTRADA",Movimientos!$R$2:$R$1993,0)),"-")</f>
        <v>-</v>
      </c>
      <c r="H614" s="17" t="str">
        <f>IFERROR(IF(INDEX(Movimientos!$M$2:$M$1993,MATCH(A614&amp;"ENTRADA",Movimientos!$R$2:$R$1993,0))=0,"S/D",INDEX(Movimientos!$M$2:$M$1993,MATCH(A614&amp;"ENTRADA",Movimientos!$R$2:$R$1993,0))),"S/D")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2921</v>
      </c>
      <c r="B615" s="2" t="str">
        <f>IFERROR(INDEX(Movimientos!$C$2:$C$1993,MATCH(A615&amp;"ENTRADA",Movimientos!$R$2:$R$1993,0)),"-")</f>
        <v>-</v>
      </c>
      <c r="C615" s="2" t="str">
        <f>IFERROR(INDEX(Movimientos!$D$2:$D$1993,MATCH(A615&amp;"ENTRADA",Movimientos!$R$2:$R$1993,0)),"-")</f>
        <v>-</v>
      </c>
      <c r="D615" s="2" t="str">
        <f>IFERROR(INDEX(Movimientos!$E$2:$E$1993,MATCH(A615&amp;"ENTRADA",Movimientos!$R$2:$R$1993,0)),"-")</f>
        <v>-</v>
      </c>
      <c r="E615" s="2" t="str">
        <f>IFERROR(INDEX(Movimientos!$F$2:$F$1993,MATCH(A615&amp;"ENTRADA",Movimientos!$R$2:$R$1993,0)),"-")</f>
        <v>-</v>
      </c>
      <c r="F615" s="2" t="str">
        <f>IFERROR(INDEX(Movimientos!$G$2:$G$1993,MATCH(A615&amp;"ENTRADA",Movimientos!$R$2:$R$1993,0)),"-")</f>
        <v>-</v>
      </c>
      <c r="G615" s="2" t="str">
        <f>IFERROR(INDEX(Movimientos!$L$2:$L$1993,MATCH(A615&amp;"ENTRADA",Movimientos!$R$2:$R$1993,0)),"-")</f>
        <v>-</v>
      </c>
      <c r="H615" s="17" t="str">
        <f>IFERROR(IF(INDEX(Movimientos!$M$2:$M$1993,MATCH(A615&amp;"ENTRADA",Movimientos!$R$2:$R$1993,0))=0,"S/D",INDEX(Movimientos!$M$2:$M$1993,MATCH(A615&amp;"ENTRADA",Movimientos!$R$2:$R$1993,0))),"S/D")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2922</v>
      </c>
      <c r="B616" s="2" t="str">
        <f>IFERROR(INDEX(Movimientos!$C$2:$C$1993,MATCH(A616&amp;"ENTRADA",Movimientos!$R$2:$R$1993,0)),"-")</f>
        <v>-</v>
      </c>
      <c r="C616" s="2" t="str">
        <f>IFERROR(INDEX(Movimientos!$D$2:$D$1993,MATCH(A616&amp;"ENTRADA",Movimientos!$R$2:$R$1993,0)),"-")</f>
        <v>-</v>
      </c>
      <c r="D616" s="2" t="str">
        <f>IFERROR(INDEX(Movimientos!$E$2:$E$1993,MATCH(A616&amp;"ENTRADA",Movimientos!$R$2:$R$1993,0)),"-")</f>
        <v>-</v>
      </c>
      <c r="E616" s="2" t="str">
        <f>IFERROR(INDEX(Movimientos!$F$2:$F$1993,MATCH(A616&amp;"ENTRADA",Movimientos!$R$2:$R$1993,0)),"-")</f>
        <v>-</v>
      </c>
      <c r="F616" s="2" t="str">
        <f>IFERROR(INDEX(Movimientos!$G$2:$G$1993,MATCH(A616&amp;"ENTRADA",Movimientos!$R$2:$R$1993,0)),"-")</f>
        <v>-</v>
      </c>
      <c r="G616" s="2" t="str">
        <f>IFERROR(INDEX(Movimientos!$L$2:$L$1993,MATCH(A616&amp;"ENTRADA",Movimientos!$R$2:$R$1993,0)),"-")</f>
        <v>-</v>
      </c>
      <c r="H616" s="17" t="str">
        <f>IFERROR(IF(INDEX(Movimientos!$M$2:$M$1993,MATCH(A616&amp;"ENTRADA",Movimientos!$R$2:$R$1993,0))=0,"S/D",INDEX(Movimientos!$M$2:$M$1993,MATCH(A616&amp;"ENTRADA",Movimientos!$R$2:$R$1993,0))),"S/D")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2923</v>
      </c>
      <c r="B617" s="2" t="str">
        <f>IFERROR(INDEX(Movimientos!$C$2:$C$1993,MATCH(A617&amp;"ENTRADA",Movimientos!$R$2:$R$1993,0)),"-")</f>
        <v>-</v>
      </c>
      <c r="C617" s="2" t="str">
        <f>IFERROR(INDEX(Movimientos!$D$2:$D$1993,MATCH(A617&amp;"ENTRADA",Movimientos!$R$2:$R$1993,0)),"-")</f>
        <v>-</v>
      </c>
      <c r="D617" s="2" t="str">
        <f>IFERROR(INDEX(Movimientos!$E$2:$E$1993,MATCH(A617&amp;"ENTRADA",Movimientos!$R$2:$R$1993,0)),"-")</f>
        <v>-</v>
      </c>
      <c r="E617" s="2" t="str">
        <f>IFERROR(INDEX(Movimientos!$F$2:$F$1993,MATCH(A617&amp;"ENTRADA",Movimientos!$R$2:$R$1993,0)),"-")</f>
        <v>-</v>
      </c>
      <c r="F617" s="2" t="str">
        <f>IFERROR(INDEX(Movimientos!$G$2:$G$1993,MATCH(A617&amp;"ENTRADA",Movimientos!$R$2:$R$1993,0)),"-")</f>
        <v>-</v>
      </c>
      <c r="G617" s="2" t="str">
        <f>IFERROR(INDEX(Movimientos!$L$2:$L$1993,MATCH(A617&amp;"ENTRADA",Movimientos!$R$2:$R$1993,0)),"-")</f>
        <v>-</v>
      </c>
      <c r="H617" s="17" t="str">
        <f>IFERROR(IF(INDEX(Movimientos!$M$2:$M$1993,MATCH(A617&amp;"ENTRADA",Movimientos!$R$2:$R$1993,0))=0,"S/D",INDEX(Movimientos!$M$2:$M$1993,MATCH(A617&amp;"ENTRADA",Movimientos!$R$2:$R$1993,0))),"S/D")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2924</v>
      </c>
      <c r="B618" s="2" t="str">
        <f>IFERROR(INDEX(Movimientos!$C$2:$C$1993,MATCH(A618&amp;"ENTRADA",Movimientos!$R$2:$R$1993,0)),"-")</f>
        <v>-</v>
      </c>
      <c r="C618" s="2" t="str">
        <f>IFERROR(INDEX(Movimientos!$D$2:$D$1993,MATCH(A618&amp;"ENTRADA",Movimientos!$R$2:$R$1993,0)),"-")</f>
        <v>-</v>
      </c>
      <c r="D618" s="2" t="str">
        <f>IFERROR(INDEX(Movimientos!$E$2:$E$1993,MATCH(A618&amp;"ENTRADA",Movimientos!$R$2:$R$1993,0)),"-")</f>
        <v>-</v>
      </c>
      <c r="E618" s="2" t="str">
        <f>IFERROR(INDEX(Movimientos!$F$2:$F$1993,MATCH(A618&amp;"ENTRADA",Movimientos!$R$2:$R$1993,0)),"-")</f>
        <v>-</v>
      </c>
      <c r="F618" s="2" t="str">
        <f>IFERROR(INDEX(Movimientos!$G$2:$G$1993,MATCH(A618&amp;"ENTRADA",Movimientos!$R$2:$R$1993,0)),"-")</f>
        <v>-</v>
      </c>
      <c r="G618" s="2" t="str">
        <f>IFERROR(INDEX(Movimientos!$L$2:$L$1993,MATCH(A618&amp;"ENTRADA",Movimientos!$R$2:$R$1993,0)),"-")</f>
        <v>-</v>
      </c>
      <c r="H618" s="17" t="str">
        <f>IFERROR(IF(INDEX(Movimientos!$M$2:$M$1993,MATCH(A618&amp;"ENTRADA",Movimientos!$R$2:$R$1993,0))=0,"S/D",INDEX(Movimientos!$M$2:$M$1993,MATCH(A618&amp;"ENTRADA",Movimientos!$R$2:$R$1993,0))),"S/D")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2925</v>
      </c>
      <c r="B619" s="2" t="str">
        <f>IFERROR(INDEX(Movimientos!$C$2:$C$1993,MATCH(A619&amp;"ENTRADA",Movimientos!$R$2:$R$1993,0)),"-")</f>
        <v>-</v>
      </c>
      <c r="C619" s="2" t="str">
        <f>IFERROR(INDEX(Movimientos!$D$2:$D$1993,MATCH(A619&amp;"ENTRADA",Movimientos!$R$2:$R$1993,0)),"-")</f>
        <v>-</v>
      </c>
      <c r="D619" s="2" t="str">
        <f>IFERROR(INDEX(Movimientos!$E$2:$E$1993,MATCH(A619&amp;"ENTRADA",Movimientos!$R$2:$R$1993,0)),"-")</f>
        <v>-</v>
      </c>
      <c r="E619" s="2" t="str">
        <f>IFERROR(INDEX(Movimientos!$F$2:$F$1993,MATCH(A619&amp;"ENTRADA",Movimientos!$R$2:$R$1993,0)),"-")</f>
        <v>-</v>
      </c>
      <c r="F619" s="2" t="str">
        <f>IFERROR(INDEX(Movimientos!$G$2:$G$1993,MATCH(A619&amp;"ENTRADA",Movimientos!$R$2:$R$1993,0)),"-")</f>
        <v>-</v>
      </c>
      <c r="G619" s="2" t="str">
        <f>IFERROR(INDEX(Movimientos!$L$2:$L$1993,MATCH(A619&amp;"ENTRADA",Movimientos!$R$2:$R$1993,0)),"-")</f>
        <v>-</v>
      </c>
      <c r="H619" s="17" t="str">
        <f>IFERROR(IF(INDEX(Movimientos!$M$2:$M$1993,MATCH(A619&amp;"ENTRADA",Movimientos!$R$2:$R$1993,0))=0,"S/D",INDEX(Movimientos!$M$2:$M$1993,MATCH(A619&amp;"ENTRADA",Movimientos!$R$2:$R$1993,0))),"S/D")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2926</v>
      </c>
      <c r="B620" s="2" t="str">
        <f>IFERROR(INDEX(Movimientos!$C$2:$C$1993,MATCH(A620&amp;"ENTRADA",Movimientos!$R$2:$R$1993,0)),"-")</f>
        <v>-</v>
      </c>
      <c r="C620" s="2" t="str">
        <f>IFERROR(INDEX(Movimientos!$D$2:$D$1993,MATCH(A620&amp;"ENTRADA",Movimientos!$R$2:$R$1993,0)),"-")</f>
        <v>-</v>
      </c>
      <c r="D620" s="2" t="str">
        <f>IFERROR(INDEX(Movimientos!$E$2:$E$1993,MATCH(A620&amp;"ENTRADA",Movimientos!$R$2:$R$1993,0)),"-")</f>
        <v>-</v>
      </c>
      <c r="E620" s="2" t="str">
        <f>IFERROR(INDEX(Movimientos!$F$2:$F$1993,MATCH(A620&amp;"ENTRADA",Movimientos!$R$2:$R$1993,0)),"-")</f>
        <v>-</v>
      </c>
      <c r="F620" s="2" t="str">
        <f>IFERROR(INDEX(Movimientos!$G$2:$G$1993,MATCH(A620&amp;"ENTRADA",Movimientos!$R$2:$R$1993,0)),"-")</f>
        <v>-</v>
      </c>
      <c r="G620" s="2" t="str">
        <f>IFERROR(INDEX(Movimientos!$L$2:$L$1993,MATCH(A620&amp;"ENTRADA",Movimientos!$R$2:$R$1993,0)),"-")</f>
        <v>-</v>
      </c>
      <c r="H620" s="17" t="str">
        <f>IFERROR(IF(INDEX(Movimientos!$M$2:$M$1993,MATCH(A620&amp;"ENTRADA",Movimientos!$R$2:$R$1993,0))=0,"S/D",INDEX(Movimientos!$M$2:$M$1993,MATCH(A620&amp;"ENTRADA",Movimientos!$R$2:$R$1993,0))),"S/D")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2927</v>
      </c>
      <c r="B621" s="2" t="str">
        <f>IFERROR(INDEX(Movimientos!$C$2:$C$1993,MATCH(A621&amp;"ENTRADA",Movimientos!$R$2:$R$1993,0)),"-")</f>
        <v>-</v>
      </c>
      <c r="C621" s="2" t="str">
        <f>IFERROR(INDEX(Movimientos!$D$2:$D$1993,MATCH(A621&amp;"ENTRADA",Movimientos!$R$2:$R$1993,0)),"-")</f>
        <v>-</v>
      </c>
      <c r="D621" s="2" t="str">
        <f>IFERROR(INDEX(Movimientos!$E$2:$E$1993,MATCH(A621&amp;"ENTRADA",Movimientos!$R$2:$R$1993,0)),"-")</f>
        <v>-</v>
      </c>
      <c r="E621" s="2" t="str">
        <f>IFERROR(INDEX(Movimientos!$F$2:$F$1993,MATCH(A621&amp;"ENTRADA",Movimientos!$R$2:$R$1993,0)),"-")</f>
        <v>-</v>
      </c>
      <c r="F621" s="2" t="str">
        <f>IFERROR(INDEX(Movimientos!$G$2:$G$1993,MATCH(A621&amp;"ENTRADA",Movimientos!$R$2:$R$1993,0)),"-")</f>
        <v>-</v>
      </c>
      <c r="G621" s="2" t="str">
        <f>IFERROR(INDEX(Movimientos!$L$2:$L$1993,MATCH(A621&amp;"ENTRADA",Movimientos!$R$2:$R$1993,0)),"-")</f>
        <v>-</v>
      </c>
      <c r="H621" s="17" t="str">
        <f>IFERROR(IF(INDEX(Movimientos!$M$2:$M$1993,MATCH(A621&amp;"ENTRADA",Movimientos!$R$2:$R$1993,0))=0,"S/D",INDEX(Movimientos!$M$2:$M$1993,MATCH(A621&amp;"ENTRADA",Movimientos!$R$2:$R$1993,0))),"S/D")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2928</v>
      </c>
      <c r="B622" s="2" t="str">
        <f>IFERROR(INDEX(Movimientos!$C$2:$C$1993,MATCH(A622&amp;"ENTRADA",Movimientos!$R$2:$R$1993,0)),"-")</f>
        <v>-</v>
      </c>
      <c r="C622" s="2" t="str">
        <f>IFERROR(INDEX(Movimientos!$D$2:$D$1993,MATCH(A622&amp;"ENTRADA",Movimientos!$R$2:$R$1993,0)),"-")</f>
        <v>-</v>
      </c>
      <c r="D622" s="2" t="str">
        <f>IFERROR(INDEX(Movimientos!$E$2:$E$1993,MATCH(A622&amp;"ENTRADA",Movimientos!$R$2:$R$1993,0)),"-")</f>
        <v>-</v>
      </c>
      <c r="E622" s="2" t="str">
        <f>IFERROR(INDEX(Movimientos!$F$2:$F$1993,MATCH(A622&amp;"ENTRADA",Movimientos!$R$2:$R$1993,0)),"-")</f>
        <v>-</v>
      </c>
      <c r="F622" s="2" t="str">
        <f>IFERROR(INDEX(Movimientos!$G$2:$G$1993,MATCH(A622&amp;"ENTRADA",Movimientos!$R$2:$R$1993,0)),"-")</f>
        <v>-</v>
      </c>
      <c r="G622" s="2" t="str">
        <f>IFERROR(INDEX(Movimientos!$L$2:$L$1993,MATCH(A622&amp;"ENTRADA",Movimientos!$R$2:$R$1993,0)),"-")</f>
        <v>-</v>
      </c>
      <c r="H622" s="17" t="str">
        <f>IFERROR(IF(INDEX(Movimientos!$M$2:$M$1993,MATCH(A622&amp;"ENTRADA",Movimientos!$R$2:$R$1993,0))=0,"S/D",INDEX(Movimientos!$M$2:$M$1993,MATCH(A622&amp;"ENTRADA",Movimientos!$R$2:$R$1993,0))),"S/D")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2929</v>
      </c>
      <c r="B623" s="2" t="str">
        <f>IFERROR(INDEX(Movimientos!$C$2:$C$1993,MATCH(A623&amp;"ENTRADA",Movimientos!$R$2:$R$1993,0)),"-")</f>
        <v>-</v>
      </c>
      <c r="C623" s="2" t="str">
        <f>IFERROR(INDEX(Movimientos!$D$2:$D$1993,MATCH(A623&amp;"ENTRADA",Movimientos!$R$2:$R$1993,0)),"-")</f>
        <v>-</v>
      </c>
      <c r="D623" s="2" t="str">
        <f>IFERROR(INDEX(Movimientos!$E$2:$E$1993,MATCH(A623&amp;"ENTRADA",Movimientos!$R$2:$R$1993,0)),"-")</f>
        <v>-</v>
      </c>
      <c r="E623" s="2" t="str">
        <f>IFERROR(INDEX(Movimientos!$F$2:$F$1993,MATCH(A623&amp;"ENTRADA",Movimientos!$R$2:$R$1993,0)),"-")</f>
        <v>-</v>
      </c>
      <c r="F623" s="2" t="str">
        <f>IFERROR(INDEX(Movimientos!$G$2:$G$1993,MATCH(A623&amp;"ENTRADA",Movimientos!$R$2:$R$1993,0)),"-")</f>
        <v>-</v>
      </c>
      <c r="G623" s="2" t="str">
        <f>IFERROR(INDEX(Movimientos!$L$2:$L$1993,MATCH(A623&amp;"ENTRADA",Movimientos!$R$2:$R$1993,0)),"-")</f>
        <v>-</v>
      </c>
      <c r="H623" s="17" t="str">
        <f>IFERROR(IF(INDEX(Movimientos!$M$2:$M$1993,MATCH(A623&amp;"ENTRADA",Movimientos!$R$2:$R$1993,0))=0,"S/D",INDEX(Movimientos!$M$2:$M$1993,MATCH(A623&amp;"ENTRADA",Movimientos!$R$2:$R$1993,0))),"S/D")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2930</v>
      </c>
      <c r="B624" s="2" t="str">
        <f>IFERROR(INDEX(Movimientos!$C$2:$C$1993,MATCH(A624&amp;"ENTRADA",Movimientos!$R$2:$R$1993,0)),"-")</f>
        <v>-</v>
      </c>
      <c r="C624" s="2" t="str">
        <f>IFERROR(INDEX(Movimientos!$D$2:$D$1993,MATCH(A624&amp;"ENTRADA",Movimientos!$R$2:$R$1993,0)),"-")</f>
        <v>-</v>
      </c>
      <c r="D624" s="2" t="str">
        <f>IFERROR(INDEX(Movimientos!$E$2:$E$1993,MATCH(A624&amp;"ENTRADA",Movimientos!$R$2:$R$1993,0)),"-")</f>
        <v>-</v>
      </c>
      <c r="E624" s="2" t="str">
        <f>IFERROR(INDEX(Movimientos!$F$2:$F$1993,MATCH(A624&amp;"ENTRADA",Movimientos!$R$2:$R$1993,0)),"-")</f>
        <v>-</v>
      </c>
      <c r="F624" s="2" t="str">
        <f>IFERROR(INDEX(Movimientos!$G$2:$G$1993,MATCH(A624&amp;"ENTRADA",Movimientos!$R$2:$R$1993,0)),"-")</f>
        <v>-</v>
      </c>
      <c r="G624" s="2" t="str">
        <f>IFERROR(INDEX(Movimientos!$L$2:$L$1993,MATCH(A624&amp;"ENTRADA",Movimientos!$R$2:$R$1993,0)),"-")</f>
        <v>-</v>
      </c>
      <c r="H624" s="17" t="str">
        <f>IFERROR(IF(INDEX(Movimientos!$M$2:$M$1993,MATCH(A624&amp;"ENTRADA",Movimientos!$R$2:$R$1993,0))=0,"S/D",INDEX(Movimientos!$M$2:$M$1993,MATCH(A624&amp;"ENTRADA",Movimientos!$R$2:$R$1993,0))),"S/D")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2931</v>
      </c>
      <c r="B625" s="2" t="str">
        <f>IFERROR(INDEX(Movimientos!$C$2:$C$1993,MATCH(A625&amp;"ENTRADA",Movimientos!$R$2:$R$1993,0)),"-")</f>
        <v>-</v>
      </c>
      <c r="C625" s="2" t="str">
        <f>IFERROR(INDEX(Movimientos!$D$2:$D$1993,MATCH(A625&amp;"ENTRADA",Movimientos!$R$2:$R$1993,0)),"-")</f>
        <v>-</v>
      </c>
      <c r="D625" s="2" t="str">
        <f>IFERROR(INDEX(Movimientos!$E$2:$E$1993,MATCH(A625&amp;"ENTRADA",Movimientos!$R$2:$R$1993,0)),"-")</f>
        <v>-</v>
      </c>
      <c r="E625" s="2" t="str">
        <f>IFERROR(INDEX(Movimientos!$F$2:$F$1993,MATCH(A625&amp;"ENTRADA",Movimientos!$R$2:$R$1993,0)),"-")</f>
        <v>-</v>
      </c>
      <c r="F625" s="2" t="str">
        <f>IFERROR(INDEX(Movimientos!$G$2:$G$1993,MATCH(A625&amp;"ENTRADA",Movimientos!$R$2:$R$1993,0)),"-")</f>
        <v>-</v>
      </c>
      <c r="G625" s="2" t="str">
        <f>IFERROR(INDEX(Movimientos!$L$2:$L$1993,MATCH(A625&amp;"ENTRADA",Movimientos!$R$2:$R$1993,0)),"-")</f>
        <v>-</v>
      </c>
      <c r="H625" s="17" t="str">
        <f>IFERROR(IF(INDEX(Movimientos!$M$2:$M$1993,MATCH(A625&amp;"ENTRADA",Movimientos!$R$2:$R$1993,0))=0,"S/D",INDEX(Movimientos!$M$2:$M$1993,MATCH(A625&amp;"ENTRADA",Movimientos!$R$2:$R$1993,0))),"S/D")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2932</v>
      </c>
      <c r="B626" s="2" t="str">
        <f>IFERROR(INDEX(Movimientos!$C$2:$C$1993,MATCH(A626&amp;"ENTRADA",Movimientos!$R$2:$R$1993,0)),"-")</f>
        <v>-</v>
      </c>
      <c r="C626" s="2" t="str">
        <f>IFERROR(INDEX(Movimientos!$D$2:$D$1993,MATCH(A626&amp;"ENTRADA",Movimientos!$R$2:$R$1993,0)),"-")</f>
        <v>-</v>
      </c>
      <c r="D626" s="2" t="str">
        <f>IFERROR(INDEX(Movimientos!$E$2:$E$1993,MATCH(A626&amp;"ENTRADA",Movimientos!$R$2:$R$1993,0)),"-")</f>
        <v>-</v>
      </c>
      <c r="E626" s="2" t="str">
        <f>IFERROR(INDEX(Movimientos!$F$2:$F$1993,MATCH(A626&amp;"ENTRADA",Movimientos!$R$2:$R$1993,0)),"-")</f>
        <v>-</v>
      </c>
      <c r="F626" s="2" t="str">
        <f>IFERROR(INDEX(Movimientos!$G$2:$G$1993,MATCH(A626&amp;"ENTRADA",Movimientos!$R$2:$R$1993,0)),"-")</f>
        <v>-</v>
      </c>
      <c r="G626" s="2" t="str">
        <f>IFERROR(INDEX(Movimientos!$L$2:$L$1993,MATCH(A626&amp;"ENTRADA",Movimientos!$R$2:$R$1993,0)),"-")</f>
        <v>-</v>
      </c>
      <c r="H626" s="17" t="str">
        <f>IFERROR(IF(INDEX(Movimientos!$M$2:$M$1993,MATCH(A626&amp;"ENTRADA",Movimientos!$R$2:$R$1993,0))=0,"S/D",INDEX(Movimientos!$M$2:$M$1993,MATCH(A626&amp;"ENTRADA",Movimientos!$R$2:$R$1993,0))),"S/D")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2933</v>
      </c>
      <c r="B627" s="2" t="str">
        <f>IFERROR(INDEX(Movimientos!$C$2:$C$1993,MATCH(A627&amp;"ENTRADA",Movimientos!$R$2:$R$1993,0)),"-")</f>
        <v>-</v>
      </c>
      <c r="C627" s="2" t="str">
        <f>IFERROR(INDEX(Movimientos!$D$2:$D$1993,MATCH(A627&amp;"ENTRADA",Movimientos!$R$2:$R$1993,0)),"-")</f>
        <v>-</v>
      </c>
      <c r="D627" s="2" t="str">
        <f>IFERROR(INDEX(Movimientos!$E$2:$E$1993,MATCH(A627&amp;"ENTRADA",Movimientos!$R$2:$R$1993,0)),"-")</f>
        <v>-</v>
      </c>
      <c r="E627" s="2" t="str">
        <f>IFERROR(INDEX(Movimientos!$F$2:$F$1993,MATCH(A627&amp;"ENTRADA",Movimientos!$R$2:$R$1993,0)),"-")</f>
        <v>-</v>
      </c>
      <c r="F627" s="2" t="str">
        <f>IFERROR(INDEX(Movimientos!$G$2:$G$1993,MATCH(A627&amp;"ENTRADA",Movimientos!$R$2:$R$1993,0)),"-")</f>
        <v>-</v>
      </c>
      <c r="G627" s="2" t="str">
        <f>IFERROR(INDEX(Movimientos!$L$2:$L$1993,MATCH(A627&amp;"ENTRADA",Movimientos!$R$2:$R$1993,0)),"-")</f>
        <v>-</v>
      </c>
      <c r="H627" s="17" t="str">
        <f>IFERROR(IF(INDEX(Movimientos!$M$2:$M$1993,MATCH(A627&amp;"ENTRADA",Movimientos!$R$2:$R$1993,0))=0,"S/D",INDEX(Movimientos!$M$2:$M$1993,MATCH(A627&amp;"ENTRADA",Movimientos!$R$2:$R$1993,0))),"S/D")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2934</v>
      </c>
      <c r="B628" s="2" t="str">
        <f>IFERROR(INDEX(Movimientos!$C$2:$C$1993,MATCH(A628&amp;"ENTRADA",Movimientos!$R$2:$R$1993,0)),"-")</f>
        <v>-</v>
      </c>
      <c r="C628" s="2" t="str">
        <f>IFERROR(INDEX(Movimientos!$D$2:$D$1993,MATCH(A628&amp;"ENTRADA",Movimientos!$R$2:$R$1993,0)),"-")</f>
        <v>-</v>
      </c>
      <c r="D628" s="2" t="str">
        <f>IFERROR(INDEX(Movimientos!$E$2:$E$1993,MATCH(A628&amp;"ENTRADA",Movimientos!$R$2:$R$1993,0)),"-")</f>
        <v>-</v>
      </c>
      <c r="E628" s="2" t="str">
        <f>IFERROR(INDEX(Movimientos!$F$2:$F$1993,MATCH(A628&amp;"ENTRADA",Movimientos!$R$2:$R$1993,0)),"-")</f>
        <v>-</v>
      </c>
      <c r="F628" s="2" t="str">
        <f>IFERROR(INDEX(Movimientos!$G$2:$G$1993,MATCH(A628&amp;"ENTRADA",Movimientos!$R$2:$R$1993,0)),"-")</f>
        <v>-</v>
      </c>
      <c r="G628" s="2" t="str">
        <f>IFERROR(INDEX(Movimientos!$L$2:$L$1993,MATCH(A628&amp;"ENTRADA",Movimientos!$R$2:$R$1993,0)),"-")</f>
        <v>-</v>
      </c>
      <c r="H628" s="17" t="str">
        <f>IFERROR(IF(INDEX(Movimientos!$M$2:$M$1993,MATCH(A628&amp;"ENTRADA",Movimientos!$R$2:$R$1993,0))=0,"S/D",INDEX(Movimientos!$M$2:$M$1993,MATCH(A628&amp;"ENTRADA",Movimientos!$R$2:$R$1993,0))),"S/D")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2935</v>
      </c>
      <c r="B629" s="2" t="str">
        <f>IFERROR(INDEX(Movimientos!$C$2:$C$1993,MATCH(A629&amp;"ENTRADA",Movimientos!$R$2:$R$1993,0)),"-")</f>
        <v>-</v>
      </c>
      <c r="C629" s="2" t="str">
        <f>IFERROR(INDEX(Movimientos!$D$2:$D$1993,MATCH(A629&amp;"ENTRADA",Movimientos!$R$2:$R$1993,0)),"-")</f>
        <v>-</v>
      </c>
      <c r="D629" s="2" t="str">
        <f>IFERROR(INDEX(Movimientos!$E$2:$E$1993,MATCH(A629&amp;"ENTRADA",Movimientos!$R$2:$R$1993,0)),"-")</f>
        <v>-</v>
      </c>
      <c r="E629" s="2" t="str">
        <f>IFERROR(INDEX(Movimientos!$F$2:$F$1993,MATCH(A629&amp;"ENTRADA",Movimientos!$R$2:$R$1993,0)),"-")</f>
        <v>-</v>
      </c>
      <c r="F629" s="2" t="str">
        <f>IFERROR(INDEX(Movimientos!$G$2:$G$1993,MATCH(A629&amp;"ENTRADA",Movimientos!$R$2:$R$1993,0)),"-")</f>
        <v>-</v>
      </c>
      <c r="G629" s="2" t="str">
        <f>IFERROR(INDEX(Movimientos!$L$2:$L$1993,MATCH(A629&amp;"ENTRADA",Movimientos!$R$2:$R$1993,0)),"-")</f>
        <v>-</v>
      </c>
      <c r="H629" s="17" t="str">
        <f>IFERROR(IF(INDEX(Movimientos!$M$2:$M$1993,MATCH(A629&amp;"ENTRADA",Movimientos!$R$2:$R$1993,0))=0,"S/D",INDEX(Movimientos!$M$2:$M$1993,MATCH(A629&amp;"ENTRADA",Movimientos!$R$2:$R$1993,0))),"S/D")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2936</v>
      </c>
      <c r="B630" s="2" t="str">
        <f>IFERROR(INDEX(Movimientos!$C$2:$C$1993,MATCH(A630&amp;"ENTRADA",Movimientos!$R$2:$R$1993,0)),"-")</f>
        <v>-</v>
      </c>
      <c r="C630" s="2" t="str">
        <f>IFERROR(INDEX(Movimientos!$D$2:$D$1993,MATCH(A630&amp;"ENTRADA",Movimientos!$R$2:$R$1993,0)),"-")</f>
        <v>-</v>
      </c>
      <c r="D630" s="2" t="str">
        <f>IFERROR(INDEX(Movimientos!$E$2:$E$1993,MATCH(A630&amp;"ENTRADA",Movimientos!$R$2:$R$1993,0)),"-")</f>
        <v>-</v>
      </c>
      <c r="E630" s="2" t="str">
        <f>IFERROR(INDEX(Movimientos!$F$2:$F$1993,MATCH(A630&amp;"ENTRADA",Movimientos!$R$2:$R$1993,0)),"-")</f>
        <v>-</v>
      </c>
      <c r="F630" s="2" t="str">
        <f>IFERROR(INDEX(Movimientos!$G$2:$G$1993,MATCH(A630&amp;"ENTRADA",Movimientos!$R$2:$R$1993,0)),"-")</f>
        <v>-</v>
      </c>
      <c r="G630" s="2" t="str">
        <f>IFERROR(INDEX(Movimientos!$L$2:$L$1993,MATCH(A630&amp;"ENTRADA",Movimientos!$R$2:$R$1993,0)),"-")</f>
        <v>-</v>
      </c>
      <c r="H630" s="17" t="str">
        <f>IFERROR(IF(INDEX(Movimientos!$M$2:$M$1993,MATCH(A630&amp;"ENTRADA",Movimientos!$R$2:$R$1993,0))=0,"S/D",INDEX(Movimientos!$M$2:$M$1993,MATCH(A630&amp;"ENTRADA",Movimientos!$R$2:$R$1993,0))),"S/D")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2937</v>
      </c>
      <c r="B631" s="2" t="str">
        <f>IFERROR(INDEX(Movimientos!$C$2:$C$1993,MATCH(A631&amp;"ENTRADA",Movimientos!$R$2:$R$1993,0)),"-")</f>
        <v>-</v>
      </c>
      <c r="C631" s="2" t="str">
        <f>IFERROR(INDEX(Movimientos!$D$2:$D$1993,MATCH(A631&amp;"ENTRADA",Movimientos!$R$2:$R$1993,0)),"-")</f>
        <v>-</v>
      </c>
      <c r="D631" s="2" t="str">
        <f>IFERROR(INDEX(Movimientos!$E$2:$E$1993,MATCH(A631&amp;"ENTRADA",Movimientos!$R$2:$R$1993,0)),"-")</f>
        <v>-</v>
      </c>
      <c r="E631" s="2" t="str">
        <f>IFERROR(INDEX(Movimientos!$F$2:$F$1993,MATCH(A631&amp;"ENTRADA",Movimientos!$R$2:$R$1993,0)),"-")</f>
        <v>-</v>
      </c>
      <c r="F631" s="2" t="str">
        <f>IFERROR(INDEX(Movimientos!$G$2:$G$1993,MATCH(A631&amp;"ENTRADA",Movimientos!$R$2:$R$1993,0)),"-")</f>
        <v>-</v>
      </c>
      <c r="G631" s="2" t="str">
        <f>IFERROR(INDEX(Movimientos!$L$2:$L$1993,MATCH(A631&amp;"ENTRADA",Movimientos!$R$2:$R$1993,0)),"-")</f>
        <v>-</v>
      </c>
      <c r="H631" s="17" t="str">
        <f>IFERROR(IF(INDEX(Movimientos!$M$2:$M$1993,MATCH(A631&amp;"ENTRADA",Movimientos!$R$2:$R$1993,0))=0,"S/D",INDEX(Movimientos!$M$2:$M$1993,MATCH(A631&amp;"ENTRADA",Movimientos!$R$2:$R$1993,0))),"S/D")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2938</v>
      </c>
      <c r="B632" s="2" t="str">
        <f>IFERROR(INDEX(Movimientos!$C$2:$C$1993,MATCH(A632&amp;"ENTRADA",Movimientos!$R$2:$R$1993,0)),"-")</f>
        <v>-</v>
      </c>
      <c r="C632" s="2" t="str">
        <f>IFERROR(INDEX(Movimientos!$D$2:$D$1993,MATCH(A632&amp;"ENTRADA",Movimientos!$R$2:$R$1993,0)),"-")</f>
        <v>-</v>
      </c>
      <c r="D632" s="2" t="str">
        <f>IFERROR(INDEX(Movimientos!$E$2:$E$1993,MATCH(A632&amp;"ENTRADA",Movimientos!$R$2:$R$1993,0)),"-")</f>
        <v>-</v>
      </c>
      <c r="E632" s="2" t="str">
        <f>IFERROR(INDEX(Movimientos!$F$2:$F$1993,MATCH(A632&amp;"ENTRADA",Movimientos!$R$2:$R$1993,0)),"-")</f>
        <v>-</v>
      </c>
      <c r="F632" s="2" t="str">
        <f>IFERROR(INDEX(Movimientos!$G$2:$G$1993,MATCH(A632&amp;"ENTRADA",Movimientos!$R$2:$R$1993,0)),"-")</f>
        <v>-</v>
      </c>
      <c r="G632" s="2" t="str">
        <f>IFERROR(INDEX(Movimientos!$L$2:$L$1993,MATCH(A632&amp;"ENTRADA",Movimientos!$R$2:$R$1993,0)),"-")</f>
        <v>-</v>
      </c>
      <c r="H632" s="17" t="str">
        <f>IFERROR(IF(INDEX(Movimientos!$M$2:$M$1993,MATCH(A632&amp;"ENTRADA",Movimientos!$R$2:$R$1993,0))=0,"S/D",INDEX(Movimientos!$M$2:$M$1993,MATCH(A632&amp;"ENTRADA",Movimientos!$R$2:$R$1993,0))),"S/D")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2939</v>
      </c>
      <c r="B633" s="2" t="str">
        <f>IFERROR(INDEX(Movimientos!$C$2:$C$1993,MATCH(A633&amp;"ENTRADA",Movimientos!$R$2:$R$1993,0)),"-")</f>
        <v>-</v>
      </c>
      <c r="C633" s="2" t="str">
        <f>IFERROR(INDEX(Movimientos!$D$2:$D$1993,MATCH(A633&amp;"ENTRADA",Movimientos!$R$2:$R$1993,0)),"-")</f>
        <v>-</v>
      </c>
      <c r="D633" s="2" t="str">
        <f>IFERROR(INDEX(Movimientos!$E$2:$E$1993,MATCH(A633&amp;"ENTRADA",Movimientos!$R$2:$R$1993,0)),"-")</f>
        <v>-</v>
      </c>
      <c r="E633" s="2" t="str">
        <f>IFERROR(INDEX(Movimientos!$F$2:$F$1993,MATCH(A633&amp;"ENTRADA",Movimientos!$R$2:$R$1993,0)),"-")</f>
        <v>-</v>
      </c>
      <c r="F633" s="2" t="str">
        <f>IFERROR(INDEX(Movimientos!$G$2:$G$1993,MATCH(A633&amp;"ENTRADA",Movimientos!$R$2:$R$1993,0)),"-")</f>
        <v>-</v>
      </c>
      <c r="G633" s="2" t="str">
        <f>IFERROR(INDEX(Movimientos!$L$2:$L$1993,MATCH(A633&amp;"ENTRADA",Movimientos!$R$2:$R$1993,0)),"-")</f>
        <v>-</v>
      </c>
      <c r="H633" s="17" t="str">
        <f>IFERROR(IF(INDEX(Movimientos!$M$2:$M$1993,MATCH(A633&amp;"ENTRADA",Movimientos!$R$2:$R$1993,0))=0,"S/D",INDEX(Movimientos!$M$2:$M$1993,MATCH(A633&amp;"ENTRADA",Movimientos!$R$2:$R$1993,0))),"S/D")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2940</v>
      </c>
      <c r="B634" s="2" t="str">
        <f>IFERROR(INDEX(Movimientos!$C$2:$C$1993,MATCH(A634&amp;"ENTRADA",Movimientos!$R$2:$R$1993,0)),"-")</f>
        <v>-</v>
      </c>
      <c r="C634" s="2" t="str">
        <f>IFERROR(INDEX(Movimientos!$D$2:$D$1993,MATCH(A634&amp;"ENTRADA",Movimientos!$R$2:$R$1993,0)),"-")</f>
        <v>-</v>
      </c>
      <c r="D634" s="2" t="str">
        <f>IFERROR(INDEX(Movimientos!$E$2:$E$1993,MATCH(A634&amp;"ENTRADA",Movimientos!$R$2:$R$1993,0)),"-")</f>
        <v>-</v>
      </c>
      <c r="E634" s="2" t="str">
        <f>IFERROR(INDEX(Movimientos!$F$2:$F$1993,MATCH(A634&amp;"ENTRADA",Movimientos!$R$2:$R$1993,0)),"-")</f>
        <v>-</v>
      </c>
      <c r="F634" s="2" t="str">
        <f>IFERROR(INDEX(Movimientos!$G$2:$G$1993,MATCH(A634&amp;"ENTRADA",Movimientos!$R$2:$R$1993,0)),"-")</f>
        <v>-</v>
      </c>
      <c r="G634" s="2" t="str">
        <f>IFERROR(INDEX(Movimientos!$L$2:$L$1993,MATCH(A634&amp;"ENTRADA",Movimientos!$R$2:$R$1993,0)),"-")</f>
        <v>-</v>
      </c>
      <c r="H634" s="17" t="str">
        <f>IFERROR(IF(INDEX(Movimientos!$M$2:$M$1993,MATCH(A634&amp;"ENTRADA",Movimientos!$R$2:$R$1993,0))=0,"S/D",INDEX(Movimientos!$M$2:$M$1993,MATCH(A634&amp;"ENTRADA",Movimientos!$R$2:$R$1993,0))),"S/D")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2941</v>
      </c>
      <c r="B635" s="2" t="str">
        <f>IFERROR(INDEX(Movimientos!$C$2:$C$1993,MATCH(A635&amp;"ENTRADA",Movimientos!$R$2:$R$1993,0)),"-")</f>
        <v>-</v>
      </c>
      <c r="C635" s="2" t="str">
        <f>IFERROR(INDEX(Movimientos!$D$2:$D$1993,MATCH(A635&amp;"ENTRADA",Movimientos!$R$2:$R$1993,0)),"-")</f>
        <v>-</v>
      </c>
      <c r="D635" s="2" t="str">
        <f>IFERROR(INDEX(Movimientos!$E$2:$E$1993,MATCH(A635&amp;"ENTRADA",Movimientos!$R$2:$R$1993,0)),"-")</f>
        <v>-</v>
      </c>
      <c r="E635" s="2" t="str">
        <f>IFERROR(INDEX(Movimientos!$F$2:$F$1993,MATCH(A635&amp;"ENTRADA",Movimientos!$R$2:$R$1993,0)),"-")</f>
        <v>-</v>
      </c>
      <c r="F635" s="2" t="str">
        <f>IFERROR(INDEX(Movimientos!$G$2:$G$1993,MATCH(A635&amp;"ENTRADA",Movimientos!$R$2:$R$1993,0)),"-")</f>
        <v>-</v>
      </c>
      <c r="G635" s="2" t="str">
        <f>IFERROR(INDEX(Movimientos!$L$2:$L$1993,MATCH(A635&amp;"ENTRADA",Movimientos!$R$2:$R$1993,0)),"-")</f>
        <v>-</v>
      </c>
      <c r="H635" s="17" t="str">
        <f>IFERROR(IF(INDEX(Movimientos!$M$2:$M$1993,MATCH(A635&amp;"ENTRADA",Movimientos!$R$2:$R$1993,0))=0,"S/D",INDEX(Movimientos!$M$2:$M$1993,MATCH(A635&amp;"ENTRADA",Movimientos!$R$2:$R$1993,0))),"S/D")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2942</v>
      </c>
      <c r="B636" s="2" t="str">
        <f>IFERROR(INDEX(Movimientos!$C$2:$C$1993,MATCH(A636&amp;"ENTRADA",Movimientos!$R$2:$R$1993,0)),"-")</f>
        <v>-</v>
      </c>
      <c r="C636" s="2" t="str">
        <f>IFERROR(INDEX(Movimientos!$D$2:$D$1993,MATCH(A636&amp;"ENTRADA",Movimientos!$R$2:$R$1993,0)),"-")</f>
        <v>-</v>
      </c>
      <c r="D636" s="2" t="str">
        <f>IFERROR(INDEX(Movimientos!$E$2:$E$1993,MATCH(A636&amp;"ENTRADA",Movimientos!$R$2:$R$1993,0)),"-")</f>
        <v>-</v>
      </c>
      <c r="E636" s="2" t="str">
        <f>IFERROR(INDEX(Movimientos!$F$2:$F$1993,MATCH(A636&amp;"ENTRADA",Movimientos!$R$2:$R$1993,0)),"-")</f>
        <v>-</v>
      </c>
      <c r="F636" s="2" t="str">
        <f>IFERROR(INDEX(Movimientos!$G$2:$G$1993,MATCH(A636&amp;"ENTRADA",Movimientos!$R$2:$R$1993,0)),"-")</f>
        <v>-</v>
      </c>
      <c r="G636" s="2" t="str">
        <f>IFERROR(INDEX(Movimientos!$L$2:$L$1993,MATCH(A636&amp;"ENTRADA",Movimientos!$R$2:$R$1993,0)),"-")</f>
        <v>-</v>
      </c>
      <c r="H636" s="17" t="str">
        <f>IFERROR(IF(INDEX(Movimientos!$M$2:$M$1993,MATCH(A636&amp;"ENTRADA",Movimientos!$R$2:$R$1993,0))=0,"S/D",INDEX(Movimientos!$M$2:$M$1993,MATCH(A636&amp;"ENTRADA",Movimientos!$R$2:$R$1993,0))),"S/D")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2943</v>
      </c>
      <c r="B637" s="2" t="str">
        <f>IFERROR(INDEX(Movimientos!$C$2:$C$1993,MATCH(A637&amp;"ENTRADA",Movimientos!$R$2:$R$1993,0)),"-")</f>
        <v>-</v>
      </c>
      <c r="C637" s="2" t="str">
        <f>IFERROR(INDEX(Movimientos!$D$2:$D$1993,MATCH(A637&amp;"ENTRADA",Movimientos!$R$2:$R$1993,0)),"-")</f>
        <v>-</v>
      </c>
      <c r="D637" s="2" t="str">
        <f>IFERROR(INDEX(Movimientos!$E$2:$E$1993,MATCH(A637&amp;"ENTRADA",Movimientos!$R$2:$R$1993,0)),"-")</f>
        <v>-</v>
      </c>
      <c r="E637" s="2" t="str">
        <f>IFERROR(INDEX(Movimientos!$F$2:$F$1993,MATCH(A637&amp;"ENTRADA",Movimientos!$R$2:$R$1993,0)),"-")</f>
        <v>-</v>
      </c>
      <c r="F637" s="2" t="str">
        <f>IFERROR(INDEX(Movimientos!$G$2:$G$1993,MATCH(A637&amp;"ENTRADA",Movimientos!$R$2:$R$1993,0)),"-")</f>
        <v>-</v>
      </c>
      <c r="G637" s="2" t="str">
        <f>IFERROR(INDEX(Movimientos!$L$2:$L$1993,MATCH(A637&amp;"ENTRADA",Movimientos!$R$2:$R$1993,0)),"-")</f>
        <v>-</v>
      </c>
      <c r="H637" s="17" t="str">
        <f>IFERROR(IF(INDEX(Movimientos!$M$2:$M$1993,MATCH(A637&amp;"ENTRADA",Movimientos!$R$2:$R$1993,0))=0,"S/D",INDEX(Movimientos!$M$2:$M$1993,MATCH(A637&amp;"ENTRADA",Movimientos!$R$2:$R$1993,0))),"S/D")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2944</v>
      </c>
      <c r="B638" s="2" t="str">
        <f>IFERROR(INDEX(Movimientos!$C$2:$C$1993,MATCH(A638&amp;"ENTRADA",Movimientos!$R$2:$R$1993,0)),"-")</f>
        <v>-</v>
      </c>
      <c r="C638" s="2" t="str">
        <f>IFERROR(INDEX(Movimientos!$D$2:$D$1993,MATCH(A638&amp;"ENTRADA",Movimientos!$R$2:$R$1993,0)),"-")</f>
        <v>-</v>
      </c>
      <c r="D638" s="2" t="str">
        <f>IFERROR(INDEX(Movimientos!$E$2:$E$1993,MATCH(A638&amp;"ENTRADA",Movimientos!$R$2:$R$1993,0)),"-")</f>
        <v>-</v>
      </c>
      <c r="E638" s="2" t="str">
        <f>IFERROR(INDEX(Movimientos!$F$2:$F$1993,MATCH(A638&amp;"ENTRADA",Movimientos!$R$2:$R$1993,0)),"-")</f>
        <v>-</v>
      </c>
      <c r="F638" s="2" t="str">
        <f>IFERROR(INDEX(Movimientos!$G$2:$G$1993,MATCH(A638&amp;"ENTRADA",Movimientos!$R$2:$R$1993,0)),"-")</f>
        <v>-</v>
      </c>
      <c r="G638" s="2" t="str">
        <f>IFERROR(INDEX(Movimientos!$L$2:$L$1993,MATCH(A638&amp;"ENTRADA",Movimientos!$R$2:$R$1993,0)),"-")</f>
        <v>-</v>
      </c>
      <c r="H638" s="17" t="str">
        <f>IFERROR(IF(INDEX(Movimientos!$M$2:$M$1993,MATCH(A638&amp;"ENTRADA",Movimientos!$R$2:$R$1993,0))=0,"S/D",INDEX(Movimientos!$M$2:$M$1993,MATCH(A638&amp;"ENTRADA",Movimientos!$R$2:$R$1993,0))),"S/D")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2945</v>
      </c>
      <c r="B639" s="2" t="str">
        <f>IFERROR(INDEX(Movimientos!$C$2:$C$1993,MATCH(A639&amp;"ENTRADA",Movimientos!$R$2:$R$1993,0)),"-")</f>
        <v>-</v>
      </c>
      <c r="C639" s="2" t="str">
        <f>IFERROR(INDEX(Movimientos!$D$2:$D$1993,MATCH(A639&amp;"ENTRADA",Movimientos!$R$2:$R$1993,0)),"-")</f>
        <v>-</v>
      </c>
      <c r="D639" s="2" t="str">
        <f>IFERROR(INDEX(Movimientos!$E$2:$E$1993,MATCH(A639&amp;"ENTRADA",Movimientos!$R$2:$R$1993,0)),"-")</f>
        <v>-</v>
      </c>
      <c r="E639" s="2" t="str">
        <f>IFERROR(INDEX(Movimientos!$F$2:$F$1993,MATCH(A639&amp;"ENTRADA",Movimientos!$R$2:$R$1993,0)),"-")</f>
        <v>-</v>
      </c>
      <c r="F639" s="2" t="str">
        <f>IFERROR(INDEX(Movimientos!$G$2:$G$1993,MATCH(A639&amp;"ENTRADA",Movimientos!$R$2:$R$1993,0)),"-")</f>
        <v>-</v>
      </c>
      <c r="G639" s="2" t="str">
        <f>IFERROR(INDEX(Movimientos!$L$2:$L$1993,MATCH(A639&amp;"ENTRADA",Movimientos!$R$2:$R$1993,0)),"-")</f>
        <v>-</v>
      </c>
      <c r="H639" s="17" t="str">
        <f>IFERROR(IF(INDEX(Movimientos!$M$2:$M$1993,MATCH(A639&amp;"ENTRADA",Movimientos!$R$2:$R$1993,0))=0,"S/D",INDEX(Movimientos!$M$2:$M$1993,MATCH(A639&amp;"ENTRADA",Movimientos!$R$2:$R$1993,0))),"S/D")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2946</v>
      </c>
      <c r="B640" s="2" t="str">
        <f>IFERROR(INDEX(Movimientos!$C$2:$C$1993,MATCH(A640&amp;"ENTRADA",Movimientos!$R$2:$R$1993,0)),"-")</f>
        <v>-</v>
      </c>
      <c r="C640" s="2" t="str">
        <f>IFERROR(INDEX(Movimientos!$D$2:$D$1993,MATCH(A640&amp;"ENTRADA",Movimientos!$R$2:$R$1993,0)),"-")</f>
        <v>-</v>
      </c>
      <c r="D640" s="2" t="str">
        <f>IFERROR(INDEX(Movimientos!$E$2:$E$1993,MATCH(A640&amp;"ENTRADA",Movimientos!$R$2:$R$1993,0)),"-")</f>
        <v>-</v>
      </c>
      <c r="E640" s="2" t="str">
        <f>IFERROR(INDEX(Movimientos!$F$2:$F$1993,MATCH(A640&amp;"ENTRADA",Movimientos!$R$2:$R$1993,0)),"-")</f>
        <v>-</v>
      </c>
      <c r="F640" s="2" t="str">
        <f>IFERROR(INDEX(Movimientos!$G$2:$G$1993,MATCH(A640&amp;"ENTRADA",Movimientos!$R$2:$R$1993,0)),"-")</f>
        <v>-</v>
      </c>
      <c r="G640" s="2" t="str">
        <f>IFERROR(INDEX(Movimientos!$L$2:$L$1993,MATCH(A640&amp;"ENTRADA",Movimientos!$R$2:$R$1993,0)),"-")</f>
        <v>-</v>
      </c>
      <c r="H640" s="17" t="str">
        <f>IFERROR(IF(INDEX(Movimientos!$M$2:$M$1993,MATCH(A640&amp;"ENTRADA",Movimientos!$R$2:$R$1993,0))=0,"S/D",INDEX(Movimientos!$M$2:$M$1993,MATCH(A640&amp;"ENTRADA",Movimientos!$R$2:$R$1993,0))),"S/D")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2947</v>
      </c>
      <c r="B641" s="2" t="str">
        <f>IFERROR(INDEX(Movimientos!$C$2:$C$1993,MATCH(A641&amp;"ENTRADA",Movimientos!$R$2:$R$1993,0)),"-")</f>
        <v>-</v>
      </c>
      <c r="C641" s="2" t="str">
        <f>IFERROR(INDEX(Movimientos!$D$2:$D$1993,MATCH(A641&amp;"ENTRADA",Movimientos!$R$2:$R$1993,0)),"-")</f>
        <v>-</v>
      </c>
      <c r="D641" s="2" t="str">
        <f>IFERROR(INDEX(Movimientos!$E$2:$E$1993,MATCH(A641&amp;"ENTRADA",Movimientos!$R$2:$R$1993,0)),"-")</f>
        <v>-</v>
      </c>
      <c r="E641" s="2" t="str">
        <f>IFERROR(INDEX(Movimientos!$F$2:$F$1993,MATCH(A641&amp;"ENTRADA",Movimientos!$R$2:$R$1993,0)),"-")</f>
        <v>-</v>
      </c>
      <c r="F641" s="2" t="str">
        <f>IFERROR(INDEX(Movimientos!$G$2:$G$1993,MATCH(A641&amp;"ENTRADA",Movimientos!$R$2:$R$1993,0)),"-")</f>
        <v>-</v>
      </c>
      <c r="G641" s="2" t="str">
        <f>IFERROR(INDEX(Movimientos!$L$2:$L$1993,MATCH(A641&amp;"ENTRADA",Movimientos!$R$2:$R$1993,0)),"-")</f>
        <v>-</v>
      </c>
      <c r="H641" s="17" t="str">
        <f>IFERROR(IF(INDEX(Movimientos!$M$2:$M$1993,MATCH(A641&amp;"ENTRADA",Movimientos!$R$2:$R$1993,0))=0,"S/D",INDEX(Movimientos!$M$2:$M$1993,MATCH(A641&amp;"ENTRADA",Movimientos!$R$2:$R$1993,0))),"S/D")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2948</v>
      </c>
      <c r="B642" s="2" t="str">
        <f>IFERROR(INDEX(Movimientos!$C$2:$C$1993,MATCH(A642&amp;"ENTRADA",Movimientos!$R$2:$R$1993,0)),"-")</f>
        <v>-</v>
      </c>
      <c r="C642" s="2" t="str">
        <f>IFERROR(INDEX(Movimientos!$D$2:$D$1993,MATCH(A642&amp;"ENTRADA",Movimientos!$R$2:$R$1993,0)),"-")</f>
        <v>-</v>
      </c>
      <c r="D642" s="2" t="str">
        <f>IFERROR(INDEX(Movimientos!$E$2:$E$1993,MATCH(A642&amp;"ENTRADA",Movimientos!$R$2:$R$1993,0)),"-")</f>
        <v>-</v>
      </c>
      <c r="E642" s="2" t="str">
        <f>IFERROR(INDEX(Movimientos!$F$2:$F$1993,MATCH(A642&amp;"ENTRADA",Movimientos!$R$2:$R$1993,0)),"-")</f>
        <v>-</v>
      </c>
      <c r="F642" s="2" t="str">
        <f>IFERROR(INDEX(Movimientos!$G$2:$G$1993,MATCH(A642&amp;"ENTRADA",Movimientos!$R$2:$R$1993,0)),"-")</f>
        <v>-</v>
      </c>
      <c r="G642" s="2" t="str">
        <f>IFERROR(INDEX(Movimientos!$L$2:$L$1993,MATCH(A642&amp;"ENTRADA",Movimientos!$R$2:$R$1993,0)),"-")</f>
        <v>-</v>
      </c>
      <c r="H642" s="17" t="str">
        <f>IFERROR(IF(INDEX(Movimientos!$M$2:$M$1993,MATCH(A642&amp;"ENTRADA",Movimientos!$R$2:$R$1993,0))=0,"S/D",INDEX(Movimientos!$M$2:$M$1993,MATCH(A642&amp;"ENTRADA",Movimientos!$R$2:$R$1993,0))),"S/D")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2949</v>
      </c>
      <c r="B643" s="2" t="str">
        <f>IFERROR(INDEX(Movimientos!$C$2:$C$1993,MATCH(A643&amp;"ENTRADA",Movimientos!$R$2:$R$1993,0)),"-")</f>
        <v>-</v>
      </c>
      <c r="C643" s="2" t="str">
        <f>IFERROR(INDEX(Movimientos!$D$2:$D$1993,MATCH(A643&amp;"ENTRADA",Movimientos!$R$2:$R$1993,0)),"-")</f>
        <v>-</v>
      </c>
      <c r="D643" s="2" t="str">
        <f>IFERROR(INDEX(Movimientos!$E$2:$E$1993,MATCH(A643&amp;"ENTRADA",Movimientos!$R$2:$R$1993,0)),"-")</f>
        <v>-</v>
      </c>
      <c r="E643" s="2" t="str">
        <f>IFERROR(INDEX(Movimientos!$F$2:$F$1993,MATCH(A643&amp;"ENTRADA",Movimientos!$R$2:$R$1993,0)),"-")</f>
        <v>-</v>
      </c>
      <c r="F643" s="2" t="str">
        <f>IFERROR(INDEX(Movimientos!$G$2:$G$1993,MATCH(A643&amp;"ENTRADA",Movimientos!$R$2:$R$1993,0)),"-")</f>
        <v>-</v>
      </c>
      <c r="G643" s="2" t="str">
        <f>IFERROR(INDEX(Movimientos!$L$2:$L$1993,MATCH(A643&amp;"ENTRADA",Movimientos!$R$2:$R$1993,0)),"-")</f>
        <v>-</v>
      </c>
      <c r="H643" s="17" t="str">
        <f>IFERROR(IF(INDEX(Movimientos!$M$2:$M$1993,MATCH(A643&amp;"ENTRADA",Movimientos!$R$2:$R$1993,0))=0,"S/D",INDEX(Movimientos!$M$2:$M$1993,MATCH(A643&amp;"ENTRADA",Movimientos!$R$2:$R$1993,0))),"S/D")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2950</v>
      </c>
      <c r="B644" s="2" t="str">
        <f>IFERROR(INDEX(Movimientos!$C$2:$C$1993,MATCH(A644&amp;"ENTRADA",Movimientos!$R$2:$R$1993,0)),"-")</f>
        <v>-</v>
      </c>
      <c r="C644" s="2" t="str">
        <f>IFERROR(INDEX(Movimientos!$D$2:$D$1993,MATCH(A644&amp;"ENTRADA",Movimientos!$R$2:$R$1993,0)),"-")</f>
        <v>-</v>
      </c>
      <c r="D644" s="2" t="str">
        <f>IFERROR(INDEX(Movimientos!$E$2:$E$1993,MATCH(A644&amp;"ENTRADA",Movimientos!$R$2:$R$1993,0)),"-")</f>
        <v>-</v>
      </c>
      <c r="E644" s="2" t="str">
        <f>IFERROR(INDEX(Movimientos!$F$2:$F$1993,MATCH(A644&amp;"ENTRADA",Movimientos!$R$2:$R$1993,0)),"-")</f>
        <v>-</v>
      </c>
      <c r="F644" s="2" t="str">
        <f>IFERROR(INDEX(Movimientos!$G$2:$G$1993,MATCH(A644&amp;"ENTRADA",Movimientos!$R$2:$R$1993,0)),"-")</f>
        <v>-</v>
      </c>
      <c r="G644" s="2" t="str">
        <f>IFERROR(INDEX(Movimientos!$L$2:$L$1993,MATCH(A644&amp;"ENTRADA",Movimientos!$R$2:$R$1993,0)),"-")</f>
        <v>-</v>
      </c>
      <c r="H644" s="17" t="str">
        <f>IFERROR(IF(INDEX(Movimientos!$M$2:$M$1993,MATCH(A644&amp;"ENTRADA",Movimientos!$R$2:$R$1993,0))=0,"S/D",INDEX(Movimientos!$M$2:$M$1993,MATCH(A644&amp;"ENTRADA",Movimientos!$R$2:$R$1993,0))),"S/D")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2951</v>
      </c>
      <c r="B645" s="2" t="str">
        <f>IFERROR(INDEX(Movimientos!$C$2:$C$1993,MATCH(A645&amp;"ENTRADA",Movimientos!$R$2:$R$1993,0)),"-")</f>
        <v>-</v>
      </c>
      <c r="C645" s="2" t="str">
        <f>IFERROR(INDEX(Movimientos!$D$2:$D$1993,MATCH(A645&amp;"ENTRADA",Movimientos!$R$2:$R$1993,0)),"-")</f>
        <v>-</v>
      </c>
      <c r="D645" s="2" t="str">
        <f>IFERROR(INDEX(Movimientos!$E$2:$E$1993,MATCH(A645&amp;"ENTRADA",Movimientos!$R$2:$R$1993,0)),"-")</f>
        <v>-</v>
      </c>
      <c r="E645" s="2" t="str">
        <f>IFERROR(INDEX(Movimientos!$F$2:$F$1993,MATCH(A645&amp;"ENTRADA",Movimientos!$R$2:$R$1993,0)),"-")</f>
        <v>-</v>
      </c>
      <c r="F645" s="2" t="str">
        <f>IFERROR(INDEX(Movimientos!$G$2:$G$1993,MATCH(A645&amp;"ENTRADA",Movimientos!$R$2:$R$1993,0)),"-")</f>
        <v>-</v>
      </c>
      <c r="G645" s="2" t="str">
        <f>IFERROR(INDEX(Movimientos!$L$2:$L$1993,MATCH(A645&amp;"ENTRADA",Movimientos!$R$2:$R$1993,0)),"-")</f>
        <v>-</v>
      </c>
      <c r="H645" s="17" t="str">
        <f>IFERROR(IF(INDEX(Movimientos!$M$2:$M$1993,MATCH(A645&amp;"ENTRADA",Movimientos!$R$2:$R$1993,0))=0,"S/D",INDEX(Movimientos!$M$2:$M$1993,MATCH(A645&amp;"ENTRADA",Movimientos!$R$2:$R$1993,0))),"S/D")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2952</v>
      </c>
      <c r="B646" s="2" t="str">
        <f>IFERROR(INDEX(Movimientos!$C$2:$C$1993,MATCH(A646&amp;"ENTRADA",Movimientos!$R$2:$R$1993,0)),"-")</f>
        <v>-</v>
      </c>
      <c r="C646" s="2" t="str">
        <f>IFERROR(INDEX(Movimientos!$D$2:$D$1993,MATCH(A646&amp;"ENTRADA",Movimientos!$R$2:$R$1993,0)),"-")</f>
        <v>-</v>
      </c>
      <c r="D646" s="2" t="str">
        <f>IFERROR(INDEX(Movimientos!$E$2:$E$1993,MATCH(A646&amp;"ENTRADA",Movimientos!$R$2:$R$1993,0)),"-")</f>
        <v>-</v>
      </c>
      <c r="E646" s="2" t="str">
        <f>IFERROR(INDEX(Movimientos!$F$2:$F$1993,MATCH(A646&amp;"ENTRADA",Movimientos!$R$2:$R$1993,0)),"-")</f>
        <v>-</v>
      </c>
      <c r="F646" s="2" t="str">
        <f>IFERROR(INDEX(Movimientos!$G$2:$G$1993,MATCH(A646&amp;"ENTRADA",Movimientos!$R$2:$R$1993,0)),"-")</f>
        <v>-</v>
      </c>
      <c r="G646" s="2" t="str">
        <f>IFERROR(INDEX(Movimientos!$L$2:$L$1993,MATCH(A646&amp;"ENTRADA",Movimientos!$R$2:$R$1993,0)),"-")</f>
        <v>-</v>
      </c>
      <c r="H646" s="17" t="str">
        <f>IFERROR(IF(INDEX(Movimientos!$M$2:$M$1993,MATCH(A646&amp;"ENTRADA",Movimientos!$R$2:$R$1993,0))=0,"S/D",INDEX(Movimientos!$M$2:$M$1993,MATCH(A646&amp;"ENTRADA",Movimientos!$R$2:$R$1993,0))),"S/D")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2953</v>
      </c>
      <c r="B647" s="2" t="str">
        <f>IFERROR(INDEX(Movimientos!$C$2:$C$1993,MATCH(A647&amp;"ENTRADA",Movimientos!$R$2:$R$1993,0)),"-")</f>
        <v>-</v>
      </c>
      <c r="C647" s="2" t="str">
        <f>IFERROR(INDEX(Movimientos!$D$2:$D$1993,MATCH(A647&amp;"ENTRADA",Movimientos!$R$2:$R$1993,0)),"-")</f>
        <v>-</v>
      </c>
      <c r="D647" s="2" t="str">
        <f>IFERROR(INDEX(Movimientos!$E$2:$E$1993,MATCH(A647&amp;"ENTRADA",Movimientos!$R$2:$R$1993,0)),"-")</f>
        <v>-</v>
      </c>
      <c r="E647" s="2" t="str">
        <f>IFERROR(INDEX(Movimientos!$F$2:$F$1993,MATCH(A647&amp;"ENTRADA",Movimientos!$R$2:$R$1993,0)),"-")</f>
        <v>-</v>
      </c>
      <c r="F647" s="2" t="str">
        <f>IFERROR(INDEX(Movimientos!$G$2:$G$1993,MATCH(A647&amp;"ENTRADA",Movimientos!$R$2:$R$1993,0)),"-")</f>
        <v>-</v>
      </c>
      <c r="G647" s="2" t="str">
        <f>IFERROR(INDEX(Movimientos!$L$2:$L$1993,MATCH(A647&amp;"ENTRADA",Movimientos!$R$2:$R$1993,0)),"-")</f>
        <v>-</v>
      </c>
      <c r="H647" s="17" t="str">
        <f>IFERROR(IF(INDEX(Movimientos!$M$2:$M$1993,MATCH(A647&amp;"ENTRADA",Movimientos!$R$2:$R$1993,0))=0,"S/D",INDEX(Movimientos!$M$2:$M$1993,MATCH(A647&amp;"ENTRADA",Movimientos!$R$2:$R$1993,0))),"S/D")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2954</v>
      </c>
      <c r="B648" s="2" t="str">
        <f>IFERROR(INDEX(Movimientos!$C$2:$C$1993,MATCH(A648&amp;"ENTRADA",Movimientos!$R$2:$R$1993,0)),"-")</f>
        <v>-</v>
      </c>
      <c r="C648" s="2" t="str">
        <f>IFERROR(INDEX(Movimientos!$D$2:$D$1993,MATCH(A648&amp;"ENTRADA",Movimientos!$R$2:$R$1993,0)),"-")</f>
        <v>-</v>
      </c>
      <c r="D648" s="2" t="str">
        <f>IFERROR(INDEX(Movimientos!$E$2:$E$1993,MATCH(A648&amp;"ENTRADA",Movimientos!$R$2:$R$1993,0)),"-")</f>
        <v>-</v>
      </c>
      <c r="E648" s="2" t="str">
        <f>IFERROR(INDEX(Movimientos!$F$2:$F$1993,MATCH(A648&amp;"ENTRADA",Movimientos!$R$2:$R$1993,0)),"-")</f>
        <v>-</v>
      </c>
      <c r="F648" s="2" t="str">
        <f>IFERROR(INDEX(Movimientos!$G$2:$G$1993,MATCH(A648&amp;"ENTRADA",Movimientos!$R$2:$R$1993,0)),"-")</f>
        <v>-</v>
      </c>
      <c r="G648" s="2" t="str">
        <f>IFERROR(INDEX(Movimientos!$L$2:$L$1993,MATCH(A648&amp;"ENTRADA",Movimientos!$R$2:$R$1993,0)),"-")</f>
        <v>-</v>
      </c>
      <c r="H648" s="17" t="str">
        <f>IFERROR(IF(INDEX(Movimientos!$M$2:$M$1993,MATCH(A648&amp;"ENTRADA",Movimientos!$R$2:$R$1993,0))=0,"S/D",INDEX(Movimientos!$M$2:$M$1993,MATCH(A648&amp;"ENTRADA",Movimientos!$R$2:$R$1993,0))),"S/D")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2955</v>
      </c>
      <c r="B649" s="2" t="str">
        <f>IFERROR(INDEX(Movimientos!$C$2:$C$1993,MATCH(A649&amp;"ENTRADA",Movimientos!$R$2:$R$1993,0)),"-")</f>
        <v>-</v>
      </c>
      <c r="C649" s="2" t="str">
        <f>IFERROR(INDEX(Movimientos!$D$2:$D$1993,MATCH(A649&amp;"ENTRADA",Movimientos!$R$2:$R$1993,0)),"-")</f>
        <v>-</v>
      </c>
      <c r="D649" s="2" t="str">
        <f>IFERROR(INDEX(Movimientos!$E$2:$E$1993,MATCH(A649&amp;"ENTRADA",Movimientos!$R$2:$R$1993,0)),"-")</f>
        <v>-</v>
      </c>
      <c r="E649" s="2" t="str">
        <f>IFERROR(INDEX(Movimientos!$F$2:$F$1993,MATCH(A649&amp;"ENTRADA",Movimientos!$R$2:$R$1993,0)),"-")</f>
        <v>-</v>
      </c>
      <c r="F649" s="2" t="str">
        <f>IFERROR(INDEX(Movimientos!$G$2:$G$1993,MATCH(A649&amp;"ENTRADA",Movimientos!$R$2:$R$1993,0)),"-")</f>
        <v>-</v>
      </c>
      <c r="G649" s="2" t="str">
        <f>IFERROR(INDEX(Movimientos!$L$2:$L$1993,MATCH(A649&amp;"ENTRADA",Movimientos!$R$2:$R$1993,0)),"-")</f>
        <v>-</v>
      </c>
      <c r="H649" s="17" t="str">
        <f>IFERROR(IF(INDEX(Movimientos!$M$2:$M$1993,MATCH(A649&amp;"ENTRADA",Movimientos!$R$2:$R$1993,0))=0,"S/D",INDEX(Movimientos!$M$2:$M$1993,MATCH(A649&amp;"ENTRADA",Movimientos!$R$2:$R$1993,0))),"S/D")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2956</v>
      </c>
      <c r="B650" s="2" t="str">
        <f>IFERROR(INDEX(Movimientos!$C$2:$C$1993,MATCH(A650&amp;"ENTRADA",Movimientos!$R$2:$R$1993,0)),"-")</f>
        <v>-</v>
      </c>
      <c r="C650" s="2" t="str">
        <f>IFERROR(INDEX(Movimientos!$D$2:$D$1993,MATCH(A650&amp;"ENTRADA",Movimientos!$R$2:$R$1993,0)),"-")</f>
        <v>-</v>
      </c>
      <c r="D650" s="2" t="str">
        <f>IFERROR(INDEX(Movimientos!$E$2:$E$1993,MATCH(A650&amp;"ENTRADA",Movimientos!$R$2:$R$1993,0)),"-")</f>
        <v>-</v>
      </c>
      <c r="E650" s="2" t="str">
        <f>IFERROR(INDEX(Movimientos!$F$2:$F$1993,MATCH(A650&amp;"ENTRADA",Movimientos!$R$2:$R$1993,0)),"-")</f>
        <v>-</v>
      </c>
      <c r="F650" s="2" t="str">
        <f>IFERROR(INDEX(Movimientos!$G$2:$G$1993,MATCH(A650&amp;"ENTRADA",Movimientos!$R$2:$R$1993,0)),"-")</f>
        <v>-</v>
      </c>
      <c r="G650" s="2" t="str">
        <f>IFERROR(INDEX(Movimientos!$L$2:$L$1993,MATCH(A650&amp;"ENTRADA",Movimientos!$R$2:$R$1993,0)),"-")</f>
        <v>-</v>
      </c>
      <c r="H650" s="17" t="str">
        <f>IFERROR(IF(INDEX(Movimientos!$M$2:$M$1993,MATCH(A650&amp;"ENTRADA",Movimientos!$R$2:$R$1993,0))=0,"S/D",INDEX(Movimientos!$M$2:$M$1993,MATCH(A650&amp;"ENTRADA",Movimientos!$R$2:$R$1993,0))),"S/D")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2957</v>
      </c>
      <c r="B651" s="2" t="str">
        <f>IFERROR(INDEX(Movimientos!$C$2:$C$1993,MATCH(A651&amp;"ENTRADA",Movimientos!$R$2:$R$1993,0)),"-")</f>
        <v>-</v>
      </c>
      <c r="C651" s="2" t="str">
        <f>IFERROR(INDEX(Movimientos!$D$2:$D$1993,MATCH(A651&amp;"ENTRADA",Movimientos!$R$2:$R$1993,0)),"-")</f>
        <v>-</v>
      </c>
      <c r="D651" s="2" t="str">
        <f>IFERROR(INDEX(Movimientos!$E$2:$E$1993,MATCH(A651&amp;"ENTRADA",Movimientos!$R$2:$R$1993,0)),"-")</f>
        <v>-</v>
      </c>
      <c r="E651" s="2" t="str">
        <f>IFERROR(INDEX(Movimientos!$F$2:$F$1993,MATCH(A651&amp;"ENTRADA",Movimientos!$R$2:$R$1993,0)),"-")</f>
        <v>-</v>
      </c>
      <c r="F651" s="2" t="str">
        <f>IFERROR(INDEX(Movimientos!$G$2:$G$1993,MATCH(A651&amp;"ENTRADA",Movimientos!$R$2:$R$1993,0)),"-")</f>
        <v>-</v>
      </c>
      <c r="G651" s="2" t="str">
        <f>IFERROR(INDEX(Movimientos!$L$2:$L$1993,MATCH(A651&amp;"ENTRADA",Movimientos!$R$2:$R$1993,0)),"-")</f>
        <v>-</v>
      </c>
      <c r="H651" s="17" t="str">
        <f>IFERROR(IF(INDEX(Movimientos!$M$2:$M$1993,MATCH(A651&amp;"ENTRADA",Movimientos!$R$2:$R$1993,0))=0,"S/D",INDEX(Movimientos!$M$2:$M$1993,MATCH(A651&amp;"ENTRADA",Movimientos!$R$2:$R$1993,0))),"S/D")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2958</v>
      </c>
      <c r="B652" s="2" t="str">
        <f>IFERROR(INDEX(Movimientos!$C$2:$C$1993,MATCH(A652&amp;"ENTRADA",Movimientos!$R$2:$R$1993,0)),"-")</f>
        <v>-</v>
      </c>
      <c r="C652" s="2" t="str">
        <f>IFERROR(INDEX(Movimientos!$D$2:$D$1993,MATCH(A652&amp;"ENTRADA",Movimientos!$R$2:$R$1993,0)),"-")</f>
        <v>-</v>
      </c>
      <c r="D652" s="2" t="str">
        <f>IFERROR(INDEX(Movimientos!$E$2:$E$1993,MATCH(A652&amp;"ENTRADA",Movimientos!$R$2:$R$1993,0)),"-")</f>
        <v>-</v>
      </c>
      <c r="E652" s="2" t="str">
        <f>IFERROR(INDEX(Movimientos!$F$2:$F$1993,MATCH(A652&amp;"ENTRADA",Movimientos!$R$2:$R$1993,0)),"-")</f>
        <v>-</v>
      </c>
      <c r="F652" s="2" t="str">
        <f>IFERROR(INDEX(Movimientos!$G$2:$G$1993,MATCH(A652&amp;"ENTRADA",Movimientos!$R$2:$R$1993,0)),"-")</f>
        <v>-</v>
      </c>
      <c r="G652" s="2" t="str">
        <f>IFERROR(INDEX(Movimientos!$L$2:$L$1993,MATCH(A652&amp;"ENTRADA",Movimientos!$R$2:$R$1993,0)),"-")</f>
        <v>-</v>
      </c>
      <c r="H652" s="17" t="str">
        <f>IFERROR(IF(INDEX(Movimientos!$M$2:$M$1993,MATCH(A652&amp;"ENTRADA",Movimientos!$R$2:$R$1993,0))=0,"S/D",INDEX(Movimientos!$M$2:$M$1993,MATCH(A652&amp;"ENTRADA",Movimientos!$R$2:$R$1993,0))),"S/D")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2959</v>
      </c>
      <c r="B653" s="2" t="str">
        <f>IFERROR(INDEX(Movimientos!$C$2:$C$1993,MATCH(A653&amp;"ENTRADA",Movimientos!$R$2:$R$1993,0)),"-")</f>
        <v>-</v>
      </c>
      <c r="C653" s="2" t="str">
        <f>IFERROR(INDEX(Movimientos!$D$2:$D$1993,MATCH(A653&amp;"ENTRADA",Movimientos!$R$2:$R$1993,0)),"-")</f>
        <v>-</v>
      </c>
      <c r="D653" s="2" t="str">
        <f>IFERROR(INDEX(Movimientos!$E$2:$E$1993,MATCH(A653&amp;"ENTRADA",Movimientos!$R$2:$R$1993,0)),"-")</f>
        <v>-</v>
      </c>
      <c r="E653" s="2" t="str">
        <f>IFERROR(INDEX(Movimientos!$F$2:$F$1993,MATCH(A653&amp;"ENTRADA",Movimientos!$R$2:$R$1993,0)),"-")</f>
        <v>-</v>
      </c>
      <c r="F653" s="2" t="str">
        <f>IFERROR(INDEX(Movimientos!$G$2:$G$1993,MATCH(A653&amp;"ENTRADA",Movimientos!$R$2:$R$1993,0)),"-")</f>
        <v>-</v>
      </c>
      <c r="G653" s="2" t="str">
        <f>IFERROR(INDEX(Movimientos!$L$2:$L$1993,MATCH(A653&amp;"ENTRADA",Movimientos!$R$2:$R$1993,0)),"-")</f>
        <v>-</v>
      </c>
      <c r="H653" s="17" t="str">
        <f>IFERROR(IF(INDEX(Movimientos!$M$2:$M$1993,MATCH(A653&amp;"ENTRADA",Movimientos!$R$2:$R$1993,0))=0,"S/D",INDEX(Movimientos!$M$2:$M$1993,MATCH(A653&amp;"ENTRADA",Movimientos!$R$2:$R$1993,0))),"S/D")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2960</v>
      </c>
      <c r="B654" s="2" t="str">
        <f>IFERROR(INDEX(Movimientos!$C$2:$C$1993,MATCH(A654&amp;"ENTRADA",Movimientos!$R$2:$R$1993,0)),"-")</f>
        <v>-</v>
      </c>
      <c r="C654" s="2" t="str">
        <f>IFERROR(INDEX(Movimientos!$D$2:$D$1993,MATCH(A654&amp;"ENTRADA",Movimientos!$R$2:$R$1993,0)),"-")</f>
        <v>-</v>
      </c>
      <c r="D654" s="2" t="str">
        <f>IFERROR(INDEX(Movimientos!$E$2:$E$1993,MATCH(A654&amp;"ENTRADA",Movimientos!$R$2:$R$1993,0)),"-")</f>
        <v>-</v>
      </c>
      <c r="E654" s="2" t="str">
        <f>IFERROR(INDEX(Movimientos!$F$2:$F$1993,MATCH(A654&amp;"ENTRADA",Movimientos!$R$2:$R$1993,0)),"-")</f>
        <v>-</v>
      </c>
      <c r="F654" s="2" t="str">
        <f>IFERROR(INDEX(Movimientos!$G$2:$G$1993,MATCH(A654&amp;"ENTRADA",Movimientos!$R$2:$R$1993,0)),"-")</f>
        <v>-</v>
      </c>
      <c r="G654" s="2" t="str">
        <f>IFERROR(INDEX(Movimientos!$L$2:$L$1993,MATCH(A654&amp;"ENTRADA",Movimientos!$R$2:$R$1993,0)),"-")</f>
        <v>-</v>
      </c>
      <c r="H654" s="17" t="str">
        <f>IFERROR(IF(INDEX(Movimientos!$M$2:$M$1993,MATCH(A654&amp;"ENTRADA",Movimientos!$R$2:$R$1993,0))=0,"S/D",INDEX(Movimientos!$M$2:$M$1993,MATCH(A654&amp;"ENTRADA",Movimientos!$R$2:$R$1993,0))),"S/D")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2961</v>
      </c>
      <c r="B655" s="2" t="str">
        <f>IFERROR(INDEX(Movimientos!$C$2:$C$1993,MATCH(A655&amp;"ENTRADA",Movimientos!$R$2:$R$1993,0)),"-")</f>
        <v>-</v>
      </c>
      <c r="C655" s="2" t="str">
        <f>IFERROR(INDEX(Movimientos!$D$2:$D$1993,MATCH(A655&amp;"ENTRADA",Movimientos!$R$2:$R$1993,0)),"-")</f>
        <v>-</v>
      </c>
      <c r="D655" s="2" t="str">
        <f>IFERROR(INDEX(Movimientos!$E$2:$E$1993,MATCH(A655&amp;"ENTRADA",Movimientos!$R$2:$R$1993,0)),"-")</f>
        <v>-</v>
      </c>
      <c r="E655" s="2" t="str">
        <f>IFERROR(INDEX(Movimientos!$F$2:$F$1993,MATCH(A655&amp;"ENTRADA",Movimientos!$R$2:$R$1993,0)),"-")</f>
        <v>-</v>
      </c>
      <c r="F655" s="2" t="str">
        <f>IFERROR(INDEX(Movimientos!$G$2:$G$1993,MATCH(A655&amp;"ENTRADA",Movimientos!$R$2:$R$1993,0)),"-")</f>
        <v>-</v>
      </c>
      <c r="G655" s="2" t="str">
        <f>IFERROR(INDEX(Movimientos!$L$2:$L$1993,MATCH(A655&amp;"ENTRADA",Movimientos!$R$2:$R$1993,0)),"-")</f>
        <v>-</v>
      </c>
      <c r="H655" s="17" t="str">
        <f>IFERROR(IF(INDEX(Movimientos!$M$2:$M$1993,MATCH(A655&amp;"ENTRADA",Movimientos!$R$2:$R$1993,0))=0,"S/D",INDEX(Movimientos!$M$2:$M$1993,MATCH(A655&amp;"ENTRADA",Movimientos!$R$2:$R$1993,0))),"S/D")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2962</v>
      </c>
      <c r="B656" s="2" t="str">
        <f>IFERROR(INDEX(Movimientos!$C$2:$C$1993,MATCH(A656&amp;"ENTRADA",Movimientos!$R$2:$R$1993,0)),"-")</f>
        <v>-</v>
      </c>
      <c r="C656" s="2" t="str">
        <f>IFERROR(INDEX(Movimientos!$D$2:$D$1993,MATCH(A656&amp;"ENTRADA",Movimientos!$R$2:$R$1993,0)),"-")</f>
        <v>-</v>
      </c>
      <c r="D656" s="2" t="str">
        <f>IFERROR(INDEX(Movimientos!$E$2:$E$1993,MATCH(A656&amp;"ENTRADA",Movimientos!$R$2:$R$1993,0)),"-")</f>
        <v>-</v>
      </c>
      <c r="E656" s="2" t="str">
        <f>IFERROR(INDEX(Movimientos!$F$2:$F$1993,MATCH(A656&amp;"ENTRADA",Movimientos!$R$2:$R$1993,0)),"-")</f>
        <v>-</v>
      </c>
      <c r="F656" s="2" t="str">
        <f>IFERROR(INDEX(Movimientos!$G$2:$G$1993,MATCH(A656&amp;"ENTRADA",Movimientos!$R$2:$R$1993,0)),"-")</f>
        <v>-</v>
      </c>
      <c r="G656" s="2" t="str">
        <f>IFERROR(INDEX(Movimientos!$L$2:$L$1993,MATCH(A656&amp;"ENTRADA",Movimientos!$R$2:$R$1993,0)),"-")</f>
        <v>-</v>
      </c>
      <c r="H656" s="17" t="str">
        <f>IFERROR(IF(INDEX(Movimientos!$M$2:$M$1993,MATCH(A656&amp;"ENTRADA",Movimientos!$R$2:$R$1993,0))=0,"S/D",INDEX(Movimientos!$M$2:$M$1993,MATCH(A656&amp;"ENTRADA",Movimientos!$R$2:$R$1993,0))),"S/D")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2963</v>
      </c>
      <c r="B657" s="2" t="str">
        <f>IFERROR(INDEX(Movimientos!$C$2:$C$1993,MATCH(A657&amp;"ENTRADA",Movimientos!$R$2:$R$1993,0)),"-")</f>
        <v>-</v>
      </c>
      <c r="C657" s="2" t="str">
        <f>IFERROR(INDEX(Movimientos!$D$2:$D$1993,MATCH(A657&amp;"ENTRADA",Movimientos!$R$2:$R$1993,0)),"-")</f>
        <v>-</v>
      </c>
      <c r="D657" s="2" t="str">
        <f>IFERROR(INDEX(Movimientos!$E$2:$E$1993,MATCH(A657&amp;"ENTRADA",Movimientos!$R$2:$R$1993,0)),"-")</f>
        <v>-</v>
      </c>
      <c r="E657" s="2" t="str">
        <f>IFERROR(INDEX(Movimientos!$F$2:$F$1993,MATCH(A657&amp;"ENTRADA",Movimientos!$R$2:$R$1993,0)),"-")</f>
        <v>-</v>
      </c>
      <c r="F657" s="2" t="str">
        <f>IFERROR(INDEX(Movimientos!$G$2:$G$1993,MATCH(A657&amp;"ENTRADA",Movimientos!$R$2:$R$1993,0)),"-")</f>
        <v>-</v>
      </c>
      <c r="G657" s="2" t="str">
        <f>IFERROR(INDEX(Movimientos!$L$2:$L$1993,MATCH(A657&amp;"ENTRADA",Movimientos!$R$2:$R$1993,0)),"-")</f>
        <v>-</v>
      </c>
      <c r="H657" s="17" t="str">
        <f>IFERROR(IF(INDEX(Movimientos!$M$2:$M$1993,MATCH(A657&amp;"ENTRADA",Movimientos!$R$2:$R$1993,0))=0,"S/D",INDEX(Movimientos!$M$2:$M$1993,MATCH(A657&amp;"ENTRADA",Movimientos!$R$2:$R$1993,0))),"S/D")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2964</v>
      </c>
      <c r="B658" s="2" t="str">
        <f>IFERROR(INDEX(Movimientos!$C$2:$C$1993,MATCH(A658&amp;"ENTRADA",Movimientos!$R$2:$R$1993,0)),"-")</f>
        <v>-</v>
      </c>
      <c r="C658" s="2" t="str">
        <f>IFERROR(INDEX(Movimientos!$D$2:$D$1993,MATCH(A658&amp;"ENTRADA",Movimientos!$R$2:$R$1993,0)),"-")</f>
        <v>-</v>
      </c>
      <c r="D658" s="2" t="str">
        <f>IFERROR(INDEX(Movimientos!$E$2:$E$1993,MATCH(A658&amp;"ENTRADA",Movimientos!$R$2:$R$1993,0)),"-")</f>
        <v>-</v>
      </c>
      <c r="E658" s="2" t="str">
        <f>IFERROR(INDEX(Movimientos!$F$2:$F$1993,MATCH(A658&amp;"ENTRADA",Movimientos!$R$2:$R$1993,0)),"-")</f>
        <v>-</v>
      </c>
      <c r="F658" s="2" t="str">
        <f>IFERROR(INDEX(Movimientos!$G$2:$G$1993,MATCH(A658&amp;"ENTRADA",Movimientos!$R$2:$R$1993,0)),"-")</f>
        <v>-</v>
      </c>
      <c r="G658" s="2" t="str">
        <f>IFERROR(INDEX(Movimientos!$L$2:$L$1993,MATCH(A658&amp;"ENTRADA",Movimientos!$R$2:$R$1993,0)),"-")</f>
        <v>-</v>
      </c>
      <c r="H658" s="17" t="str">
        <f>IFERROR(IF(INDEX(Movimientos!$M$2:$M$1993,MATCH(A658&amp;"ENTRADA",Movimientos!$R$2:$R$1993,0))=0,"S/D",INDEX(Movimientos!$M$2:$M$1993,MATCH(A658&amp;"ENTRADA",Movimientos!$R$2:$R$1993,0))),"S/D")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2965</v>
      </c>
      <c r="B659" s="2" t="str">
        <f>IFERROR(INDEX(Movimientos!$C$2:$C$1993,MATCH(A659&amp;"ENTRADA",Movimientos!$R$2:$R$1993,0)),"-")</f>
        <v>-</v>
      </c>
      <c r="C659" s="2" t="str">
        <f>IFERROR(INDEX(Movimientos!$D$2:$D$1993,MATCH(A659&amp;"ENTRADA",Movimientos!$R$2:$R$1993,0)),"-")</f>
        <v>-</v>
      </c>
      <c r="D659" s="2" t="str">
        <f>IFERROR(INDEX(Movimientos!$E$2:$E$1993,MATCH(A659&amp;"ENTRADA",Movimientos!$R$2:$R$1993,0)),"-")</f>
        <v>-</v>
      </c>
      <c r="E659" s="2" t="str">
        <f>IFERROR(INDEX(Movimientos!$F$2:$F$1993,MATCH(A659&amp;"ENTRADA",Movimientos!$R$2:$R$1993,0)),"-")</f>
        <v>-</v>
      </c>
      <c r="F659" s="2" t="str">
        <f>IFERROR(INDEX(Movimientos!$G$2:$G$1993,MATCH(A659&amp;"ENTRADA",Movimientos!$R$2:$R$1993,0)),"-")</f>
        <v>-</v>
      </c>
      <c r="G659" s="2" t="str">
        <f>IFERROR(INDEX(Movimientos!$L$2:$L$1993,MATCH(A659&amp;"ENTRADA",Movimientos!$R$2:$R$1993,0)),"-")</f>
        <v>-</v>
      </c>
      <c r="H659" s="17" t="str">
        <f>IFERROR(IF(INDEX(Movimientos!$M$2:$M$1993,MATCH(A659&amp;"ENTRADA",Movimientos!$R$2:$R$1993,0))=0,"S/D",INDEX(Movimientos!$M$2:$M$1993,MATCH(A659&amp;"ENTRADA",Movimientos!$R$2:$R$1993,0))),"S/D")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2966</v>
      </c>
      <c r="B660" s="2" t="str">
        <f>IFERROR(INDEX(Movimientos!$C$2:$C$1993,MATCH(A660&amp;"ENTRADA",Movimientos!$R$2:$R$1993,0)),"-")</f>
        <v>-</v>
      </c>
      <c r="C660" s="2" t="str">
        <f>IFERROR(INDEX(Movimientos!$D$2:$D$1993,MATCH(A660&amp;"ENTRADA",Movimientos!$R$2:$R$1993,0)),"-")</f>
        <v>-</v>
      </c>
      <c r="D660" s="2" t="str">
        <f>IFERROR(INDEX(Movimientos!$E$2:$E$1993,MATCH(A660&amp;"ENTRADA",Movimientos!$R$2:$R$1993,0)),"-")</f>
        <v>-</v>
      </c>
      <c r="E660" s="2" t="str">
        <f>IFERROR(INDEX(Movimientos!$F$2:$F$1993,MATCH(A660&amp;"ENTRADA",Movimientos!$R$2:$R$1993,0)),"-")</f>
        <v>-</v>
      </c>
      <c r="F660" s="2" t="str">
        <f>IFERROR(INDEX(Movimientos!$G$2:$G$1993,MATCH(A660&amp;"ENTRADA",Movimientos!$R$2:$R$1993,0)),"-")</f>
        <v>-</v>
      </c>
      <c r="G660" s="2" t="str">
        <f>IFERROR(INDEX(Movimientos!$L$2:$L$1993,MATCH(A660&amp;"ENTRADA",Movimientos!$R$2:$R$1993,0)),"-")</f>
        <v>-</v>
      </c>
      <c r="H660" s="17" t="str">
        <f>IFERROR(IF(INDEX(Movimientos!$M$2:$M$1993,MATCH(A660&amp;"ENTRADA",Movimientos!$R$2:$R$1993,0))=0,"S/D",INDEX(Movimientos!$M$2:$M$1993,MATCH(A660&amp;"ENTRADA",Movimientos!$R$2:$R$1993,0))),"S/D")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2967</v>
      </c>
      <c r="B661" s="2" t="str">
        <f>IFERROR(INDEX(Movimientos!$C$2:$C$1993,MATCH(A661&amp;"ENTRADA",Movimientos!$R$2:$R$1993,0)),"-")</f>
        <v>-</v>
      </c>
      <c r="C661" s="2" t="str">
        <f>IFERROR(INDEX(Movimientos!$D$2:$D$1993,MATCH(A661&amp;"ENTRADA",Movimientos!$R$2:$R$1993,0)),"-")</f>
        <v>-</v>
      </c>
      <c r="D661" s="2" t="str">
        <f>IFERROR(INDEX(Movimientos!$E$2:$E$1993,MATCH(A661&amp;"ENTRADA",Movimientos!$R$2:$R$1993,0)),"-")</f>
        <v>-</v>
      </c>
      <c r="E661" s="2" t="str">
        <f>IFERROR(INDEX(Movimientos!$F$2:$F$1993,MATCH(A661&amp;"ENTRADA",Movimientos!$R$2:$R$1993,0)),"-")</f>
        <v>-</v>
      </c>
      <c r="F661" s="2" t="str">
        <f>IFERROR(INDEX(Movimientos!$G$2:$G$1993,MATCH(A661&amp;"ENTRADA",Movimientos!$R$2:$R$1993,0)),"-")</f>
        <v>-</v>
      </c>
      <c r="G661" s="2" t="str">
        <f>IFERROR(INDEX(Movimientos!$L$2:$L$1993,MATCH(A661&amp;"ENTRADA",Movimientos!$R$2:$R$1993,0)),"-")</f>
        <v>-</v>
      </c>
      <c r="H661" s="17" t="str">
        <f>IFERROR(IF(INDEX(Movimientos!$M$2:$M$1993,MATCH(A661&amp;"ENTRADA",Movimientos!$R$2:$R$1993,0))=0,"S/D",INDEX(Movimientos!$M$2:$M$1993,MATCH(A661&amp;"ENTRADA",Movimientos!$R$2:$R$1993,0))),"S/D")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2968</v>
      </c>
      <c r="B662" s="2" t="str">
        <f>IFERROR(INDEX(Movimientos!$C$2:$C$1993,MATCH(A662&amp;"ENTRADA",Movimientos!$R$2:$R$1993,0)),"-")</f>
        <v>-</v>
      </c>
      <c r="C662" s="2" t="str">
        <f>IFERROR(INDEX(Movimientos!$D$2:$D$1993,MATCH(A662&amp;"ENTRADA",Movimientos!$R$2:$R$1993,0)),"-")</f>
        <v>-</v>
      </c>
      <c r="D662" s="2" t="str">
        <f>IFERROR(INDEX(Movimientos!$E$2:$E$1993,MATCH(A662&amp;"ENTRADA",Movimientos!$R$2:$R$1993,0)),"-")</f>
        <v>-</v>
      </c>
      <c r="E662" s="2" t="str">
        <f>IFERROR(INDEX(Movimientos!$F$2:$F$1993,MATCH(A662&amp;"ENTRADA",Movimientos!$R$2:$R$1993,0)),"-")</f>
        <v>-</v>
      </c>
      <c r="F662" s="2" t="str">
        <f>IFERROR(INDEX(Movimientos!$G$2:$G$1993,MATCH(A662&amp;"ENTRADA",Movimientos!$R$2:$R$1993,0)),"-")</f>
        <v>-</v>
      </c>
      <c r="G662" s="2" t="str">
        <f>IFERROR(INDEX(Movimientos!$L$2:$L$1993,MATCH(A662&amp;"ENTRADA",Movimientos!$R$2:$R$1993,0)),"-")</f>
        <v>-</v>
      </c>
      <c r="H662" s="17" t="str">
        <f>IFERROR(IF(INDEX(Movimientos!$M$2:$M$1993,MATCH(A662&amp;"ENTRADA",Movimientos!$R$2:$R$1993,0))=0,"S/D",INDEX(Movimientos!$M$2:$M$1993,MATCH(A662&amp;"ENTRADA",Movimientos!$R$2:$R$1993,0))),"S/D")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2969</v>
      </c>
      <c r="B663" s="2" t="str">
        <f>IFERROR(INDEX(Movimientos!$C$2:$C$1993,MATCH(A663&amp;"ENTRADA",Movimientos!$R$2:$R$1993,0)),"-")</f>
        <v>-</v>
      </c>
      <c r="C663" s="2" t="str">
        <f>IFERROR(INDEX(Movimientos!$D$2:$D$1993,MATCH(A663&amp;"ENTRADA",Movimientos!$R$2:$R$1993,0)),"-")</f>
        <v>-</v>
      </c>
      <c r="D663" s="2" t="str">
        <f>IFERROR(INDEX(Movimientos!$E$2:$E$1993,MATCH(A663&amp;"ENTRADA",Movimientos!$R$2:$R$1993,0)),"-")</f>
        <v>-</v>
      </c>
      <c r="E663" s="2" t="str">
        <f>IFERROR(INDEX(Movimientos!$F$2:$F$1993,MATCH(A663&amp;"ENTRADA",Movimientos!$R$2:$R$1993,0)),"-")</f>
        <v>-</v>
      </c>
      <c r="F663" s="2" t="str">
        <f>IFERROR(INDEX(Movimientos!$G$2:$G$1993,MATCH(A663&amp;"ENTRADA",Movimientos!$R$2:$R$1993,0)),"-")</f>
        <v>-</v>
      </c>
      <c r="G663" s="2" t="str">
        <f>IFERROR(INDEX(Movimientos!$L$2:$L$1993,MATCH(A663&amp;"ENTRADA",Movimientos!$R$2:$R$1993,0)),"-")</f>
        <v>-</v>
      </c>
      <c r="H663" s="17" t="str">
        <f>IFERROR(IF(INDEX(Movimientos!$M$2:$M$1993,MATCH(A663&amp;"ENTRADA",Movimientos!$R$2:$R$1993,0))=0,"S/D",INDEX(Movimientos!$M$2:$M$1993,MATCH(A663&amp;"ENTRADA",Movimientos!$R$2:$R$1993,0))),"S/D")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2970</v>
      </c>
      <c r="B664" s="2" t="str">
        <f>IFERROR(INDEX(Movimientos!$C$2:$C$1993,MATCH(A664&amp;"ENTRADA",Movimientos!$R$2:$R$1993,0)),"-")</f>
        <v>-</v>
      </c>
      <c r="C664" s="2" t="str">
        <f>IFERROR(INDEX(Movimientos!$D$2:$D$1993,MATCH(A664&amp;"ENTRADA",Movimientos!$R$2:$R$1993,0)),"-")</f>
        <v>-</v>
      </c>
      <c r="D664" s="2" t="str">
        <f>IFERROR(INDEX(Movimientos!$E$2:$E$1993,MATCH(A664&amp;"ENTRADA",Movimientos!$R$2:$R$1993,0)),"-")</f>
        <v>-</v>
      </c>
      <c r="E664" s="2" t="str">
        <f>IFERROR(INDEX(Movimientos!$F$2:$F$1993,MATCH(A664&amp;"ENTRADA",Movimientos!$R$2:$R$1993,0)),"-")</f>
        <v>-</v>
      </c>
      <c r="F664" s="2" t="str">
        <f>IFERROR(INDEX(Movimientos!$G$2:$G$1993,MATCH(A664&amp;"ENTRADA",Movimientos!$R$2:$R$1993,0)),"-")</f>
        <v>-</v>
      </c>
      <c r="G664" s="2" t="str">
        <f>IFERROR(INDEX(Movimientos!$L$2:$L$1993,MATCH(A664&amp;"ENTRADA",Movimientos!$R$2:$R$1993,0)),"-")</f>
        <v>-</v>
      </c>
      <c r="H664" s="17" t="str">
        <f>IFERROR(IF(INDEX(Movimientos!$M$2:$M$1993,MATCH(A664&amp;"ENTRADA",Movimientos!$R$2:$R$1993,0))=0,"S/D",INDEX(Movimientos!$M$2:$M$1993,MATCH(A664&amp;"ENTRADA",Movimientos!$R$2:$R$1993,0))),"S/D")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2971</v>
      </c>
      <c r="B665" s="2" t="str">
        <f>IFERROR(INDEX(Movimientos!$C$2:$C$1993,MATCH(A665&amp;"ENTRADA",Movimientos!$R$2:$R$1993,0)),"-")</f>
        <v>-</v>
      </c>
      <c r="C665" s="2" t="str">
        <f>IFERROR(INDEX(Movimientos!$D$2:$D$1993,MATCH(A665&amp;"ENTRADA",Movimientos!$R$2:$R$1993,0)),"-")</f>
        <v>-</v>
      </c>
      <c r="D665" s="2" t="str">
        <f>IFERROR(INDEX(Movimientos!$E$2:$E$1993,MATCH(A665&amp;"ENTRADA",Movimientos!$R$2:$R$1993,0)),"-")</f>
        <v>-</v>
      </c>
      <c r="E665" s="2" t="str">
        <f>IFERROR(INDEX(Movimientos!$F$2:$F$1993,MATCH(A665&amp;"ENTRADA",Movimientos!$R$2:$R$1993,0)),"-")</f>
        <v>-</v>
      </c>
      <c r="F665" s="2" t="str">
        <f>IFERROR(INDEX(Movimientos!$G$2:$G$1993,MATCH(A665&amp;"ENTRADA",Movimientos!$R$2:$R$1993,0)),"-")</f>
        <v>-</v>
      </c>
      <c r="G665" s="2" t="str">
        <f>IFERROR(INDEX(Movimientos!$L$2:$L$1993,MATCH(A665&amp;"ENTRADA",Movimientos!$R$2:$R$1993,0)),"-")</f>
        <v>-</v>
      </c>
      <c r="H665" s="17" t="str">
        <f>IFERROR(IF(INDEX(Movimientos!$M$2:$M$1993,MATCH(A665&amp;"ENTRADA",Movimientos!$R$2:$R$1993,0))=0,"S/D",INDEX(Movimientos!$M$2:$M$1993,MATCH(A665&amp;"ENTRADA",Movimientos!$R$2:$R$1993,0))),"S/D")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2972</v>
      </c>
      <c r="B666" s="2" t="str">
        <f>IFERROR(INDEX(Movimientos!$C$2:$C$1993,MATCH(A666&amp;"ENTRADA",Movimientos!$R$2:$R$1993,0)),"-")</f>
        <v>-</v>
      </c>
      <c r="C666" s="2" t="str">
        <f>IFERROR(INDEX(Movimientos!$D$2:$D$1993,MATCH(A666&amp;"ENTRADA",Movimientos!$R$2:$R$1993,0)),"-")</f>
        <v>-</v>
      </c>
      <c r="D666" s="2" t="str">
        <f>IFERROR(INDEX(Movimientos!$E$2:$E$1993,MATCH(A666&amp;"ENTRADA",Movimientos!$R$2:$R$1993,0)),"-")</f>
        <v>-</v>
      </c>
      <c r="E666" s="2" t="str">
        <f>IFERROR(INDEX(Movimientos!$F$2:$F$1993,MATCH(A666&amp;"ENTRADA",Movimientos!$R$2:$R$1993,0)),"-")</f>
        <v>-</v>
      </c>
      <c r="F666" s="2" t="str">
        <f>IFERROR(INDEX(Movimientos!$G$2:$G$1993,MATCH(A666&amp;"ENTRADA",Movimientos!$R$2:$R$1993,0)),"-")</f>
        <v>-</v>
      </c>
      <c r="G666" s="2" t="str">
        <f>IFERROR(INDEX(Movimientos!$L$2:$L$1993,MATCH(A666&amp;"ENTRADA",Movimientos!$R$2:$R$1993,0)),"-")</f>
        <v>-</v>
      </c>
      <c r="H666" s="17" t="str">
        <f>IFERROR(IF(INDEX(Movimientos!$M$2:$M$1993,MATCH(A666&amp;"ENTRADA",Movimientos!$R$2:$R$1993,0))=0,"S/D",INDEX(Movimientos!$M$2:$M$1993,MATCH(A666&amp;"ENTRADA",Movimientos!$R$2:$R$1993,0))),"S/D")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2973</v>
      </c>
      <c r="B667" s="2" t="str">
        <f>IFERROR(INDEX(Movimientos!$C$2:$C$1993,MATCH(A667&amp;"ENTRADA",Movimientos!$R$2:$R$1993,0)),"-")</f>
        <v>-</v>
      </c>
      <c r="C667" s="2" t="str">
        <f>IFERROR(INDEX(Movimientos!$D$2:$D$1993,MATCH(A667&amp;"ENTRADA",Movimientos!$R$2:$R$1993,0)),"-")</f>
        <v>-</v>
      </c>
      <c r="D667" s="2" t="str">
        <f>IFERROR(INDEX(Movimientos!$E$2:$E$1993,MATCH(A667&amp;"ENTRADA",Movimientos!$R$2:$R$1993,0)),"-")</f>
        <v>-</v>
      </c>
      <c r="E667" s="2" t="str">
        <f>IFERROR(INDEX(Movimientos!$F$2:$F$1993,MATCH(A667&amp;"ENTRADA",Movimientos!$R$2:$R$1993,0)),"-")</f>
        <v>-</v>
      </c>
      <c r="F667" s="2" t="str">
        <f>IFERROR(INDEX(Movimientos!$G$2:$G$1993,MATCH(A667&amp;"ENTRADA",Movimientos!$R$2:$R$1993,0)),"-")</f>
        <v>-</v>
      </c>
      <c r="G667" s="2" t="str">
        <f>IFERROR(INDEX(Movimientos!$L$2:$L$1993,MATCH(A667&amp;"ENTRADA",Movimientos!$R$2:$R$1993,0)),"-")</f>
        <v>-</v>
      </c>
      <c r="H667" s="17" t="str">
        <f>IFERROR(IF(INDEX(Movimientos!$M$2:$M$1993,MATCH(A667&amp;"ENTRADA",Movimientos!$R$2:$R$1993,0))=0,"S/D",INDEX(Movimientos!$M$2:$M$1993,MATCH(A667&amp;"ENTRADA",Movimientos!$R$2:$R$1993,0))),"S/D")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2974</v>
      </c>
      <c r="B668" s="2" t="str">
        <f>IFERROR(INDEX(Movimientos!$C$2:$C$1993,MATCH(A668&amp;"ENTRADA",Movimientos!$R$2:$R$1993,0)),"-")</f>
        <v>-</v>
      </c>
      <c r="C668" s="2" t="str">
        <f>IFERROR(INDEX(Movimientos!$D$2:$D$1993,MATCH(A668&amp;"ENTRADA",Movimientos!$R$2:$R$1993,0)),"-")</f>
        <v>-</v>
      </c>
      <c r="D668" s="2" t="str">
        <f>IFERROR(INDEX(Movimientos!$E$2:$E$1993,MATCH(A668&amp;"ENTRADA",Movimientos!$R$2:$R$1993,0)),"-")</f>
        <v>-</v>
      </c>
      <c r="E668" s="2" t="str">
        <f>IFERROR(INDEX(Movimientos!$F$2:$F$1993,MATCH(A668&amp;"ENTRADA",Movimientos!$R$2:$R$1993,0)),"-")</f>
        <v>-</v>
      </c>
      <c r="F668" s="2" t="str">
        <f>IFERROR(INDEX(Movimientos!$G$2:$G$1993,MATCH(A668&amp;"ENTRADA",Movimientos!$R$2:$R$1993,0)),"-")</f>
        <v>-</v>
      </c>
      <c r="G668" s="2" t="str">
        <f>IFERROR(INDEX(Movimientos!$L$2:$L$1993,MATCH(A668&amp;"ENTRADA",Movimientos!$R$2:$R$1993,0)),"-")</f>
        <v>-</v>
      </c>
      <c r="H668" s="17" t="str">
        <f>IFERROR(IF(INDEX(Movimientos!$M$2:$M$1993,MATCH(A668&amp;"ENTRADA",Movimientos!$R$2:$R$1993,0))=0,"S/D",INDEX(Movimientos!$M$2:$M$1993,MATCH(A668&amp;"ENTRADA",Movimientos!$R$2:$R$1993,0))),"S/D")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2975</v>
      </c>
      <c r="B669" s="2" t="str">
        <f>IFERROR(INDEX(Movimientos!$C$2:$C$1993,MATCH(A669&amp;"ENTRADA",Movimientos!$R$2:$R$1993,0)),"-")</f>
        <v>-</v>
      </c>
      <c r="C669" s="2" t="str">
        <f>IFERROR(INDEX(Movimientos!$D$2:$D$1993,MATCH(A669&amp;"ENTRADA",Movimientos!$R$2:$R$1993,0)),"-")</f>
        <v>-</v>
      </c>
      <c r="D669" s="2" t="str">
        <f>IFERROR(INDEX(Movimientos!$E$2:$E$1993,MATCH(A669&amp;"ENTRADA",Movimientos!$R$2:$R$1993,0)),"-")</f>
        <v>-</v>
      </c>
      <c r="E669" s="2" t="str">
        <f>IFERROR(INDEX(Movimientos!$F$2:$F$1993,MATCH(A669&amp;"ENTRADA",Movimientos!$R$2:$R$1993,0)),"-")</f>
        <v>-</v>
      </c>
      <c r="F669" s="2" t="str">
        <f>IFERROR(INDEX(Movimientos!$G$2:$G$1993,MATCH(A669&amp;"ENTRADA",Movimientos!$R$2:$R$1993,0)),"-")</f>
        <v>-</v>
      </c>
      <c r="G669" s="2" t="str">
        <f>IFERROR(INDEX(Movimientos!$L$2:$L$1993,MATCH(A669&amp;"ENTRADA",Movimientos!$R$2:$R$1993,0)),"-")</f>
        <v>-</v>
      </c>
      <c r="H669" s="17" t="str">
        <f>IFERROR(IF(INDEX(Movimientos!$M$2:$M$1993,MATCH(A669&amp;"ENTRADA",Movimientos!$R$2:$R$1993,0))=0,"S/D",INDEX(Movimientos!$M$2:$M$1993,MATCH(A669&amp;"ENTRADA",Movimientos!$R$2:$R$1993,0))),"S/D")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2976</v>
      </c>
      <c r="B670" s="2" t="str">
        <f>IFERROR(INDEX(Movimientos!$C$2:$C$1993,MATCH(A670&amp;"ENTRADA",Movimientos!$R$2:$R$1993,0)),"-")</f>
        <v>-</v>
      </c>
      <c r="C670" s="2" t="str">
        <f>IFERROR(INDEX(Movimientos!$D$2:$D$1993,MATCH(A670&amp;"ENTRADA",Movimientos!$R$2:$R$1993,0)),"-")</f>
        <v>-</v>
      </c>
      <c r="D670" s="2" t="str">
        <f>IFERROR(INDEX(Movimientos!$E$2:$E$1993,MATCH(A670&amp;"ENTRADA",Movimientos!$R$2:$R$1993,0)),"-")</f>
        <v>-</v>
      </c>
      <c r="E670" s="2" t="str">
        <f>IFERROR(INDEX(Movimientos!$F$2:$F$1993,MATCH(A670&amp;"ENTRADA",Movimientos!$R$2:$R$1993,0)),"-")</f>
        <v>-</v>
      </c>
      <c r="F670" s="2" t="str">
        <f>IFERROR(INDEX(Movimientos!$G$2:$G$1993,MATCH(A670&amp;"ENTRADA",Movimientos!$R$2:$R$1993,0)),"-")</f>
        <v>-</v>
      </c>
      <c r="G670" s="2" t="str">
        <f>IFERROR(INDEX(Movimientos!$L$2:$L$1993,MATCH(A670&amp;"ENTRADA",Movimientos!$R$2:$R$1993,0)),"-")</f>
        <v>-</v>
      </c>
      <c r="H670" s="17" t="str">
        <f>IFERROR(IF(INDEX(Movimientos!$M$2:$M$1993,MATCH(A670&amp;"ENTRADA",Movimientos!$R$2:$R$1993,0))=0,"S/D",INDEX(Movimientos!$M$2:$M$1993,MATCH(A670&amp;"ENTRADA",Movimientos!$R$2:$R$1993,0))),"S/D")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2977</v>
      </c>
      <c r="B671" s="2" t="str">
        <f>IFERROR(INDEX(Movimientos!$C$2:$C$1993,MATCH(A671&amp;"ENTRADA",Movimientos!$R$2:$R$1993,0)),"-")</f>
        <v>-</v>
      </c>
      <c r="C671" s="2" t="str">
        <f>IFERROR(INDEX(Movimientos!$D$2:$D$1993,MATCH(A671&amp;"ENTRADA",Movimientos!$R$2:$R$1993,0)),"-")</f>
        <v>-</v>
      </c>
      <c r="D671" s="2" t="str">
        <f>IFERROR(INDEX(Movimientos!$E$2:$E$1993,MATCH(A671&amp;"ENTRADA",Movimientos!$R$2:$R$1993,0)),"-")</f>
        <v>-</v>
      </c>
      <c r="E671" s="2" t="str">
        <f>IFERROR(INDEX(Movimientos!$F$2:$F$1993,MATCH(A671&amp;"ENTRADA",Movimientos!$R$2:$R$1993,0)),"-")</f>
        <v>-</v>
      </c>
      <c r="F671" s="2" t="str">
        <f>IFERROR(INDEX(Movimientos!$G$2:$G$1993,MATCH(A671&amp;"ENTRADA",Movimientos!$R$2:$R$1993,0)),"-")</f>
        <v>-</v>
      </c>
      <c r="G671" s="2" t="str">
        <f>IFERROR(INDEX(Movimientos!$L$2:$L$1993,MATCH(A671&amp;"ENTRADA",Movimientos!$R$2:$R$1993,0)),"-")</f>
        <v>-</v>
      </c>
      <c r="H671" s="17" t="str">
        <f>IFERROR(IF(INDEX(Movimientos!$M$2:$M$1993,MATCH(A671&amp;"ENTRADA",Movimientos!$R$2:$R$1993,0))=0,"S/D",INDEX(Movimientos!$M$2:$M$1993,MATCH(A671&amp;"ENTRADA",Movimientos!$R$2:$R$1993,0))),"S/D")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2978</v>
      </c>
      <c r="B672" s="2" t="str">
        <f>IFERROR(INDEX(Movimientos!$C$2:$C$1993,MATCH(A672&amp;"ENTRADA",Movimientos!$R$2:$R$1993,0)),"-")</f>
        <v>-</v>
      </c>
      <c r="C672" s="2" t="str">
        <f>IFERROR(INDEX(Movimientos!$D$2:$D$1993,MATCH(A672&amp;"ENTRADA",Movimientos!$R$2:$R$1993,0)),"-")</f>
        <v>-</v>
      </c>
      <c r="D672" s="2" t="str">
        <f>IFERROR(INDEX(Movimientos!$E$2:$E$1993,MATCH(A672&amp;"ENTRADA",Movimientos!$R$2:$R$1993,0)),"-")</f>
        <v>-</v>
      </c>
      <c r="E672" s="2" t="str">
        <f>IFERROR(INDEX(Movimientos!$F$2:$F$1993,MATCH(A672&amp;"ENTRADA",Movimientos!$R$2:$R$1993,0)),"-")</f>
        <v>-</v>
      </c>
      <c r="F672" s="2" t="str">
        <f>IFERROR(INDEX(Movimientos!$G$2:$G$1993,MATCH(A672&amp;"ENTRADA",Movimientos!$R$2:$R$1993,0)),"-")</f>
        <v>-</v>
      </c>
      <c r="G672" s="2" t="str">
        <f>IFERROR(INDEX(Movimientos!$L$2:$L$1993,MATCH(A672&amp;"ENTRADA",Movimientos!$R$2:$R$1993,0)),"-")</f>
        <v>-</v>
      </c>
      <c r="H672" s="17" t="str">
        <f>IFERROR(IF(INDEX(Movimientos!$M$2:$M$1993,MATCH(A672&amp;"ENTRADA",Movimientos!$R$2:$R$1993,0))=0,"S/D",INDEX(Movimientos!$M$2:$M$1993,MATCH(A672&amp;"ENTRADA",Movimientos!$R$2:$R$1993,0))),"S/D")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2979</v>
      </c>
      <c r="B673" s="2" t="str">
        <f>IFERROR(INDEX(Movimientos!$C$2:$C$1993,MATCH(A673&amp;"ENTRADA",Movimientos!$R$2:$R$1993,0)),"-")</f>
        <v>-</v>
      </c>
      <c r="C673" s="2" t="str">
        <f>IFERROR(INDEX(Movimientos!$D$2:$D$1993,MATCH(A673&amp;"ENTRADA",Movimientos!$R$2:$R$1993,0)),"-")</f>
        <v>-</v>
      </c>
      <c r="D673" s="2" t="str">
        <f>IFERROR(INDEX(Movimientos!$E$2:$E$1993,MATCH(A673&amp;"ENTRADA",Movimientos!$R$2:$R$1993,0)),"-")</f>
        <v>-</v>
      </c>
      <c r="E673" s="2" t="str">
        <f>IFERROR(INDEX(Movimientos!$F$2:$F$1993,MATCH(A673&amp;"ENTRADA",Movimientos!$R$2:$R$1993,0)),"-")</f>
        <v>-</v>
      </c>
      <c r="F673" s="2" t="str">
        <f>IFERROR(INDEX(Movimientos!$G$2:$G$1993,MATCH(A673&amp;"ENTRADA",Movimientos!$R$2:$R$1993,0)),"-")</f>
        <v>-</v>
      </c>
      <c r="G673" s="2" t="str">
        <f>IFERROR(INDEX(Movimientos!$L$2:$L$1993,MATCH(A673&amp;"ENTRADA",Movimientos!$R$2:$R$1993,0)),"-")</f>
        <v>-</v>
      </c>
      <c r="H673" s="17" t="str">
        <f>IFERROR(IF(INDEX(Movimientos!$M$2:$M$1993,MATCH(A673&amp;"ENTRADA",Movimientos!$R$2:$R$1993,0))=0,"S/D",INDEX(Movimientos!$M$2:$M$1993,MATCH(A673&amp;"ENTRADA",Movimientos!$R$2:$R$1993,0))),"S/D")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2980</v>
      </c>
      <c r="B674" s="2" t="str">
        <f>IFERROR(INDEX(Movimientos!$C$2:$C$1993,MATCH(A674&amp;"ENTRADA",Movimientos!$R$2:$R$1993,0)),"-")</f>
        <v>-</v>
      </c>
      <c r="C674" s="2" t="str">
        <f>IFERROR(INDEX(Movimientos!$D$2:$D$1993,MATCH(A674&amp;"ENTRADA",Movimientos!$R$2:$R$1993,0)),"-")</f>
        <v>-</v>
      </c>
      <c r="D674" s="2" t="str">
        <f>IFERROR(INDEX(Movimientos!$E$2:$E$1993,MATCH(A674&amp;"ENTRADA",Movimientos!$R$2:$R$1993,0)),"-")</f>
        <v>-</v>
      </c>
      <c r="E674" s="2" t="str">
        <f>IFERROR(INDEX(Movimientos!$F$2:$F$1993,MATCH(A674&amp;"ENTRADA",Movimientos!$R$2:$R$1993,0)),"-")</f>
        <v>-</v>
      </c>
      <c r="F674" s="2" t="str">
        <f>IFERROR(INDEX(Movimientos!$G$2:$G$1993,MATCH(A674&amp;"ENTRADA",Movimientos!$R$2:$R$1993,0)),"-")</f>
        <v>-</v>
      </c>
      <c r="G674" s="2" t="str">
        <f>IFERROR(INDEX(Movimientos!$L$2:$L$1993,MATCH(A674&amp;"ENTRADA",Movimientos!$R$2:$R$1993,0)),"-")</f>
        <v>-</v>
      </c>
      <c r="H674" s="17" t="str">
        <f>IFERROR(IF(INDEX(Movimientos!$M$2:$M$1993,MATCH(A674&amp;"ENTRADA",Movimientos!$R$2:$R$1993,0))=0,"S/D",INDEX(Movimientos!$M$2:$M$1993,MATCH(A674&amp;"ENTRADA",Movimientos!$R$2:$R$1993,0))),"S/D")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2981</v>
      </c>
      <c r="B675" s="2" t="str">
        <f>IFERROR(INDEX(Movimientos!$C$2:$C$1993,MATCH(A675&amp;"ENTRADA",Movimientos!$R$2:$R$1993,0)),"-")</f>
        <v>-</v>
      </c>
      <c r="C675" s="2" t="str">
        <f>IFERROR(INDEX(Movimientos!$D$2:$D$1993,MATCH(A675&amp;"ENTRADA",Movimientos!$R$2:$R$1993,0)),"-")</f>
        <v>-</v>
      </c>
      <c r="D675" s="2" t="str">
        <f>IFERROR(INDEX(Movimientos!$E$2:$E$1993,MATCH(A675&amp;"ENTRADA",Movimientos!$R$2:$R$1993,0)),"-")</f>
        <v>-</v>
      </c>
      <c r="E675" s="2" t="str">
        <f>IFERROR(INDEX(Movimientos!$F$2:$F$1993,MATCH(A675&amp;"ENTRADA",Movimientos!$R$2:$R$1993,0)),"-")</f>
        <v>-</v>
      </c>
      <c r="F675" s="2" t="str">
        <f>IFERROR(INDEX(Movimientos!$G$2:$G$1993,MATCH(A675&amp;"ENTRADA",Movimientos!$R$2:$R$1993,0)),"-")</f>
        <v>-</v>
      </c>
      <c r="G675" s="2" t="str">
        <f>IFERROR(INDEX(Movimientos!$L$2:$L$1993,MATCH(A675&amp;"ENTRADA",Movimientos!$R$2:$R$1993,0)),"-")</f>
        <v>-</v>
      </c>
      <c r="H675" s="17" t="str">
        <f>IFERROR(IF(INDEX(Movimientos!$M$2:$M$1993,MATCH(A675&amp;"ENTRADA",Movimientos!$R$2:$R$1993,0))=0,"S/D",INDEX(Movimientos!$M$2:$M$1993,MATCH(A675&amp;"ENTRADA",Movimientos!$R$2:$R$1993,0))),"S/D")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2982</v>
      </c>
      <c r="B676" s="2" t="str">
        <f>IFERROR(INDEX(Movimientos!$C$2:$C$1993,MATCH(A676&amp;"ENTRADA",Movimientos!$R$2:$R$1993,0)),"-")</f>
        <v>-</v>
      </c>
      <c r="C676" s="2" t="str">
        <f>IFERROR(INDEX(Movimientos!$D$2:$D$1993,MATCH(A676&amp;"ENTRADA",Movimientos!$R$2:$R$1993,0)),"-")</f>
        <v>-</v>
      </c>
      <c r="D676" s="2" t="str">
        <f>IFERROR(INDEX(Movimientos!$E$2:$E$1993,MATCH(A676&amp;"ENTRADA",Movimientos!$R$2:$R$1993,0)),"-")</f>
        <v>-</v>
      </c>
      <c r="E676" s="2" t="str">
        <f>IFERROR(INDEX(Movimientos!$F$2:$F$1993,MATCH(A676&amp;"ENTRADA",Movimientos!$R$2:$R$1993,0)),"-")</f>
        <v>-</v>
      </c>
      <c r="F676" s="2" t="str">
        <f>IFERROR(INDEX(Movimientos!$G$2:$G$1993,MATCH(A676&amp;"ENTRADA",Movimientos!$R$2:$R$1993,0)),"-")</f>
        <v>-</v>
      </c>
      <c r="G676" s="2" t="str">
        <f>IFERROR(INDEX(Movimientos!$L$2:$L$1993,MATCH(A676&amp;"ENTRADA",Movimientos!$R$2:$R$1993,0)),"-")</f>
        <v>-</v>
      </c>
      <c r="H676" s="17" t="str">
        <f>IFERROR(IF(INDEX(Movimientos!$M$2:$M$1993,MATCH(A676&amp;"ENTRADA",Movimientos!$R$2:$R$1993,0))=0,"S/D",INDEX(Movimientos!$M$2:$M$1993,MATCH(A676&amp;"ENTRADA",Movimientos!$R$2:$R$1993,0))),"S/D")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2983</v>
      </c>
      <c r="B677" s="2" t="str">
        <f>IFERROR(INDEX(Movimientos!$C$2:$C$1993,MATCH(A677&amp;"ENTRADA",Movimientos!$R$2:$R$1993,0)),"-")</f>
        <v>-</v>
      </c>
      <c r="C677" s="2" t="str">
        <f>IFERROR(INDEX(Movimientos!$D$2:$D$1993,MATCH(A677&amp;"ENTRADA",Movimientos!$R$2:$R$1993,0)),"-")</f>
        <v>-</v>
      </c>
      <c r="D677" s="2" t="str">
        <f>IFERROR(INDEX(Movimientos!$E$2:$E$1993,MATCH(A677&amp;"ENTRADA",Movimientos!$R$2:$R$1993,0)),"-")</f>
        <v>-</v>
      </c>
      <c r="E677" s="2" t="str">
        <f>IFERROR(INDEX(Movimientos!$F$2:$F$1993,MATCH(A677&amp;"ENTRADA",Movimientos!$R$2:$R$1993,0)),"-")</f>
        <v>-</v>
      </c>
      <c r="F677" s="2" t="str">
        <f>IFERROR(INDEX(Movimientos!$G$2:$G$1993,MATCH(A677&amp;"ENTRADA",Movimientos!$R$2:$R$1993,0)),"-")</f>
        <v>-</v>
      </c>
      <c r="G677" s="2" t="str">
        <f>IFERROR(INDEX(Movimientos!$L$2:$L$1993,MATCH(A677&amp;"ENTRADA",Movimientos!$R$2:$R$1993,0)),"-")</f>
        <v>-</v>
      </c>
      <c r="H677" s="17" t="str">
        <f>IFERROR(IF(INDEX(Movimientos!$M$2:$M$1993,MATCH(A677&amp;"ENTRADA",Movimientos!$R$2:$R$1993,0))=0,"S/D",INDEX(Movimientos!$M$2:$M$1993,MATCH(A677&amp;"ENTRADA",Movimientos!$R$2:$R$1993,0))),"S/D")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2984</v>
      </c>
      <c r="B678" s="2" t="str">
        <f>IFERROR(INDEX(Movimientos!$C$2:$C$1993,MATCH(A678&amp;"ENTRADA",Movimientos!$R$2:$R$1993,0)),"-")</f>
        <v>-</v>
      </c>
      <c r="C678" s="2" t="str">
        <f>IFERROR(INDEX(Movimientos!$D$2:$D$1993,MATCH(A678&amp;"ENTRADA",Movimientos!$R$2:$R$1993,0)),"-")</f>
        <v>-</v>
      </c>
      <c r="D678" s="2" t="str">
        <f>IFERROR(INDEX(Movimientos!$E$2:$E$1993,MATCH(A678&amp;"ENTRADA",Movimientos!$R$2:$R$1993,0)),"-")</f>
        <v>-</v>
      </c>
      <c r="E678" s="2" t="str">
        <f>IFERROR(INDEX(Movimientos!$F$2:$F$1993,MATCH(A678&amp;"ENTRADA",Movimientos!$R$2:$R$1993,0)),"-")</f>
        <v>-</v>
      </c>
      <c r="F678" s="2" t="str">
        <f>IFERROR(INDEX(Movimientos!$G$2:$G$1993,MATCH(A678&amp;"ENTRADA",Movimientos!$R$2:$R$1993,0)),"-")</f>
        <v>-</v>
      </c>
      <c r="G678" s="2" t="str">
        <f>IFERROR(INDEX(Movimientos!$L$2:$L$1993,MATCH(A678&amp;"ENTRADA",Movimientos!$R$2:$R$1993,0)),"-")</f>
        <v>-</v>
      </c>
      <c r="H678" s="17" t="str">
        <f>IFERROR(IF(INDEX(Movimientos!$M$2:$M$1993,MATCH(A678&amp;"ENTRADA",Movimientos!$R$2:$R$1993,0))=0,"S/D",INDEX(Movimientos!$M$2:$M$1993,MATCH(A678&amp;"ENTRADA",Movimientos!$R$2:$R$1993,0))),"S/D")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2985</v>
      </c>
      <c r="B679" s="2" t="str">
        <f>IFERROR(INDEX(Movimientos!$C$2:$C$1993,MATCH(A679&amp;"ENTRADA",Movimientos!$R$2:$R$1993,0)),"-")</f>
        <v>-</v>
      </c>
      <c r="C679" s="2" t="str">
        <f>IFERROR(INDEX(Movimientos!$D$2:$D$1993,MATCH(A679&amp;"ENTRADA",Movimientos!$R$2:$R$1993,0)),"-")</f>
        <v>-</v>
      </c>
      <c r="D679" s="2" t="str">
        <f>IFERROR(INDEX(Movimientos!$E$2:$E$1993,MATCH(A679&amp;"ENTRADA",Movimientos!$R$2:$R$1993,0)),"-")</f>
        <v>-</v>
      </c>
      <c r="E679" s="2" t="str">
        <f>IFERROR(INDEX(Movimientos!$F$2:$F$1993,MATCH(A679&amp;"ENTRADA",Movimientos!$R$2:$R$1993,0)),"-")</f>
        <v>-</v>
      </c>
      <c r="F679" s="2" t="str">
        <f>IFERROR(INDEX(Movimientos!$G$2:$G$1993,MATCH(A679&amp;"ENTRADA",Movimientos!$R$2:$R$1993,0)),"-")</f>
        <v>-</v>
      </c>
      <c r="G679" s="2" t="str">
        <f>IFERROR(INDEX(Movimientos!$L$2:$L$1993,MATCH(A679&amp;"ENTRADA",Movimientos!$R$2:$R$1993,0)),"-")</f>
        <v>-</v>
      </c>
      <c r="H679" s="17" t="str">
        <f>IFERROR(IF(INDEX(Movimientos!$M$2:$M$1993,MATCH(A679&amp;"ENTRADA",Movimientos!$R$2:$R$1993,0))=0,"S/D",INDEX(Movimientos!$M$2:$M$1993,MATCH(A679&amp;"ENTRADA",Movimientos!$R$2:$R$1993,0))),"S/D")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2986</v>
      </c>
      <c r="B680" s="2" t="str">
        <f>IFERROR(INDEX(Movimientos!$C$2:$C$1993,MATCH(A680&amp;"ENTRADA",Movimientos!$R$2:$R$1993,0)),"-")</f>
        <v>-</v>
      </c>
      <c r="C680" s="2" t="str">
        <f>IFERROR(INDEX(Movimientos!$D$2:$D$1993,MATCH(A680&amp;"ENTRADA",Movimientos!$R$2:$R$1993,0)),"-")</f>
        <v>-</v>
      </c>
      <c r="D680" s="2" t="str">
        <f>IFERROR(INDEX(Movimientos!$E$2:$E$1993,MATCH(A680&amp;"ENTRADA",Movimientos!$R$2:$R$1993,0)),"-")</f>
        <v>-</v>
      </c>
      <c r="E680" s="2" t="str">
        <f>IFERROR(INDEX(Movimientos!$F$2:$F$1993,MATCH(A680&amp;"ENTRADA",Movimientos!$R$2:$R$1993,0)),"-")</f>
        <v>-</v>
      </c>
      <c r="F680" s="2" t="str">
        <f>IFERROR(INDEX(Movimientos!$G$2:$G$1993,MATCH(A680&amp;"ENTRADA",Movimientos!$R$2:$R$1993,0)),"-")</f>
        <v>-</v>
      </c>
      <c r="G680" s="2" t="str">
        <f>IFERROR(INDEX(Movimientos!$L$2:$L$1993,MATCH(A680&amp;"ENTRADA",Movimientos!$R$2:$R$1993,0)),"-")</f>
        <v>-</v>
      </c>
      <c r="H680" s="17" t="str">
        <f>IFERROR(IF(INDEX(Movimientos!$M$2:$M$1993,MATCH(A680&amp;"ENTRADA",Movimientos!$R$2:$R$1993,0))=0,"S/D",INDEX(Movimientos!$M$2:$M$1993,MATCH(A680&amp;"ENTRADA",Movimientos!$R$2:$R$1993,0))),"S/D")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2987</v>
      </c>
      <c r="B681" s="2" t="str">
        <f>IFERROR(INDEX(Movimientos!$C$2:$C$1993,MATCH(A681&amp;"ENTRADA",Movimientos!$R$2:$R$1993,0)),"-")</f>
        <v>-</v>
      </c>
      <c r="C681" s="2" t="str">
        <f>IFERROR(INDEX(Movimientos!$D$2:$D$1993,MATCH(A681&amp;"ENTRADA",Movimientos!$R$2:$R$1993,0)),"-")</f>
        <v>-</v>
      </c>
      <c r="D681" s="2" t="str">
        <f>IFERROR(INDEX(Movimientos!$E$2:$E$1993,MATCH(A681&amp;"ENTRADA",Movimientos!$R$2:$R$1993,0)),"-")</f>
        <v>-</v>
      </c>
      <c r="E681" s="2" t="str">
        <f>IFERROR(INDEX(Movimientos!$F$2:$F$1993,MATCH(A681&amp;"ENTRADA",Movimientos!$R$2:$R$1993,0)),"-")</f>
        <v>-</v>
      </c>
      <c r="F681" s="2" t="str">
        <f>IFERROR(INDEX(Movimientos!$G$2:$G$1993,MATCH(A681&amp;"ENTRADA",Movimientos!$R$2:$R$1993,0)),"-")</f>
        <v>-</v>
      </c>
      <c r="G681" s="2" t="str">
        <f>IFERROR(INDEX(Movimientos!$L$2:$L$1993,MATCH(A681&amp;"ENTRADA",Movimientos!$R$2:$R$1993,0)),"-")</f>
        <v>-</v>
      </c>
      <c r="H681" s="17" t="str">
        <f>IFERROR(IF(INDEX(Movimientos!$M$2:$M$1993,MATCH(A681&amp;"ENTRADA",Movimientos!$R$2:$R$1993,0))=0,"S/D",INDEX(Movimientos!$M$2:$M$1993,MATCH(A681&amp;"ENTRADA",Movimientos!$R$2:$R$1993,0))),"S/D")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2988</v>
      </c>
      <c r="B682" s="2" t="str">
        <f>IFERROR(INDEX(Movimientos!$C$2:$C$1993,MATCH(A682&amp;"ENTRADA",Movimientos!$R$2:$R$1993,0)),"-")</f>
        <v>-</v>
      </c>
      <c r="C682" s="2" t="str">
        <f>IFERROR(INDEX(Movimientos!$D$2:$D$1993,MATCH(A682&amp;"ENTRADA",Movimientos!$R$2:$R$1993,0)),"-")</f>
        <v>-</v>
      </c>
      <c r="D682" s="2" t="str">
        <f>IFERROR(INDEX(Movimientos!$E$2:$E$1993,MATCH(A682&amp;"ENTRADA",Movimientos!$R$2:$R$1993,0)),"-")</f>
        <v>-</v>
      </c>
      <c r="E682" s="2" t="str">
        <f>IFERROR(INDEX(Movimientos!$F$2:$F$1993,MATCH(A682&amp;"ENTRADA",Movimientos!$R$2:$R$1993,0)),"-")</f>
        <v>-</v>
      </c>
      <c r="F682" s="2" t="str">
        <f>IFERROR(INDEX(Movimientos!$G$2:$G$1993,MATCH(A682&amp;"ENTRADA",Movimientos!$R$2:$R$1993,0)),"-")</f>
        <v>-</v>
      </c>
      <c r="G682" s="2" t="str">
        <f>IFERROR(INDEX(Movimientos!$L$2:$L$1993,MATCH(A682&amp;"ENTRADA",Movimientos!$R$2:$R$1993,0)),"-")</f>
        <v>-</v>
      </c>
      <c r="H682" s="17" t="str">
        <f>IFERROR(IF(INDEX(Movimientos!$M$2:$M$1993,MATCH(A682&amp;"ENTRADA",Movimientos!$R$2:$R$1993,0))=0,"S/D",INDEX(Movimientos!$M$2:$M$1993,MATCH(A682&amp;"ENTRADA",Movimientos!$R$2:$R$1993,0))),"S/D")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2989</v>
      </c>
      <c r="B683" s="2" t="str">
        <f>IFERROR(INDEX(Movimientos!$C$2:$C$1993,MATCH(A683&amp;"ENTRADA",Movimientos!$R$2:$R$1993,0)),"-")</f>
        <v>-</v>
      </c>
      <c r="C683" s="2" t="str">
        <f>IFERROR(INDEX(Movimientos!$D$2:$D$1993,MATCH(A683&amp;"ENTRADA",Movimientos!$R$2:$R$1993,0)),"-")</f>
        <v>-</v>
      </c>
      <c r="D683" s="2" t="str">
        <f>IFERROR(INDEX(Movimientos!$E$2:$E$1993,MATCH(A683&amp;"ENTRADA",Movimientos!$R$2:$R$1993,0)),"-")</f>
        <v>-</v>
      </c>
      <c r="E683" s="2" t="str">
        <f>IFERROR(INDEX(Movimientos!$F$2:$F$1993,MATCH(A683&amp;"ENTRADA",Movimientos!$R$2:$R$1993,0)),"-")</f>
        <v>-</v>
      </c>
      <c r="F683" s="2" t="str">
        <f>IFERROR(INDEX(Movimientos!$G$2:$G$1993,MATCH(A683&amp;"ENTRADA",Movimientos!$R$2:$R$1993,0)),"-")</f>
        <v>-</v>
      </c>
      <c r="G683" s="2" t="str">
        <f>IFERROR(INDEX(Movimientos!$L$2:$L$1993,MATCH(A683&amp;"ENTRADA",Movimientos!$R$2:$R$1993,0)),"-")</f>
        <v>-</v>
      </c>
      <c r="H683" s="17" t="str">
        <f>IFERROR(IF(INDEX(Movimientos!$M$2:$M$1993,MATCH(A683&amp;"ENTRADA",Movimientos!$R$2:$R$1993,0))=0,"S/D",INDEX(Movimientos!$M$2:$M$1993,MATCH(A683&amp;"ENTRADA",Movimientos!$R$2:$R$1993,0))),"S/D")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2990</v>
      </c>
      <c r="B684" s="2" t="str">
        <f>IFERROR(INDEX(Movimientos!$C$2:$C$1993,MATCH(A684&amp;"ENTRADA",Movimientos!$R$2:$R$1993,0)),"-")</f>
        <v>-</v>
      </c>
      <c r="C684" s="2" t="str">
        <f>IFERROR(INDEX(Movimientos!$D$2:$D$1993,MATCH(A684&amp;"ENTRADA",Movimientos!$R$2:$R$1993,0)),"-")</f>
        <v>-</v>
      </c>
      <c r="D684" s="2" t="str">
        <f>IFERROR(INDEX(Movimientos!$E$2:$E$1993,MATCH(A684&amp;"ENTRADA",Movimientos!$R$2:$R$1993,0)),"-")</f>
        <v>-</v>
      </c>
      <c r="E684" s="2" t="str">
        <f>IFERROR(INDEX(Movimientos!$F$2:$F$1993,MATCH(A684&amp;"ENTRADA",Movimientos!$R$2:$R$1993,0)),"-")</f>
        <v>-</v>
      </c>
      <c r="F684" s="2" t="str">
        <f>IFERROR(INDEX(Movimientos!$G$2:$G$1993,MATCH(A684&amp;"ENTRADA",Movimientos!$R$2:$R$1993,0)),"-")</f>
        <v>-</v>
      </c>
      <c r="G684" s="2" t="str">
        <f>IFERROR(INDEX(Movimientos!$L$2:$L$1993,MATCH(A684&amp;"ENTRADA",Movimientos!$R$2:$R$1993,0)),"-")</f>
        <v>-</v>
      </c>
      <c r="H684" s="17" t="str">
        <f>IFERROR(IF(INDEX(Movimientos!$M$2:$M$1993,MATCH(A684&amp;"ENTRADA",Movimientos!$R$2:$R$1993,0))=0,"S/D",INDEX(Movimientos!$M$2:$M$1993,MATCH(A684&amp;"ENTRADA",Movimientos!$R$2:$R$1993,0))),"S/D")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2991</v>
      </c>
      <c r="B685" s="2" t="str">
        <f>IFERROR(INDEX(Movimientos!$C$2:$C$1993,MATCH(A685&amp;"ENTRADA",Movimientos!$R$2:$R$1993,0)),"-")</f>
        <v>-</v>
      </c>
      <c r="C685" s="2" t="str">
        <f>IFERROR(INDEX(Movimientos!$D$2:$D$1993,MATCH(A685&amp;"ENTRADA",Movimientos!$R$2:$R$1993,0)),"-")</f>
        <v>-</v>
      </c>
      <c r="D685" s="2" t="str">
        <f>IFERROR(INDEX(Movimientos!$E$2:$E$1993,MATCH(A685&amp;"ENTRADA",Movimientos!$R$2:$R$1993,0)),"-")</f>
        <v>-</v>
      </c>
      <c r="E685" s="2" t="str">
        <f>IFERROR(INDEX(Movimientos!$F$2:$F$1993,MATCH(A685&amp;"ENTRADA",Movimientos!$R$2:$R$1993,0)),"-")</f>
        <v>-</v>
      </c>
      <c r="F685" s="2" t="str">
        <f>IFERROR(INDEX(Movimientos!$G$2:$G$1993,MATCH(A685&amp;"ENTRADA",Movimientos!$R$2:$R$1993,0)),"-")</f>
        <v>-</v>
      </c>
      <c r="G685" s="2" t="str">
        <f>IFERROR(INDEX(Movimientos!$L$2:$L$1993,MATCH(A685&amp;"ENTRADA",Movimientos!$R$2:$R$1993,0)),"-")</f>
        <v>-</v>
      </c>
      <c r="H685" s="17" t="str">
        <f>IFERROR(IF(INDEX(Movimientos!$M$2:$M$1993,MATCH(A685&amp;"ENTRADA",Movimientos!$R$2:$R$1993,0))=0,"S/D",INDEX(Movimientos!$M$2:$M$1993,MATCH(A685&amp;"ENTRADA",Movimientos!$R$2:$R$1993,0))),"S/D")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2992</v>
      </c>
      <c r="B686" s="2" t="str">
        <f>IFERROR(INDEX(Movimientos!$C$2:$C$1993,MATCH(A686&amp;"ENTRADA",Movimientos!$R$2:$R$1993,0)),"-")</f>
        <v>-</v>
      </c>
      <c r="C686" s="2" t="str">
        <f>IFERROR(INDEX(Movimientos!$D$2:$D$1993,MATCH(A686&amp;"ENTRADA",Movimientos!$R$2:$R$1993,0)),"-")</f>
        <v>-</v>
      </c>
      <c r="D686" s="2" t="str">
        <f>IFERROR(INDEX(Movimientos!$E$2:$E$1993,MATCH(A686&amp;"ENTRADA",Movimientos!$R$2:$R$1993,0)),"-")</f>
        <v>-</v>
      </c>
      <c r="E686" s="2" t="str">
        <f>IFERROR(INDEX(Movimientos!$F$2:$F$1993,MATCH(A686&amp;"ENTRADA",Movimientos!$R$2:$R$1993,0)),"-")</f>
        <v>-</v>
      </c>
      <c r="F686" s="2" t="str">
        <f>IFERROR(INDEX(Movimientos!$G$2:$G$1993,MATCH(A686&amp;"ENTRADA",Movimientos!$R$2:$R$1993,0)),"-")</f>
        <v>-</v>
      </c>
      <c r="G686" s="2" t="str">
        <f>IFERROR(INDEX(Movimientos!$L$2:$L$1993,MATCH(A686&amp;"ENTRADA",Movimientos!$R$2:$R$1993,0)),"-")</f>
        <v>-</v>
      </c>
      <c r="H686" s="17" t="str">
        <f>IFERROR(IF(INDEX(Movimientos!$M$2:$M$1993,MATCH(A686&amp;"ENTRADA",Movimientos!$R$2:$R$1993,0))=0,"S/D",INDEX(Movimientos!$M$2:$M$1993,MATCH(A686&amp;"ENTRADA",Movimientos!$R$2:$R$1993,0))),"S/D")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2993</v>
      </c>
      <c r="B687" s="2" t="str">
        <f>IFERROR(INDEX(Movimientos!$C$2:$C$1993,MATCH(A687&amp;"ENTRADA",Movimientos!$R$2:$R$1993,0)),"-")</f>
        <v>-</v>
      </c>
      <c r="C687" s="2" t="str">
        <f>IFERROR(INDEX(Movimientos!$D$2:$D$1993,MATCH(A687&amp;"ENTRADA",Movimientos!$R$2:$R$1993,0)),"-")</f>
        <v>-</v>
      </c>
      <c r="D687" s="2" t="str">
        <f>IFERROR(INDEX(Movimientos!$E$2:$E$1993,MATCH(A687&amp;"ENTRADA",Movimientos!$R$2:$R$1993,0)),"-")</f>
        <v>-</v>
      </c>
      <c r="E687" s="2" t="str">
        <f>IFERROR(INDEX(Movimientos!$F$2:$F$1993,MATCH(A687&amp;"ENTRADA",Movimientos!$R$2:$R$1993,0)),"-")</f>
        <v>-</v>
      </c>
      <c r="F687" s="2" t="str">
        <f>IFERROR(INDEX(Movimientos!$G$2:$G$1993,MATCH(A687&amp;"ENTRADA",Movimientos!$R$2:$R$1993,0)),"-")</f>
        <v>-</v>
      </c>
      <c r="G687" s="2" t="str">
        <f>IFERROR(INDEX(Movimientos!$L$2:$L$1993,MATCH(A687&amp;"ENTRADA",Movimientos!$R$2:$R$1993,0)),"-")</f>
        <v>-</v>
      </c>
      <c r="H687" s="17" t="str">
        <f>IFERROR(IF(INDEX(Movimientos!$M$2:$M$1993,MATCH(A687&amp;"ENTRADA",Movimientos!$R$2:$R$1993,0))=0,"S/D",INDEX(Movimientos!$M$2:$M$1993,MATCH(A687&amp;"ENTRADA",Movimientos!$R$2:$R$1993,0))),"S/D")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2994</v>
      </c>
      <c r="B688" s="2" t="str">
        <f>IFERROR(INDEX(Movimientos!$C$2:$C$1993,MATCH(A688&amp;"ENTRADA",Movimientos!$R$2:$R$1993,0)),"-")</f>
        <v>-</v>
      </c>
      <c r="C688" s="2" t="str">
        <f>IFERROR(INDEX(Movimientos!$D$2:$D$1993,MATCH(A688&amp;"ENTRADA",Movimientos!$R$2:$R$1993,0)),"-")</f>
        <v>-</v>
      </c>
      <c r="D688" s="2" t="str">
        <f>IFERROR(INDEX(Movimientos!$E$2:$E$1993,MATCH(A688&amp;"ENTRADA",Movimientos!$R$2:$R$1993,0)),"-")</f>
        <v>-</v>
      </c>
      <c r="E688" s="2" t="str">
        <f>IFERROR(INDEX(Movimientos!$F$2:$F$1993,MATCH(A688&amp;"ENTRADA",Movimientos!$R$2:$R$1993,0)),"-")</f>
        <v>-</v>
      </c>
      <c r="F688" s="2" t="str">
        <f>IFERROR(INDEX(Movimientos!$G$2:$G$1993,MATCH(A688&amp;"ENTRADA",Movimientos!$R$2:$R$1993,0)),"-")</f>
        <v>-</v>
      </c>
      <c r="G688" s="2" t="str">
        <f>IFERROR(INDEX(Movimientos!$L$2:$L$1993,MATCH(A688&amp;"ENTRADA",Movimientos!$R$2:$R$1993,0)),"-")</f>
        <v>-</v>
      </c>
      <c r="H688" s="17" t="str">
        <f>IFERROR(IF(INDEX(Movimientos!$M$2:$M$1993,MATCH(A688&amp;"ENTRADA",Movimientos!$R$2:$R$1993,0))=0,"S/D",INDEX(Movimientos!$M$2:$M$1993,MATCH(A688&amp;"ENTRADA",Movimientos!$R$2:$R$1993,0))),"S/D")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2995</v>
      </c>
      <c r="B689" s="2" t="str">
        <f>IFERROR(INDEX(Movimientos!$C$2:$C$1993,MATCH(A689&amp;"ENTRADA",Movimientos!$R$2:$R$1993,0)),"-")</f>
        <v>-</v>
      </c>
      <c r="C689" s="2" t="str">
        <f>IFERROR(INDEX(Movimientos!$D$2:$D$1993,MATCH(A689&amp;"ENTRADA",Movimientos!$R$2:$R$1993,0)),"-")</f>
        <v>-</v>
      </c>
      <c r="D689" s="2" t="str">
        <f>IFERROR(INDEX(Movimientos!$E$2:$E$1993,MATCH(A689&amp;"ENTRADA",Movimientos!$R$2:$R$1993,0)),"-")</f>
        <v>-</v>
      </c>
      <c r="E689" s="2" t="str">
        <f>IFERROR(INDEX(Movimientos!$F$2:$F$1993,MATCH(A689&amp;"ENTRADA",Movimientos!$R$2:$R$1993,0)),"-")</f>
        <v>-</v>
      </c>
      <c r="F689" s="2" t="str">
        <f>IFERROR(INDEX(Movimientos!$G$2:$G$1993,MATCH(A689&amp;"ENTRADA",Movimientos!$R$2:$R$1993,0)),"-")</f>
        <v>-</v>
      </c>
      <c r="G689" s="2" t="str">
        <f>IFERROR(INDEX(Movimientos!$L$2:$L$1993,MATCH(A689&amp;"ENTRADA",Movimientos!$R$2:$R$1993,0)),"-")</f>
        <v>-</v>
      </c>
      <c r="H689" s="17" t="str">
        <f>IFERROR(IF(INDEX(Movimientos!$M$2:$M$1993,MATCH(A689&amp;"ENTRADA",Movimientos!$R$2:$R$1993,0))=0,"S/D",INDEX(Movimientos!$M$2:$M$1993,MATCH(A689&amp;"ENTRADA",Movimientos!$R$2:$R$1993,0))),"S/D")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2996</v>
      </c>
      <c r="B690" s="2" t="str">
        <f>IFERROR(INDEX(Movimientos!$C$2:$C$1993,MATCH(A690&amp;"ENTRADA",Movimientos!$R$2:$R$1993,0)),"-")</f>
        <v>-</v>
      </c>
      <c r="C690" s="2" t="str">
        <f>IFERROR(INDEX(Movimientos!$D$2:$D$1993,MATCH(A690&amp;"ENTRADA",Movimientos!$R$2:$R$1993,0)),"-")</f>
        <v>-</v>
      </c>
      <c r="D690" s="2" t="str">
        <f>IFERROR(INDEX(Movimientos!$E$2:$E$1993,MATCH(A690&amp;"ENTRADA",Movimientos!$R$2:$R$1993,0)),"-")</f>
        <v>-</v>
      </c>
      <c r="E690" s="2" t="str">
        <f>IFERROR(INDEX(Movimientos!$F$2:$F$1993,MATCH(A690&amp;"ENTRADA",Movimientos!$R$2:$R$1993,0)),"-")</f>
        <v>-</v>
      </c>
      <c r="F690" s="2" t="str">
        <f>IFERROR(INDEX(Movimientos!$G$2:$G$1993,MATCH(A690&amp;"ENTRADA",Movimientos!$R$2:$R$1993,0)),"-")</f>
        <v>-</v>
      </c>
      <c r="G690" s="2" t="str">
        <f>IFERROR(INDEX(Movimientos!$L$2:$L$1993,MATCH(A690&amp;"ENTRADA",Movimientos!$R$2:$R$1993,0)),"-")</f>
        <v>-</v>
      </c>
      <c r="H690" s="17" t="str">
        <f>IFERROR(IF(INDEX(Movimientos!$M$2:$M$1993,MATCH(A690&amp;"ENTRADA",Movimientos!$R$2:$R$1993,0))=0,"S/D",INDEX(Movimientos!$M$2:$M$1993,MATCH(A690&amp;"ENTRADA",Movimientos!$R$2:$R$1993,0))),"S/D")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2997</v>
      </c>
      <c r="B691" s="2" t="str">
        <f>IFERROR(INDEX(Movimientos!$C$2:$C$1993,MATCH(A691&amp;"ENTRADA",Movimientos!$R$2:$R$1993,0)),"-")</f>
        <v>-</v>
      </c>
      <c r="C691" s="2" t="str">
        <f>IFERROR(INDEX(Movimientos!$D$2:$D$1993,MATCH(A691&amp;"ENTRADA",Movimientos!$R$2:$R$1993,0)),"-")</f>
        <v>-</v>
      </c>
      <c r="D691" s="2" t="str">
        <f>IFERROR(INDEX(Movimientos!$E$2:$E$1993,MATCH(A691&amp;"ENTRADA",Movimientos!$R$2:$R$1993,0)),"-")</f>
        <v>-</v>
      </c>
      <c r="E691" s="2" t="str">
        <f>IFERROR(INDEX(Movimientos!$F$2:$F$1993,MATCH(A691&amp;"ENTRADA",Movimientos!$R$2:$R$1993,0)),"-")</f>
        <v>-</v>
      </c>
      <c r="F691" s="2" t="str">
        <f>IFERROR(INDEX(Movimientos!$G$2:$G$1993,MATCH(A691&amp;"ENTRADA",Movimientos!$R$2:$R$1993,0)),"-")</f>
        <v>-</v>
      </c>
      <c r="G691" s="2" t="str">
        <f>IFERROR(INDEX(Movimientos!$L$2:$L$1993,MATCH(A691&amp;"ENTRADA",Movimientos!$R$2:$R$1993,0)),"-")</f>
        <v>-</v>
      </c>
      <c r="H691" s="17" t="str">
        <f>IFERROR(IF(INDEX(Movimientos!$M$2:$M$1993,MATCH(A691&amp;"ENTRADA",Movimientos!$R$2:$R$1993,0))=0,"S/D",INDEX(Movimientos!$M$2:$M$1993,MATCH(A691&amp;"ENTRADA",Movimientos!$R$2:$R$1993,0))),"S/D")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2998</v>
      </c>
      <c r="B692" s="2" t="str">
        <f>IFERROR(INDEX(Movimientos!$C$2:$C$1993,MATCH(A692&amp;"ENTRADA",Movimientos!$R$2:$R$1993,0)),"-")</f>
        <v>-</v>
      </c>
      <c r="C692" s="2" t="str">
        <f>IFERROR(INDEX(Movimientos!$D$2:$D$1993,MATCH(A692&amp;"ENTRADA",Movimientos!$R$2:$R$1993,0)),"-")</f>
        <v>-</v>
      </c>
      <c r="D692" s="2" t="str">
        <f>IFERROR(INDEX(Movimientos!$E$2:$E$1993,MATCH(A692&amp;"ENTRADA",Movimientos!$R$2:$R$1993,0)),"-")</f>
        <v>-</v>
      </c>
      <c r="E692" s="2" t="str">
        <f>IFERROR(INDEX(Movimientos!$F$2:$F$1993,MATCH(A692&amp;"ENTRADA",Movimientos!$R$2:$R$1993,0)),"-")</f>
        <v>-</v>
      </c>
      <c r="F692" s="2" t="str">
        <f>IFERROR(INDEX(Movimientos!$G$2:$G$1993,MATCH(A692&amp;"ENTRADA",Movimientos!$R$2:$R$1993,0)),"-")</f>
        <v>-</v>
      </c>
      <c r="G692" s="2" t="str">
        <f>IFERROR(INDEX(Movimientos!$L$2:$L$1993,MATCH(A692&amp;"ENTRADA",Movimientos!$R$2:$R$1993,0)),"-")</f>
        <v>-</v>
      </c>
      <c r="H692" s="17" t="str">
        <f>IFERROR(IF(INDEX(Movimientos!$M$2:$M$1993,MATCH(A692&amp;"ENTRADA",Movimientos!$R$2:$R$1993,0))=0,"S/D",INDEX(Movimientos!$M$2:$M$1993,MATCH(A692&amp;"ENTRADA",Movimientos!$R$2:$R$1993,0))),"S/D")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2999</v>
      </c>
      <c r="B693" s="2" t="str">
        <f>IFERROR(INDEX(Movimientos!$C$2:$C$1993,MATCH(A693&amp;"ENTRADA",Movimientos!$R$2:$R$1993,0)),"-")</f>
        <v>-</v>
      </c>
      <c r="C693" s="2" t="str">
        <f>IFERROR(INDEX(Movimientos!$D$2:$D$1993,MATCH(A693&amp;"ENTRADA",Movimientos!$R$2:$R$1993,0)),"-")</f>
        <v>-</v>
      </c>
      <c r="D693" s="2" t="str">
        <f>IFERROR(INDEX(Movimientos!$E$2:$E$1993,MATCH(A693&amp;"ENTRADA",Movimientos!$R$2:$R$1993,0)),"-")</f>
        <v>-</v>
      </c>
      <c r="E693" s="2" t="str">
        <f>IFERROR(INDEX(Movimientos!$F$2:$F$1993,MATCH(A693&amp;"ENTRADA",Movimientos!$R$2:$R$1993,0)),"-")</f>
        <v>-</v>
      </c>
      <c r="F693" s="2" t="str">
        <f>IFERROR(INDEX(Movimientos!$G$2:$G$1993,MATCH(A693&amp;"ENTRADA",Movimientos!$R$2:$R$1993,0)),"-")</f>
        <v>-</v>
      </c>
      <c r="G693" s="2" t="str">
        <f>IFERROR(INDEX(Movimientos!$L$2:$L$1993,MATCH(A693&amp;"ENTRADA",Movimientos!$R$2:$R$1993,0)),"-")</f>
        <v>-</v>
      </c>
      <c r="H693" s="17" t="str">
        <f>IFERROR(IF(INDEX(Movimientos!$M$2:$M$1993,MATCH(A693&amp;"ENTRADA",Movimientos!$R$2:$R$1993,0))=0,"S/D",INDEX(Movimientos!$M$2:$M$1993,MATCH(A693&amp;"ENTRADA",Movimientos!$R$2:$R$1993,0))),"S/D")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3000</v>
      </c>
      <c r="B694" s="2" t="str">
        <f>IFERROR(INDEX(Movimientos!$C$2:$C$1993,MATCH(A694&amp;"ENTRADA",Movimientos!$R$2:$R$1993,0)),"-")</f>
        <v>-</v>
      </c>
      <c r="C694" s="2" t="str">
        <f>IFERROR(INDEX(Movimientos!$D$2:$D$1993,MATCH(A694&amp;"ENTRADA",Movimientos!$R$2:$R$1993,0)),"-")</f>
        <v>-</v>
      </c>
      <c r="D694" s="2" t="str">
        <f>IFERROR(INDEX(Movimientos!$E$2:$E$1993,MATCH(A694&amp;"ENTRADA",Movimientos!$R$2:$R$1993,0)),"-")</f>
        <v>-</v>
      </c>
      <c r="E694" s="2" t="str">
        <f>IFERROR(INDEX(Movimientos!$F$2:$F$1993,MATCH(A694&amp;"ENTRADA",Movimientos!$R$2:$R$1993,0)),"-")</f>
        <v>-</v>
      </c>
      <c r="F694" s="2" t="str">
        <f>IFERROR(INDEX(Movimientos!$G$2:$G$1993,MATCH(A694&amp;"ENTRADA",Movimientos!$R$2:$R$1993,0)),"-")</f>
        <v>-</v>
      </c>
      <c r="G694" s="2" t="str">
        <f>IFERROR(INDEX(Movimientos!$L$2:$L$1993,MATCH(A694&amp;"ENTRADA",Movimientos!$R$2:$R$1993,0)),"-")</f>
        <v>-</v>
      </c>
      <c r="H694" s="17" t="str">
        <f>IFERROR(IF(INDEX(Movimientos!$M$2:$M$1993,MATCH(A694&amp;"ENTRADA",Movimientos!$R$2:$R$1993,0))=0,"S/D",INDEX(Movimientos!$M$2:$M$1993,MATCH(A694&amp;"ENTRADA",Movimientos!$R$2:$R$1993,0))),"S/D")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3001</v>
      </c>
      <c r="B695" s="2" t="str">
        <f>IFERROR(INDEX(Movimientos!$C$2:$C$1993,MATCH(A695&amp;"ENTRADA",Movimientos!$R$2:$R$1993,0)),"-")</f>
        <v>-</v>
      </c>
      <c r="C695" s="2" t="str">
        <f>IFERROR(INDEX(Movimientos!$D$2:$D$1993,MATCH(A695&amp;"ENTRADA",Movimientos!$R$2:$R$1993,0)),"-")</f>
        <v>-</v>
      </c>
      <c r="D695" s="2" t="str">
        <f>IFERROR(INDEX(Movimientos!$E$2:$E$1993,MATCH(A695&amp;"ENTRADA",Movimientos!$R$2:$R$1993,0)),"-")</f>
        <v>-</v>
      </c>
      <c r="E695" s="2" t="str">
        <f>IFERROR(INDEX(Movimientos!$F$2:$F$1993,MATCH(A695&amp;"ENTRADA",Movimientos!$R$2:$R$1993,0)),"-")</f>
        <v>-</v>
      </c>
      <c r="F695" s="2" t="str">
        <f>IFERROR(INDEX(Movimientos!$G$2:$G$1993,MATCH(A695&amp;"ENTRADA",Movimientos!$R$2:$R$1993,0)),"-")</f>
        <v>-</v>
      </c>
      <c r="G695" s="2" t="str">
        <f>IFERROR(INDEX(Movimientos!$L$2:$L$1993,MATCH(A695&amp;"ENTRADA",Movimientos!$R$2:$R$1993,0)),"-")</f>
        <v>-</v>
      </c>
      <c r="H695" s="17" t="str">
        <f>IFERROR(IF(INDEX(Movimientos!$M$2:$M$1993,MATCH(A695&amp;"ENTRADA",Movimientos!$R$2:$R$1993,0))=0,"S/D",INDEX(Movimientos!$M$2:$M$1993,MATCH(A695&amp;"ENTRADA",Movimientos!$R$2:$R$1993,0))),"S/D")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3002</v>
      </c>
      <c r="B696" s="2" t="str">
        <f>IFERROR(INDEX(Movimientos!$C$2:$C$1993,MATCH(A696&amp;"ENTRADA",Movimientos!$R$2:$R$1993,0)),"-")</f>
        <v>-</v>
      </c>
      <c r="C696" s="2" t="str">
        <f>IFERROR(INDEX(Movimientos!$D$2:$D$1993,MATCH(A696&amp;"ENTRADA",Movimientos!$R$2:$R$1993,0)),"-")</f>
        <v>-</v>
      </c>
      <c r="D696" s="2" t="str">
        <f>IFERROR(INDEX(Movimientos!$E$2:$E$1993,MATCH(A696&amp;"ENTRADA",Movimientos!$R$2:$R$1993,0)),"-")</f>
        <v>-</v>
      </c>
      <c r="E696" s="2" t="str">
        <f>IFERROR(INDEX(Movimientos!$F$2:$F$1993,MATCH(A696&amp;"ENTRADA",Movimientos!$R$2:$R$1993,0)),"-")</f>
        <v>-</v>
      </c>
      <c r="F696" s="2" t="str">
        <f>IFERROR(INDEX(Movimientos!$G$2:$G$1993,MATCH(A696&amp;"ENTRADA",Movimientos!$R$2:$R$1993,0)),"-")</f>
        <v>-</v>
      </c>
      <c r="G696" s="2" t="str">
        <f>IFERROR(INDEX(Movimientos!$L$2:$L$1993,MATCH(A696&amp;"ENTRADA",Movimientos!$R$2:$R$1993,0)),"-")</f>
        <v>-</v>
      </c>
      <c r="H696" s="17" t="str">
        <f>IFERROR(IF(INDEX(Movimientos!$M$2:$M$1993,MATCH(A696&amp;"ENTRADA",Movimientos!$R$2:$R$1993,0))=0,"S/D",INDEX(Movimientos!$M$2:$M$1993,MATCH(A696&amp;"ENTRADA",Movimientos!$R$2:$R$1993,0))),"S/D")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3003</v>
      </c>
      <c r="B697" s="2" t="str">
        <f>IFERROR(INDEX(Movimientos!$C$2:$C$1993,MATCH(A697&amp;"ENTRADA",Movimientos!$R$2:$R$1993,0)),"-")</f>
        <v>-</v>
      </c>
      <c r="C697" s="2" t="str">
        <f>IFERROR(INDEX(Movimientos!$D$2:$D$1993,MATCH(A697&amp;"ENTRADA",Movimientos!$R$2:$R$1993,0)),"-")</f>
        <v>-</v>
      </c>
      <c r="D697" s="2" t="str">
        <f>IFERROR(INDEX(Movimientos!$E$2:$E$1993,MATCH(A697&amp;"ENTRADA",Movimientos!$R$2:$R$1993,0)),"-")</f>
        <v>-</v>
      </c>
      <c r="E697" s="2" t="str">
        <f>IFERROR(INDEX(Movimientos!$F$2:$F$1993,MATCH(A697&amp;"ENTRADA",Movimientos!$R$2:$R$1993,0)),"-")</f>
        <v>-</v>
      </c>
      <c r="F697" s="2" t="str">
        <f>IFERROR(INDEX(Movimientos!$G$2:$G$1993,MATCH(A697&amp;"ENTRADA",Movimientos!$R$2:$R$1993,0)),"-")</f>
        <v>-</v>
      </c>
      <c r="G697" s="2" t="str">
        <f>IFERROR(INDEX(Movimientos!$L$2:$L$1993,MATCH(A697&amp;"ENTRADA",Movimientos!$R$2:$R$1993,0)),"-")</f>
        <v>-</v>
      </c>
      <c r="H697" s="17" t="str">
        <f>IFERROR(IF(INDEX(Movimientos!$M$2:$M$1993,MATCH(A697&amp;"ENTRADA",Movimientos!$R$2:$R$1993,0))=0,"S/D",INDEX(Movimientos!$M$2:$M$1993,MATCH(A697&amp;"ENTRADA",Movimientos!$R$2:$R$1993,0))),"S/D")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3004</v>
      </c>
      <c r="B698" s="2" t="str">
        <f>IFERROR(INDEX(Movimientos!$C$2:$C$1993,MATCH(A698&amp;"ENTRADA",Movimientos!$R$2:$R$1993,0)),"-")</f>
        <v>-</v>
      </c>
      <c r="C698" s="2" t="str">
        <f>IFERROR(INDEX(Movimientos!$D$2:$D$1993,MATCH(A698&amp;"ENTRADA",Movimientos!$R$2:$R$1993,0)),"-")</f>
        <v>-</v>
      </c>
      <c r="D698" s="2" t="str">
        <f>IFERROR(INDEX(Movimientos!$E$2:$E$1993,MATCH(A698&amp;"ENTRADA",Movimientos!$R$2:$R$1993,0)),"-")</f>
        <v>-</v>
      </c>
      <c r="E698" s="2" t="str">
        <f>IFERROR(INDEX(Movimientos!$F$2:$F$1993,MATCH(A698&amp;"ENTRADA",Movimientos!$R$2:$R$1993,0)),"-")</f>
        <v>-</v>
      </c>
      <c r="F698" s="2" t="str">
        <f>IFERROR(INDEX(Movimientos!$G$2:$G$1993,MATCH(A698&amp;"ENTRADA",Movimientos!$R$2:$R$1993,0)),"-")</f>
        <v>-</v>
      </c>
      <c r="G698" s="2" t="str">
        <f>IFERROR(INDEX(Movimientos!$L$2:$L$1993,MATCH(A698&amp;"ENTRADA",Movimientos!$R$2:$R$1993,0)),"-")</f>
        <v>-</v>
      </c>
      <c r="H698" s="17" t="str">
        <f>IFERROR(IF(INDEX(Movimientos!$M$2:$M$1993,MATCH(A698&amp;"ENTRADA",Movimientos!$R$2:$R$1993,0))=0,"S/D",INDEX(Movimientos!$M$2:$M$1993,MATCH(A698&amp;"ENTRADA",Movimientos!$R$2:$R$1993,0))),"S/D")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3005</v>
      </c>
      <c r="B699" s="2" t="str">
        <f>IFERROR(INDEX(Movimientos!$C$2:$C$1993,MATCH(A699&amp;"ENTRADA",Movimientos!$R$2:$R$1993,0)),"-")</f>
        <v>-</v>
      </c>
      <c r="C699" s="2" t="str">
        <f>IFERROR(INDEX(Movimientos!$D$2:$D$1993,MATCH(A699&amp;"ENTRADA",Movimientos!$R$2:$R$1993,0)),"-")</f>
        <v>-</v>
      </c>
      <c r="D699" s="2" t="str">
        <f>IFERROR(INDEX(Movimientos!$E$2:$E$1993,MATCH(A699&amp;"ENTRADA",Movimientos!$R$2:$R$1993,0)),"-")</f>
        <v>-</v>
      </c>
      <c r="E699" s="2" t="str">
        <f>IFERROR(INDEX(Movimientos!$F$2:$F$1993,MATCH(A699&amp;"ENTRADA",Movimientos!$R$2:$R$1993,0)),"-")</f>
        <v>-</v>
      </c>
      <c r="F699" s="2" t="str">
        <f>IFERROR(INDEX(Movimientos!$G$2:$G$1993,MATCH(A699&amp;"ENTRADA",Movimientos!$R$2:$R$1993,0)),"-")</f>
        <v>-</v>
      </c>
      <c r="G699" s="2" t="str">
        <f>IFERROR(INDEX(Movimientos!$L$2:$L$1993,MATCH(A699&amp;"ENTRADA",Movimientos!$R$2:$R$1993,0)),"-")</f>
        <v>-</v>
      </c>
      <c r="H699" s="17" t="str">
        <f>IFERROR(IF(INDEX(Movimientos!$M$2:$M$1993,MATCH(A699&amp;"ENTRADA",Movimientos!$R$2:$R$1993,0))=0,"S/D",INDEX(Movimientos!$M$2:$M$1993,MATCH(A699&amp;"ENTRADA",Movimientos!$R$2:$R$1993,0))),"S/D")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3006</v>
      </c>
      <c r="B700" s="2" t="str">
        <f>IFERROR(INDEX(Movimientos!$C$2:$C$1993,MATCH(A700&amp;"ENTRADA",Movimientos!$R$2:$R$1993,0)),"-")</f>
        <v>-</v>
      </c>
      <c r="C700" s="2" t="str">
        <f>IFERROR(INDEX(Movimientos!$D$2:$D$1993,MATCH(A700&amp;"ENTRADA",Movimientos!$R$2:$R$1993,0)),"-")</f>
        <v>-</v>
      </c>
      <c r="D700" s="2" t="str">
        <f>IFERROR(INDEX(Movimientos!$E$2:$E$1993,MATCH(A700&amp;"ENTRADA",Movimientos!$R$2:$R$1993,0)),"-")</f>
        <v>-</v>
      </c>
      <c r="E700" s="2" t="str">
        <f>IFERROR(INDEX(Movimientos!$F$2:$F$1993,MATCH(A700&amp;"ENTRADA",Movimientos!$R$2:$R$1993,0)),"-")</f>
        <v>-</v>
      </c>
      <c r="F700" s="2" t="str">
        <f>IFERROR(INDEX(Movimientos!$G$2:$G$1993,MATCH(A700&amp;"ENTRADA",Movimientos!$R$2:$R$1993,0)),"-")</f>
        <v>-</v>
      </c>
      <c r="G700" s="2" t="str">
        <f>IFERROR(INDEX(Movimientos!$L$2:$L$1993,MATCH(A700&amp;"ENTRADA",Movimientos!$R$2:$R$1993,0)),"-")</f>
        <v>-</v>
      </c>
      <c r="H700" s="17" t="str">
        <f>IFERROR(IF(INDEX(Movimientos!$M$2:$M$1993,MATCH(A700&amp;"ENTRADA",Movimientos!$R$2:$R$1993,0))=0,"S/D",INDEX(Movimientos!$M$2:$M$1993,MATCH(A700&amp;"ENTRADA",Movimientos!$R$2:$R$1993,0))),"S/D")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3007</v>
      </c>
      <c r="B701" s="2" t="str">
        <f>IFERROR(INDEX(Movimientos!$C$2:$C$1993,MATCH(A701&amp;"ENTRADA",Movimientos!$R$2:$R$1993,0)),"-")</f>
        <v>-</v>
      </c>
      <c r="C701" s="2" t="str">
        <f>IFERROR(INDEX(Movimientos!$D$2:$D$1993,MATCH(A701&amp;"ENTRADA",Movimientos!$R$2:$R$1993,0)),"-")</f>
        <v>-</v>
      </c>
      <c r="D701" s="2" t="str">
        <f>IFERROR(INDEX(Movimientos!$E$2:$E$1993,MATCH(A701&amp;"ENTRADA",Movimientos!$R$2:$R$1993,0)),"-")</f>
        <v>-</v>
      </c>
      <c r="E701" s="2" t="str">
        <f>IFERROR(INDEX(Movimientos!$F$2:$F$1993,MATCH(A701&amp;"ENTRADA",Movimientos!$R$2:$R$1993,0)),"-")</f>
        <v>-</v>
      </c>
      <c r="F701" s="2" t="str">
        <f>IFERROR(INDEX(Movimientos!$G$2:$G$1993,MATCH(A701&amp;"ENTRADA",Movimientos!$R$2:$R$1993,0)),"-")</f>
        <v>-</v>
      </c>
      <c r="G701" s="2" t="str">
        <f>IFERROR(INDEX(Movimientos!$L$2:$L$1993,MATCH(A701&amp;"ENTRADA",Movimientos!$R$2:$R$1993,0)),"-")</f>
        <v>-</v>
      </c>
      <c r="H701" s="17" t="str">
        <f>IFERROR(IF(INDEX(Movimientos!$M$2:$M$1993,MATCH(A701&amp;"ENTRADA",Movimientos!$R$2:$R$1993,0))=0,"S/D",INDEX(Movimientos!$M$2:$M$1993,MATCH(A701&amp;"ENTRADA",Movimientos!$R$2:$R$1993,0))),"S/D")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3008</v>
      </c>
      <c r="B702" s="2" t="str">
        <f>IFERROR(INDEX(Movimientos!$C$2:$C$1993,MATCH(A702&amp;"ENTRADA",Movimientos!$R$2:$R$1993,0)),"-")</f>
        <v>-</v>
      </c>
      <c r="C702" s="2" t="str">
        <f>IFERROR(INDEX(Movimientos!$D$2:$D$1993,MATCH(A702&amp;"ENTRADA",Movimientos!$R$2:$R$1993,0)),"-")</f>
        <v>-</v>
      </c>
      <c r="D702" s="2" t="str">
        <f>IFERROR(INDEX(Movimientos!$E$2:$E$1993,MATCH(A702&amp;"ENTRADA",Movimientos!$R$2:$R$1993,0)),"-")</f>
        <v>-</v>
      </c>
      <c r="E702" s="2" t="str">
        <f>IFERROR(INDEX(Movimientos!$F$2:$F$1993,MATCH(A702&amp;"ENTRADA",Movimientos!$R$2:$R$1993,0)),"-")</f>
        <v>-</v>
      </c>
      <c r="F702" s="2" t="str">
        <f>IFERROR(INDEX(Movimientos!$G$2:$G$1993,MATCH(A702&amp;"ENTRADA",Movimientos!$R$2:$R$1993,0)),"-")</f>
        <v>-</v>
      </c>
      <c r="G702" s="2" t="str">
        <f>IFERROR(INDEX(Movimientos!$L$2:$L$1993,MATCH(A702&amp;"ENTRADA",Movimientos!$R$2:$R$1993,0)),"-")</f>
        <v>-</v>
      </c>
      <c r="H702" s="17" t="str">
        <f>IFERROR(IF(INDEX(Movimientos!$M$2:$M$1993,MATCH(A702&amp;"ENTRADA",Movimientos!$R$2:$R$1993,0))=0,"S/D",INDEX(Movimientos!$M$2:$M$1993,MATCH(A702&amp;"ENTRADA",Movimientos!$R$2:$R$1993,0))),"S/D")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3009</v>
      </c>
      <c r="B703" s="2" t="str">
        <f>IFERROR(INDEX(Movimientos!$C$2:$C$1993,MATCH(A703&amp;"ENTRADA",Movimientos!$R$2:$R$1993,0)),"-")</f>
        <v>-</v>
      </c>
      <c r="C703" s="2" t="str">
        <f>IFERROR(INDEX(Movimientos!$D$2:$D$1993,MATCH(A703&amp;"ENTRADA",Movimientos!$R$2:$R$1993,0)),"-")</f>
        <v>-</v>
      </c>
      <c r="D703" s="2" t="str">
        <f>IFERROR(INDEX(Movimientos!$E$2:$E$1993,MATCH(A703&amp;"ENTRADA",Movimientos!$R$2:$R$1993,0)),"-")</f>
        <v>-</v>
      </c>
      <c r="E703" s="2" t="str">
        <f>IFERROR(INDEX(Movimientos!$F$2:$F$1993,MATCH(A703&amp;"ENTRADA",Movimientos!$R$2:$R$1993,0)),"-")</f>
        <v>-</v>
      </c>
      <c r="F703" s="2" t="str">
        <f>IFERROR(INDEX(Movimientos!$G$2:$G$1993,MATCH(A703&amp;"ENTRADA",Movimientos!$R$2:$R$1993,0)),"-")</f>
        <v>-</v>
      </c>
      <c r="G703" s="2" t="str">
        <f>IFERROR(INDEX(Movimientos!$L$2:$L$1993,MATCH(A703&amp;"ENTRADA",Movimientos!$R$2:$R$1993,0)),"-")</f>
        <v>-</v>
      </c>
      <c r="H703" s="17" t="str">
        <f>IFERROR(IF(INDEX(Movimientos!$M$2:$M$1993,MATCH(A703&amp;"ENTRADA",Movimientos!$R$2:$R$1993,0))=0,"S/D",INDEX(Movimientos!$M$2:$M$1993,MATCH(A703&amp;"ENTRADA",Movimientos!$R$2:$R$1993,0))),"S/D")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3010</v>
      </c>
      <c r="B704" s="2" t="str">
        <f>IFERROR(INDEX(Movimientos!$C$2:$C$1993,MATCH(A704&amp;"ENTRADA",Movimientos!$R$2:$R$1993,0)),"-")</f>
        <v>-</v>
      </c>
      <c r="C704" s="2" t="str">
        <f>IFERROR(INDEX(Movimientos!$D$2:$D$1993,MATCH(A704&amp;"ENTRADA",Movimientos!$R$2:$R$1993,0)),"-")</f>
        <v>-</v>
      </c>
      <c r="D704" s="2" t="str">
        <f>IFERROR(INDEX(Movimientos!$E$2:$E$1993,MATCH(A704&amp;"ENTRADA",Movimientos!$R$2:$R$1993,0)),"-")</f>
        <v>-</v>
      </c>
      <c r="E704" s="2" t="str">
        <f>IFERROR(INDEX(Movimientos!$F$2:$F$1993,MATCH(A704&amp;"ENTRADA",Movimientos!$R$2:$R$1993,0)),"-")</f>
        <v>-</v>
      </c>
      <c r="F704" s="2" t="str">
        <f>IFERROR(INDEX(Movimientos!$G$2:$G$1993,MATCH(A704&amp;"ENTRADA",Movimientos!$R$2:$R$1993,0)),"-")</f>
        <v>-</v>
      </c>
      <c r="G704" s="2" t="str">
        <f>IFERROR(INDEX(Movimientos!$L$2:$L$1993,MATCH(A704&amp;"ENTRADA",Movimientos!$R$2:$R$1993,0)),"-")</f>
        <v>-</v>
      </c>
      <c r="H704" s="17" t="str">
        <f>IFERROR(IF(INDEX(Movimientos!$M$2:$M$1993,MATCH(A704&amp;"ENTRADA",Movimientos!$R$2:$R$1993,0))=0,"S/D",INDEX(Movimientos!$M$2:$M$1993,MATCH(A704&amp;"ENTRADA",Movimientos!$R$2:$R$1993,0))),"S/D")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3011</v>
      </c>
      <c r="B705" s="2" t="str">
        <f>IFERROR(INDEX(Movimientos!$C$2:$C$1993,MATCH(A705&amp;"ENTRADA",Movimientos!$R$2:$R$1993,0)),"-")</f>
        <v>-</v>
      </c>
      <c r="C705" s="2" t="str">
        <f>IFERROR(INDEX(Movimientos!$D$2:$D$1993,MATCH(A705&amp;"ENTRADA",Movimientos!$R$2:$R$1993,0)),"-")</f>
        <v>-</v>
      </c>
      <c r="D705" s="2" t="str">
        <f>IFERROR(INDEX(Movimientos!$E$2:$E$1993,MATCH(A705&amp;"ENTRADA",Movimientos!$R$2:$R$1993,0)),"-")</f>
        <v>-</v>
      </c>
      <c r="E705" s="2" t="str">
        <f>IFERROR(INDEX(Movimientos!$F$2:$F$1993,MATCH(A705&amp;"ENTRADA",Movimientos!$R$2:$R$1993,0)),"-")</f>
        <v>-</v>
      </c>
      <c r="F705" s="2" t="str">
        <f>IFERROR(INDEX(Movimientos!$G$2:$G$1993,MATCH(A705&amp;"ENTRADA",Movimientos!$R$2:$R$1993,0)),"-")</f>
        <v>-</v>
      </c>
      <c r="G705" s="2" t="str">
        <f>IFERROR(INDEX(Movimientos!$L$2:$L$1993,MATCH(A705&amp;"ENTRADA",Movimientos!$R$2:$R$1993,0)),"-")</f>
        <v>-</v>
      </c>
      <c r="H705" s="17" t="str">
        <f>IFERROR(IF(INDEX(Movimientos!$M$2:$M$1993,MATCH(A705&amp;"ENTRADA",Movimientos!$R$2:$R$1993,0))=0,"S/D",INDEX(Movimientos!$M$2:$M$1993,MATCH(A705&amp;"ENTRADA",Movimientos!$R$2:$R$1993,0))),"S/D")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3012</v>
      </c>
      <c r="B706" s="2" t="str">
        <f>IFERROR(INDEX(Movimientos!$C$2:$C$1993,MATCH(A706&amp;"ENTRADA",Movimientos!$R$2:$R$1993,0)),"-")</f>
        <v>-</v>
      </c>
      <c r="C706" s="2" t="str">
        <f>IFERROR(INDEX(Movimientos!$D$2:$D$1993,MATCH(A706&amp;"ENTRADA",Movimientos!$R$2:$R$1993,0)),"-")</f>
        <v>-</v>
      </c>
      <c r="D706" s="2" t="str">
        <f>IFERROR(INDEX(Movimientos!$E$2:$E$1993,MATCH(A706&amp;"ENTRADA",Movimientos!$R$2:$R$1993,0)),"-")</f>
        <v>-</v>
      </c>
      <c r="E706" s="2" t="str">
        <f>IFERROR(INDEX(Movimientos!$F$2:$F$1993,MATCH(A706&amp;"ENTRADA",Movimientos!$R$2:$R$1993,0)),"-")</f>
        <v>-</v>
      </c>
      <c r="F706" s="2" t="str">
        <f>IFERROR(INDEX(Movimientos!$G$2:$G$1993,MATCH(A706&amp;"ENTRADA",Movimientos!$R$2:$R$1993,0)),"-")</f>
        <v>-</v>
      </c>
      <c r="G706" s="2" t="str">
        <f>IFERROR(INDEX(Movimientos!$L$2:$L$1993,MATCH(A706&amp;"ENTRADA",Movimientos!$R$2:$R$1993,0)),"-")</f>
        <v>-</v>
      </c>
      <c r="H706" s="17" t="str">
        <f>IFERROR(IF(INDEX(Movimientos!$M$2:$M$1993,MATCH(A706&amp;"ENTRADA",Movimientos!$R$2:$R$1993,0))=0,"S/D",INDEX(Movimientos!$M$2:$M$1993,MATCH(A706&amp;"ENTRADA",Movimientos!$R$2:$R$1993,0))),"S/D")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3013</v>
      </c>
      <c r="B707" s="2" t="str">
        <f>IFERROR(INDEX(Movimientos!$C$2:$C$1993,MATCH(A707&amp;"ENTRADA",Movimientos!$R$2:$R$1993,0)),"-")</f>
        <v>-</v>
      </c>
      <c r="C707" s="2" t="str">
        <f>IFERROR(INDEX(Movimientos!$D$2:$D$1993,MATCH(A707&amp;"ENTRADA",Movimientos!$R$2:$R$1993,0)),"-")</f>
        <v>-</v>
      </c>
      <c r="D707" s="2" t="str">
        <f>IFERROR(INDEX(Movimientos!$E$2:$E$1993,MATCH(A707&amp;"ENTRADA",Movimientos!$R$2:$R$1993,0)),"-")</f>
        <v>-</v>
      </c>
      <c r="E707" s="2" t="str">
        <f>IFERROR(INDEX(Movimientos!$F$2:$F$1993,MATCH(A707&amp;"ENTRADA",Movimientos!$R$2:$R$1993,0)),"-")</f>
        <v>-</v>
      </c>
      <c r="F707" s="2" t="str">
        <f>IFERROR(INDEX(Movimientos!$G$2:$G$1993,MATCH(A707&amp;"ENTRADA",Movimientos!$R$2:$R$1993,0)),"-")</f>
        <v>-</v>
      </c>
      <c r="G707" s="2" t="str">
        <f>IFERROR(INDEX(Movimientos!$L$2:$L$1993,MATCH(A707&amp;"ENTRADA",Movimientos!$R$2:$R$1993,0)),"-")</f>
        <v>-</v>
      </c>
      <c r="H707" s="17" t="str">
        <f>IFERROR(IF(INDEX(Movimientos!$M$2:$M$1993,MATCH(A707&amp;"ENTRADA",Movimientos!$R$2:$R$1993,0))=0,"S/D",INDEX(Movimientos!$M$2:$M$1993,MATCH(A707&amp;"ENTRADA",Movimientos!$R$2:$R$1993,0))),"S/D")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3014</v>
      </c>
      <c r="B708" s="2" t="str">
        <f>IFERROR(INDEX(Movimientos!$C$2:$C$1993,MATCH(A708&amp;"ENTRADA",Movimientos!$R$2:$R$1993,0)),"-")</f>
        <v>-</v>
      </c>
      <c r="C708" s="2" t="str">
        <f>IFERROR(INDEX(Movimientos!$D$2:$D$1993,MATCH(A708&amp;"ENTRADA",Movimientos!$R$2:$R$1993,0)),"-")</f>
        <v>-</v>
      </c>
      <c r="D708" s="2" t="str">
        <f>IFERROR(INDEX(Movimientos!$E$2:$E$1993,MATCH(A708&amp;"ENTRADA",Movimientos!$R$2:$R$1993,0)),"-")</f>
        <v>-</v>
      </c>
      <c r="E708" s="2" t="str">
        <f>IFERROR(INDEX(Movimientos!$F$2:$F$1993,MATCH(A708&amp;"ENTRADA",Movimientos!$R$2:$R$1993,0)),"-")</f>
        <v>-</v>
      </c>
      <c r="F708" s="2" t="str">
        <f>IFERROR(INDEX(Movimientos!$G$2:$G$1993,MATCH(A708&amp;"ENTRADA",Movimientos!$R$2:$R$1993,0)),"-")</f>
        <v>-</v>
      </c>
      <c r="G708" s="2" t="str">
        <f>IFERROR(INDEX(Movimientos!$L$2:$L$1993,MATCH(A708&amp;"ENTRADA",Movimientos!$R$2:$R$1993,0)),"-")</f>
        <v>-</v>
      </c>
      <c r="H708" s="17" t="str">
        <f>IFERROR(IF(INDEX(Movimientos!$M$2:$M$1993,MATCH(A708&amp;"ENTRADA",Movimientos!$R$2:$R$1993,0))=0,"S/D",INDEX(Movimientos!$M$2:$M$1993,MATCH(A708&amp;"ENTRADA",Movimientos!$R$2:$R$1993,0))),"S/D")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3015</v>
      </c>
      <c r="B709" s="2" t="str">
        <f>IFERROR(INDEX(Movimientos!$C$2:$C$1993,MATCH(A709&amp;"ENTRADA",Movimientos!$R$2:$R$1993,0)),"-")</f>
        <v>-</v>
      </c>
      <c r="C709" s="2" t="str">
        <f>IFERROR(INDEX(Movimientos!$D$2:$D$1993,MATCH(A709&amp;"ENTRADA",Movimientos!$R$2:$R$1993,0)),"-")</f>
        <v>-</v>
      </c>
      <c r="D709" s="2" t="str">
        <f>IFERROR(INDEX(Movimientos!$E$2:$E$1993,MATCH(A709&amp;"ENTRADA",Movimientos!$R$2:$R$1993,0)),"-")</f>
        <v>-</v>
      </c>
      <c r="E709" s="2" t="str">
        <f>IFERROR(INDEX(Movimientos!$F$2:$F$1993,MATCH(A709&amp;"ENTRADA",Movimientos!$R$2:$R$1993,0)),"-")</f>
        <v>-</v>
      </c>
      <c r="F709" s="2" t="str">
        <f>IFERROR(INDEX(Movimientos!$G$2:$G$1993,MATCH(A709&amp;"ENTRADA",Movimientos!$R$2:$R$1993,0)),"-")</f>
        <v>-</v>
      </c>
      <c r="G709" s="2" t="str">
        <f>IFERROR(INDEX(Movimientos!$L$2:$L$1993,MATCH(A709&amp;"ENTRADA",Movimientos!$R$2:$R$1993,0)),"-")</f>
        <v>-</v>
      </c>
      <c r="H709" s="17" t="str">
        <f>IFERROR(IF(INDEX(Movimientos!$M$2:$M$1993,MATCH(A709&amp;"ENTRADA",Movimientos!$R$2:$R$1993,0))=0,"S/D",INDEX(Movimientos!$M$2:$M$1993,MATCH(A709&amp;"ENTRADA",Movimientos!$R$2:$R$1993,0))),"S/D")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3016</v>
      </c>
      <c r="B710" s="2" t="str">
        <f>IFERROR(INDEX(Movimientos!$C$2:$C$1993,MATCH(A710&amp;"ENTRADA",Movimientos!$R$2:$R$1993,0)),"-")</f>
        <v>-</v>
      </c>
      <c r="C710" s="2" t="str">
        <f>IFERROR(INDEX(Movimientos!$D$2:$D$1993,MATCH(A710&amp;"ENTRADA",Movimientos!$R$2:$R$1993,0)),"-")</f>
        <v>-</v>
      </c>
      <c r="D710" s="2" t="str">
        <f>IFERROR(INDEX(Movimientos!$E$2:$E$1993,MATCH(A710&amp;"ENTRADA",Movimientos!$R$2:$R$1993,0)),"-")</f>
        <v>-</v>
      </c>
      <c r="E710" s="2" t="str">
        <f>IFERROR(INDEX(Movimientos!$F$2:$F$1993,MATCH(A710&amp;"ENTRADA",Movimientos!$R$2:$R$1993,0)),"-")</f>
        <v>-</v>
      </c>
      <c r="F710" s="2" t="str">
        <f>IFERROR(INDEX(Movimientos!$G$2:$G$1993,MATCH(A710&amp;"ENTRADA",Movimientos!$R$2:$R$1993,0)),"-")</f>
        <v>-</v>
      </c>
      <c r="G710" s="2" t="str">
        <f>IFERROR(INDEX(Movimientos!$L$2:$L$1993,MATCH(A710&amp;"ENTRADA",Movimientos!$R$2:$R$1993,0)),"-")</f>
        <v>-</v>
      </c>
      <c r="H710" s="17" t="str">
        <f>IFERROR(IF(INDEX(Movimientos!$M$2:$M$1993,MATCH(A710&amp;"ENTRADA",Movimientos!$R$2:$R$1993,0))=0,"S/D",INDEX(Movimientos!$M$2:$M$1993,MATCH(A710&amp;"ENTRADA",Movimientos!$R$2:$R$1993,0))),"S/D")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3017</v>
      </c>
      <c r="B711" s="2" t="str">
        <f>IFERROR(INDEX(Movimientos!$C$2:$C$1993,MATCH(A711&amp;"ENTRADA",Movimientos!$R$2:$R$1993,0)),"-")</f>
        <v>-</v>
      </c>
      <c r="C711" s="2" t="str">
        <f>IFERROR(INDEX(Movimientos!$D$2:$D$1993,MATCH(A711&amp;"ENTRADA",Movimientos!$R$2:$R$1993,0)),"-")</f>
        <v>-</v>
      </c>
      <c r="D711" s="2" t="str">
        <f>IFERROR(INDEX(Movimientos!$E$2:$E$1993,MATCH(A711&amp;"ENTRADA",Movimientos!$R$2:$R$1993,0)),"-")</f>
        <v>-</v>
      </c>
      <c r="E711" s="2" t="str">
        <f>IFERROR(INDEX(Movimientos!$F$2:$F$1993,MATCH(A711&amp;"ENTRADA",Movimientos!$R$2:$R$1993,0)),"-")</f>
        <v>-</v>
      </c>
      <c r="F711" s="2" t="str">
        <f>IFERROR(INDEX(Movimientos!$G$2:$G$1993,MATCH(A711&amp;"ENTRADA",Movimientos!$R$2:$R$1993,0)),"-")</f>
        <v>-</v>
      </c>
      <c r="G711" s="2" t="str">
        <f>IFERROR(INDEX(Movimientos!$L$2:$L$1993,MATCH(A711&amp;"ENTRADA",Movimientos!$R$2:$R$1993,0)),"-")</f>
        <v>-</v>
      </c>
      <c r="H711" s="17" t="str">
        <f>IFERROR(IF(INDEX(Movimientos!$M$2:$M$1993,MATCH(A711&amp;"ENTRADA",Movimientos!$R$2:$R$1993,0))=0,"S/D",INDEX(Movimientos!$M$2:$M$1993,MATCH(A711&amp;"ENTRADA",Movimientos!$R$2:$R$1993,0))),"S/D")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3018</v>
      </c>
      <c r="B712" s="2" t="str">
        <f>IFERROR(INDEX(Movimientos!$C$2:$C$1993,MATCH(A712&amp;"ENTRADA",Movimientos!$R$2:$R$1993,0)),"-")</f>
        <v>-</v>
      </c>
      <c r="C712" s="2" t="str">
        <f>IFERROR(INDEX(Movimientos!$D$2:$D$1993,MATCH(A712&amp;"ENTRADA",Movimientos!$R$2:$R$1993,0)),"-")</f>
        <v>-</v>
      </c>
      <c r="D712" s="2" t="str">
        <f>IFERROR(INDEX(Movimientos!$E$2:$E$1993,MATCH(A712&amp;"ENTRADA",Movimientos!$R$2:$R$1993,0)),"-")</f>
        <v>-</v>
      </c>
      <c r="E712" s="2" t="str">
        <f>IFERROR(INDEX(Movimientos!$F$2:$F$1993,MATCH(A712&amp;"ENTRADA",Movimientos!$R$2:$R$1993,0)),"-")</f>
        <v>-</v>
      </c>
      <c r="F712" s="2" t="str">
        <f>IFERROR(INDEX(Movimientos!$G$2:$G$1993,MATCH(A712&amp;"ENTRADA",Movimientos!$R$2:$R$1993,0)),"-")</f>
        <v>-</v>
      </c>
      <c r="G712" s="2" t="str">
        <f>IFERROR(INDEX(Movimientos!$L$2:$L$1993,MATCH(A712&amp;"ENTRADA",Movimientos!$R$2:$R$1993,0)),"-")</f>
        <v>-</v>
      </c>
      <c r="H712" s="17" t="str">
        <f>IFERROR(IF(INDEX(Movimientos!$M$2:$M$1993,MATCH(A712&amp;"ENTRADA",Movimientos!$R$2:$R$1993,0))=0,"S/D",INDEX(Movimientos!$M$2:$M$1993,MATCH(A712&amp;"ENTRADA",Movimientos!$R$2:$R$1993,0))),"S/D")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3019</v>
      </c>
      <c r="B713" s="2" t="str">
        <f>IFERROR(INDEX(Movimientos!$C$2:$C$1993,MATCH(A713&amp;"ENTRADA",Movimientos!$R$2:$R$1993,0)),"-")</f>
        <v>-</v>
      </c>
      <c r="C713" s="2" t="str">
        <f>IFERROR(INDEX(Movimientos!$D$2:$D$1993,MATCH(A713&amp;"ENTRADA",Movimientos!$R$2:$R$1993,0)),"-")</f>
        <v>-</v>
      </c>
      <c r="D713" s="2" t="str">
        <f>IFERROR(INDEX(Movimientos!$E$2:$E$1993,MATCH(A713&amp;"ENTRADA",Movimientos!$R$2:$R$1993,0)),"-")</f>
        <v>-</v>
      </c>
      <c r="E713" s="2" t="str">
        <f>IFERROR(INDEX(Movimientos!$F$2:$F$1993,MATCH(A713&amp;"ENTRADA",Movimientos!$R$2:$R$1993,0)),"-")</f>
        <v>-</v>
      </c>
      <c r="F713" s="2" t="str">
        <f>IFERROR(INDEX(Movimientos!$G$2:$G$1993,MATCH(A713&amp;"ENTRADA",Movimientos!$R$2:$R$1993,0)),"-")</f>
        <v>-</v>
      </c>
      <c r="G713" s="2" t="str">
        <f>IFERROR(INDEX(Movimientos!$L$2:$L$1993,MATCH(A713&amp;"ENTRADA",Movimientos!$R$2:$R$1993,0)),"-")</f>
        <v>-</v>
      </c>
      <c r="H713" s="17" t="str">
        <f>IFERROR(IF(INDEX(Movimientos!$M$2:$M$1993,MATCH(A713&amp;"ENTRADA",Movimientos!$R$2:$R$1993,0))=0,"S/D",INDEX(Movimientos!$M$2:$M$1993,MATCH(A713&amp;"ENTRADA",Movimientos!$R$2:$R$1993,0))),"S/D")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3020</v>
      </c>
      <c r="B714" s="2" t="str">
        <f>IFERROR(INDEX(Movimientos!$C$2:$C$1993,MATCH(A714&amp;"ENTRADA",Movimientos!$R$2:$R$1993,0)),"-")</f>
        <v>-</v>
      </c>
      <c r="C714" s="2" t="str">
        <f>IFERROR(INDEX(Movimientos!$D$2:$D$1993,MATCH(A714&amp;"ENTRADA",Movimientos!$R$2:$R$1993,0)),"-")</f>
        <v>-</v>
      </c>
      <c r="D714" s="2" t="str">
        <f>IFERROR(INDEX(Movimientos!$E$2:$E$1993,MATCH(A714&amp;"ENTRADA",Movimientos!$R$2:$R$1993,0)),"-")</f>
        <v>-</v>
      </c>
      <c r="E714" s="2" t="str">
        <f>IFERROR(INDEX(Movimientos!$F$2:$F$1993,MATCH(A714&amp;"ENTRADA",Movimientos!$R$2:$R$1993,0)),"-")</f>
        <v>-</v>
      </c>
      <c r="F714" s="2" t="str">
        <f>IFERROR(INDEX(Movimientos!$G$2:$G$1993,MATCH(A714&amp;"ENTRADA",Movimientos!$R$2:$R$1993,0)),"-")</f>
        <v>-</v>
      </c>
      <c r="G714" s="2" t="str">
        <f>IFERROR(INDEX(Movimientos!$L$2:$L$1993,MATCH(A714&amp;"ENTRADA",Movimientos!$R$2:$R$1993,0)),"-")</f>
        <v>-</v>
      </c>
      <c r="H714" s="17" t="str">
        <f>IFERROR(IF(INDEX(Movimientos!$M$2:$M$1993,MATCH(A714&amp;"ENTRADA",Movimientos!$R$2:$R$1993,0))=0,"S/D",INDEX(Movimientos!$M$2:$M$1993,MATCH(A714&amp;"ENTRADA",Movimientos!$R$2:$R$1993,0))),"S/D")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3021</v>
      </c>
      <c r="B715" s="2" t="str">
        <f>IFERROR(INDEX(Movimientos!$C$2:$C$1993,MATCH(A715&amp;"ENTRADA",Movimientos!$R$2:$R$1993,0)),"-")</f>
        <v>-</v>
      </c>
      <c r="C715" s="2" t="str">
        <f>IFERROR(INDEX(Movimientos!$D$2:$D$1993,MATCH(A715&amp;"ENTRADA",Movimientos!$R$2:$R$1993,0)),"-")</f>
        <v>-</v>
      </c>
      <c r="D715" s="2" t="str">
        <f>IFERROR(INDEX(Movimientos!$E$2:$E$1993,MATCH(A715&amp;"ENTRADA",Movimientos!$R$2:$R$1993,0)),"-")</f>
        <v>-</v>
      </c>
      <c r="E715" s="2" t="str">
        <f>IFERROR(INDEX(Movimientos!$F$2:$F$1993,MATCH(A715&amp;"ENTRADA",Movimientos!$R$2:$R$1993,0)),"-")</f>
        <v>-</v>
      </c>
      <c r="F715" s="2" t="str">
        <f>IFERROR(INDEX(Movimientos!$G$2:$G$1993,MATCH(A715&amp;"ENTRADA",Movimientos!$R$2:$R$1993,0)),"-")</f>
        <v>-</v>
      </c>
      <c r="G715" s="2" t="str">
        <f>IFERROR(INDEX(Movimientos!$L$2:$L$1993,MATCH(A715&amp;"ENTRADA",Movimientos!$R$2:$R$1993,0)),"-")</f>
        <v>-</v>
      </c>
      <c r="H715" s="17" t="str">
        <f>IFERROR(IF(INDEX(Movimientos!$M$2:$M$1993,MATCH(A715&amp;"ENTRADA",Movimientos!$R$2:$R$1993,0))=0,"S/D",INDEX(Movimientos!$M$2:$M$1993,MATCH(A715&amp;"ENTRADA",Movimientos!$R$2:$R$1993,0))),"S/D")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3022</v>
      </c>
      <c r="B716" s="2" t="str">
        <f>IFERROR(INDEX(Movimientos!$C$2:$C$1993,MATCH(A716&amp;"ENTRADA",Movimientos!$R$2:$R$1993,0)),"-")</f>
        <v>-</v>
      </c>
      <c r="C716" s="2" t="str">
        <f>IFERROR(INDEX(Movimientos!$D$2:$D$1993,MATCH(A716&amp;"ENTRADA",Movimientos!$R$2:$R$1993,0)),"-")</f>
        <v>-</v>
      </c>
      <c r="D716" s="2" t="str">
        <f>IFERROR(INDEX(Movimientos!$E$2:$E$1993,MATCH(A716&amp;"ENTRADA",Movimientos!$R$2:$R$1993,0)),"-")</f>
        <v>-</v>
      </c>
      <c r="E716" s="2" t="str">
        <f>IFERROR(INDEX(Movimientos!$F$2:$F$1993,MATCH(A716&amp;"ENTRADA",Movimientos!$R$2:$R$1993,0)),"-")</f>
        <v>-</v>
      </c>
      <c r="F716" s="2" t="str">
        <f>IFERROR(INDEX(Movimientos!$G$2:$G$1993,MATCH(A716&amp;"ENTRADA",Movimientos!$R$2:$R$1993,0)),"-")</f>
        <v>-</v>
      </c>
      <c r="G716" s="2" t="str">
        <f>IFERROR(INDEX(Movimientos!$L$2:$L$1993,MATCH(A716&amp;"ENTRADA",Movimientos!$R$2:$R$1993,0)),"-")</f>
        <v>-</v>
      </c>
      <c r="H716" s="17" t="str">
        <f>IFERROR(IF(INDEX(Movimientos!$M$2:$M$1993,MATCH(A716&amp;"ENTRADA",Movimientos!$R$2:$R$1993,0))=0,"S/D",INDEX(Movimientos!$M$2:$M$1993,MATCH(A716&amp;"ENTRADA",Movimientos!$R$2:$R$1993,0))),"S/D")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3023</v>
      </c>
      <c r="B717" s="2" t="str">
        <f>IFERROR(INDEX(Movimientos!$C$2:$C$1993,MATCH(A717&amp;"ENTRADA",Movimientos!$R$2:$R$1993,0)),"-")</f>
        <v>-</v>
      </c>
      <c r="C717" s="2" t="str">
        <f>IFERROR(INDEX(Movimientos!$D$2:$D$1993,MATCH(A717&amp;"ENTRADA",Movimientos!$R$2:$R$1993,0)),"-")</f>
        <v>-</v>
      </c>
      <c r="D717" s="2" t="str">
        <f>IFERROR(INDEX(Movimientos!$E$2:$E$1993,MATCH(A717&amp;"ENTRADA",Movimientos!$R$2:$R$1993,0)),"-")</f>
        <v>-</v>
      </c>
      <c r="E717" s="2" t="str">
        <f>IFERROR(INDEX(Movimientos!$F$2:$F$1993,MATCH(A717&amp;"ENTRADA",Movimientos!$R$2:$R$1993,0)),"-")</f>
        <v>-</v>
      </c>
      <c r="F717" s="2" t="str">
        <f>IFERROR(INDEX(Movimientos!$G$2:$G$1993,MATCH(A717&amp;"ENTRADA",Movimientos!$R$2:$R$1993,0)),"-")</f>
        <v>-</v>
      </c>
      <c r="G717" s="2" t="str">
        <f>IFERROR(INDEX(Movimientos!$L$2:$L$1993,MATCH(A717&amp;"ENTRADA",Movimientos!$R$2:$R$1993,0)),"-")</f>
        <v>-</v>
      </c>
      <c r="H717" s="17" t="str">
        <f>IFERROR(IF(INDEX(Movimientos!$M$2:$M$1993,MATCH(A717&amp;"ENTRADA",Movimientos!$R$2:$R$1993,0))=0,"S/D",INDEX(Movimientos!$M$2:$M$1993,MATCH(A717&amp;"ENTRADA",Movimientos!$R$2:$R$1993,0))),"S/D")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3024</v>
      </c>
      <c r="B718" s="2" t="str">
        <f>IFERROR(INDEX(Movimientos!$C$2:$C$1993,MATCH(A718&amp;"ENTRADA",Movimientos!$R$2:$R$1993,0)),"-")</f>
        <v>-</v>
      </c>
      <c r="C718" s="2" t="str">
        <f>IFERROR(INDEX(Movimientos!$D$2:$D$1993,MATCH(A718&amp;"ENTRADA",Movimientos!$R$2:$R$1993,0)),"-")</f>
        <v>-</v>
      </c>
      <c r="D718" s="2" t="str">
        <f>IFERROR(INDEX(Movimientos!$E$2:$E$1993,MATCH(A718&amp;"ENTRADA",Movimientos!$R$2:$R$1993,0)),"-")</f>
        <v>-</v>
      </c>
      <c r="E718" s="2" t="str">
        <f>IFERROR(INDEX(Movimientos!$F$2:$F$1993,MATCH(A718&amp;"ENTRADA",Movimientos!$R$2:$R$1993,0)),"-")</f>
        <v>-</v>
      </c>
      <c r="F718" s="2" t="str">
        <f>IFERROR(INDEX(Movimientos!$G$2:$G$1993,MATCH(A718&amp;"ENTRADA",Movimientos!$R$2:$R$1993,0)),"-")</f>
        <v>-</v>
      </c>
      <c r="G718" s="2" t="str">
        <f>IFERROR(INDEX(Movimientos!$L$2:$L$1993,MATCH(A718&amp;"ENTRADA",Movimientos!$R$2:$R$1993,0)),"-")</f>
        <v>-</v>
      </c>
      <c r="H718" s="17" t="str">
        <f>IFERROR(IF(INDEX(Movimientos!$M$2:$M$1993,MATCH(A718&amp;"ENTRADA",Movimientos!$R$2:$R$1993,0))=0,"S/D",INDEX(Movimientos!$M$2:$M$1993,MATCH(A718&amp;"ENTRADA",Movimientos!$R$2:$R$1993,0))),"S/D")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3025</v>
      </c>
      <c r="B719" s="2" t="str">
        <f>IFERROR(INDEX(Movimientos!$C$2:$C$1993,MATCH(A719&amp;"ENTRADA",Movimientos!$R$2:$R$1993,0)),"-")</f>
        <v>-</v>
      </c>
      <c r="C719" s="2" t="str">
        <f>IFERROR(INDEX(Movimientos!$D$2:$D$1993,MATCH(A719&amp;"ENTRADA",Movimientos!$R$2:$R$1993,0)),"-")</f>
        <v>-</v>
      </c>
      <c r="D719" s="2" t="str">
        <f>IFERROR(INDEX(Movimientos!$E$2:$E$1993,MATCH(A719&amp;"ENTRADA",Movimientos!$R$2:$R$1993,0)),"-")</f>
        <v>-</v>
      </c>
      <c r="E719" s="2" t="str">
        <f>IFERROR(INDEX(Movimientos!$F$2:$F$1993,MATCH(A719&amp;"ENTRADA",Movimientos!$R$2:$R$1993,0)),"-")</f>
        <v>-</v>
      </c>
      <c r="F719" s="2" t="str">
        <f>IFERROR(INDEX(Movimientos!$G$2:$G$1993,MATCH(A719&amp;"ENTRADA",Movimientos!$R$2:$R$1993,0)),"-")</f>
        <v>-</v>
      </c>
      <c r="G719" s="2" t="str">
        <f>IFERROR(INDEX(Movimientos!$L$2:$L$1993,MATCH(A719&amp;"ENTRADA",Movimientos!$R$2:$R$1993,0)),"-")</f>
        <v>-</v>
      </c>
      <c r="H719" s="17" t="str">
        <f>IFERROR(IF(INDEX(Movimientos!$M$2:$M$1993,MATCH(A719&amp;"ENTRADA",Movimientos!$R$2:$R$1993,0))=0,"S/D",INDEX(Movimientos!$M$2:$M$1993,MATCH(A719&amp;"ENTRADA",Movimientos!$R$2:$R$1993,0))),"S/D")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3026</v>
      </c>
      <c r="B720" s="2" t="str">
        <f>IFERROR(INDEX(Movimientos!$C$2:$C$1993,MATCH(A720&amp;"ENTRADA",Movimientos!$R$2:$R$1993,0)),"-")</f>
        <v>-</v>
      </c>
      <c r="C720" s="2" t="str">
        <f>IFERROR(INDEX(Movimientos!$D$2:$D$1993,MATCH(A720&amp;"ENTRADA",Movimientos!$R$2:$R$1993,0)),"-")</f>
        <v>-</v>
      </c>
      <c r="D720" s="2" t="str">
        <f>IFERROR(INDEX(Movimientos!$E$2:$E$1993,MATCH(A720&amp;"ENTRADA",Movimientos!$R$2:$R$1993,0)),"-")</f>
        <v>-</v>
      </c>
      <c r="E720" s="2" t="str">
        <f>IFERROR(INDEX(Movimientos!$F$2:$F$1993,MATCH(A720&amp;"ENTRADA",Movimientos!$R$2:$R$1993,0)),"-")</f>
        <v>-</v>
      </c>
      <c r="F720" s="2" t="str">
        <f>IFERROR(INDEX(Movimientos!$G$2:$G$1993,MATCH(A720&amp;"ENTRADA",Movimientos!$R$2:$R$1993,0)),"-")</f>
        <v>-</v>
      </c>
      <c r="G720" s="2" t="str">
        <f>IFERROR(INDEX(Movimientos!$L$2:$L$1993,MATCH(A720&amp;"ENTRADA",Movimientos!$R$2:$R$1993,0)),"-")</f>
        <v>-</v>
      </c>
      <c r="H720" s="17" t="str">
        <f>IFERROR(IF(INDEX(Movimientos!$M$2:$M$1993,MATCH(A720&amp;"ENTRADA",Movimientos!$R$2:$R$1993,0))=0,"S/D",INDEX(Movimientos!$M$2:$M$1993,MATCH(A720&amp;"ENTRADA",Movimientos!$R$2:$R$1993,0))),"S/D")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3027</v>
      </c>
      <c r="B721" s="2" t="str">
        <f>IFERROR(INDEX(Movimientos!$C$2:$C$1993,MATCH(A721&amp;"ENTRADA",Movimientos!$R$2:$R$1993,0)),"-")</f>
        <v>-</v>
      </c>
      <c r="C721" s="2" t="str">
        <f>IFERROR(INDEX(Movimientos!$D$2:$D$1993,MATCH(A721&amp;"ENTRADA",Movimientos!$R$2:$R$1993,0)),"-")</f>
        <v>-</v>
      </c>
      <c r="D721" s="2" t="str">
        <f>IFERROR(INDEX(Movimientos!$E$2:$E$1993,MATCH(A721&amp;"ENTRADA",Movimientos!$R$2:$R$1993,0)),"-")</f>
        <v>-</v>
      </c>
      <c r="E721" s="2" t="str">
        <f>IFERROR(INDEX(Movimientos!$F$2:$F$1993,MATCH(A721&amp;"ENTRADA",Movimientos!$R$2:$R$1993,0)),"-")</f>
        <v>-</v>
      </c>
      <c r="F721" s="2" t="str">
        <f>IFERROR(INDEX(Movimientos!$G$2:$G$1993,MATCH(A721&amp;"ENTRADA",Movimientos!$R$2:$R$1993,0)),"-")</f>
        <v>-</v>
      </c>
      <c r="G721" s="2" t="str">
        <f>IFERROR(INDEX(Movimientos!$L$2:$L$1993,MATCH(A721&amp;"ENTRADA",Movimientos!$R$2:$R$1993,0)),"-")</f>
        <v>-</v>
      </c>
      <c r="H721" s="17" t="str">
        <f>IFERROR(IF(INDEX(Movimientos!$M$2:$M$1993,MATCH(A721&amp;"ENTRADA",Movimientos!$R$2:$R$1993,0))=0,"S/D",INDEX(Movimientos!$M$2:$M$1993,MATCH(A721&amp;"ENTRADA",Movimientos!$R$2:$R$1993,0))),"S/D")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3028</v>
      </c>
      <c r="B722" s="2" t="str">
        <f>IFERROR(INDEX(Movimientos!$C$2:$C$1993,MATCH(A722&amp;"ENTRADA",Movimientos!$R$2:$R$1993,0)),"-")</f>
        <v>-</v>
      </c>
      <c r="C722" s="2" t="str">
        <f>IFERROR(INDEX(Movimientos!$D$2:$D$1993,MATCH(A722&amp;"ENTRADA",Movimientos!$R$2:$R$1993,0)),"-")</f>
        <v>-</v>
      </c>
      <c r="D722" s="2" t="str">
        <f>IFERROR(INDEX(Movimientos!$E$2:$E$1993,MATCH(A722&amp;"ENTRADA",Movimientos!$R$2:$R$1993,0)),"-")</f>
        <v>-</v>
      </c>
      <c r="E722" s="2" t="str">
        <f>IFERROR(INDEX(Movimientos!$F$2:$F$1993,MATCH(A722&amp;"ENTRADA",Movimientos!$R$2:$R$1993,0)),"-")</f>
        <v>-</v>
      </c>
      <c r="F722" s="2" t="str">
        <f>IFERROR(INDEX(Movimientos!$G$2:$G$1993,MATCH(A722&amp;"ENTRADA",Movimientos!$R$2:$R$1993,0)),"-")</f>
        <v>-</v>
      </c>
      <c r="G722" s="2" t="str">
        <f>IFERROR(INDEX(Movimientos!$L$2:$L$1993,MATCH(A722&amp;"ENTRADA",Movimientos!$R$2:$R$1993,0)),"-")</f>
        <v>-</v>
      </c>
      <c r="H722" s="17" t="str">
        <f>IFERROR(IF(INDEX(Movimientos!$M$2:$M$1993,MATCH(A722&amp;"ENTRADA",Movimientos!$R$2:$R$1993,0))=0,"S/D",INDEX(Movimientos!$M$2:$M$1993,MATCH(A722&amp;"ENTRADA",Movimientos!$R$2:$R$1993,0))),"S/D")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3029</v>
      </c>
      <c r="B723" s="2" t="str">
        <f>IFERROR(INDEX(Movimientos!$C$2:$C$1993,MATCH(A723&amp;"ENTRADA",Movimientos!$R$2:$R$1993,0)),"-")</f>
        <v>-</v>
      </c>
      <c r="C723" s="2" t="str">
        <f>IFERROR(INDEX(Movimientos!$D$2:$D$1993,MATCH(A723&amp;"ENTRADA",Movimientos!$R$2:$R$1993,0)),"-")</f>
        <v>-</v>
      </c>
      <c r="D723" s="2" t="str">
        <f>IFERROR(INDEX(Movimientos!$E$2:$E$1993,MATCH(A723&amp;"ENTRADA",Movimientos!$R$2:$R$1993,0)),"-")</f>
        <v>-</v>
      </c>
      <c r="E723" s="2" t="str">
        <f>IFERROR(INDEX(Movimientos!$F$2:$F$1993,MATCH(A723&amp;"ENTRADA",Movimientos!$R$2:$R$1993,0)),"-")</f>
        <v>-</v>
      </c>
      <c r="F723" s="2" t="str">
        <f>IFERROR(INDEX(Movimientos!$G$2:$G$1993,MATCH(A723&amp;"ENTRADA",Movimientos!$R$2:$R$1993,0)),"-")</f>
        <v>-</v>
      </c>
      <c r="G723" s="2" t="str">
        <f>IFERROR(INDEX(Movimientos!$L$2:$L$1993,MATCH(A723&amp;"ENTRADA",Movimientos!$R$2:$R$1993,0)),"-")</f>
        <v>-</v>
      </c>
      <c r="H723" s="17" t="str">
        <f>IFERROR(IF(INDEX(Movimientos!$M$2:$M$1993,MATCH(A723&amp;"ENTRADA",Movimientos!$R$2:$R$1993,0))=0,"S/D",INDEX(Movimientos!$M$2:$M$1993,MATCH(A723&amp;"ENTRADA",Movimientos!$R$2:$R$1993,0))),"S/D")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3030</v>
      </c>
      <c r="B724" s="2" t="str">
        <f>IFERROR(INDEX(Movimientos!$C$2:$C$1993,MATCH(A724&amp;"ENTRADA",Movimientos!$R$2:$R$1993,0)),"-")</f>
        <v>-</v>
      </c>
      <c r="C724" s="2" t="str">
        <f>IFERROR(INDEX(Movimientos!$D$2:$D$1993,MATCH(A724&amp;"ENTRADA",Movimientos!$R$2:$R$1993,0)),"-")</f>
        <v>-</v>
      </c>
      <c r="D724" s="2" t="str">
        <f>IFERROR(INDEX(Movimientos!$E$2:$E$1993,MATCH(A724&amp;"ENTRADA",Movimientos!$R$2:$R$1993,0)),"-")</f>
        <v>-</v>
      </c>
      <c r="E724" s="2" t="str">
        <f>IFERROR(INDEX(Movimientos!$F$2:$F$1993,MATCH(A724&amp;"ENTRADA",Movimientos!$R$2:$R$1993,0)),"-")</f>
        <v>-</v>
      </c>
      <c r="F724" s="2" t="str">
        <f>IFERROR(INDEX(Movimientos!$G$2:$G$1993,MATCH(A724&amp;"ENTRADA",Movimientos!$R$2:$R$1993,0)),"-")</f>
        <v>-</v>
      </c>
      <c r="G724" s="2" t="str">
        <f>IFERROR(INDEX(Movimientos!$L$2:$L$1993,MATCH(A724&amp;"ENTRADA",Movimientos!$R$2:$R$1993,0)),"-")</f>
        <v>-</v>
      </c>
      <c r="H724" s="17" t="str">
        <f>IFERROR(IF(INDEX(Movimientos!$M$2:$M$1993,MATCH(A724&amp;"ENTRADA",Movimientos!$R$2:$R$1993,0))=0,"S/D",INDEX(Movimientos!$M$2:$M$1993,MATCH(A724&amp;"ENTRADA",Movimientos!$R$2:$R$1993,0))),"S/D")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3031</v>
      </c>
      <c r="B725" s="2" t="str">
        <f>IFERROR(INDEX(Movimientos!$C$2:$C$1993,MATCH(A725&amp;"ENTRADA",Movimientos!$R$2:$R$1993,0)),"-")</f>
        <v>-</v>
      </c>
      <c r="C725" s="2" t="str">
        <f>IFERROR(INDEX(Movimientos!$D$2:$D$1993,MATCH(A725&amp;"ENTRADA",Movimientos!$R$2:$R$1993,0)),"-")</f>
        <v>-</v>
      </c>
      <c r="D725" s="2" t="str">
        <f>IFERROR(INDEX(Movimientos!$E$2:$E$1993,MATCH(A725&amp;"ENTRADA",Movimientos!$R$2:$R$1993,0)),"-")</f>
        <v>-</v>
      </c>
      <c r="E725" s="2" t="str">
        <f>IFERROR(INDEX(Movimientos!$F$2:$F$1993,MATCH(A725&amp;"ENTRADA",Movimientos!$R$2:$R$1993,0)),"-")</f>
        <v>-</v>
      </c>
      <c r="F725" s="2" t="str">
        <f>IFERROR(INDEX(Movimientos!$G$2:$G$1993,MATCH(A725&amp;"ENTRADA",Movimientos!$R$2:$R$1993,0)),"-")</f>
        <v>-</v>
      </c>
      <c r="G725" s="2" t="str">
        <f>IFERROR(INDEX(Movimientos!$L$2:$L$1993,MATCH(A725&amp;"ENTRADA",Movimientos!$R$2:$R$1993,0)),"-")</f>
        <v>-</v>
      </c>
      <c r="H725" s="17" t="str">
        <f>IFERROR(IF(INDEX(Movimientos!$M$2:$M$1993,MATCH(A725&amp;"ENTRADA",Movimientos!$R$2:$R$1993,0))=0,"S/D",INDEX(Movimientos!$M$2:$M$1993,MATCH(A725&amp;"ENTRADA",Movimientos!$R$2:$R$1993,0))),"S/D")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3032</v>
      </c>
      <c r="B726" s="2" t="str">
        <f>IFERROR(INDEX(Movimientos!$C$2:$C$1993,MATCH(A726&amp;"ENTRADA",Movimientos!$R$2:$R$1993,0)),"-")</f>
        <v>-</v>
      </c>
      <c r="C726" s="2" t="str">
        <f>IFERROR(INDEX(Movimientos!$D$2:$D$1993,MATCH(A726&amp;"ENTRADA",Movimientos!$R$2:$R$1993,0)),"-")</f>
        <v>-</v>
      </c>
      <c r="D726" s="2" t="str">
        <f>IFERROR(INDEX(Movimientos!$E$2:$E$1993,MATCH(A726&amp;"ENTRADA",Movimientos!$R$2:$R$1993,0)),"-")</f>
        <v>-</v>
      </c>
      <c r="E726" s="2" t="str">
        <f>IFERROR(INDEX(Movimientos!$F$2:$F$1993,MATCH(A726&amp;"ENTRADA",Movimientos!$R$2:$R$1993,0)),"-")</f>
        <v>-</v>
      </c>
      <c r="F726" s="2" t="str">
        <f>IFERROR(INDEX(Movimientos!$G$2:$G$1993,MATCH(A726&amp;"ENTRADA",Movimientos!$R$2:$R$1993,0)),"-")</f>
        <v>-</v>
      </c>
      <c r="G726" s="2" t="str">
        <f>IFERROR(INDEX(Movimientos!$L$2:$L$1993,MATCH(A726&amp;"ENTRADA",Movimientos!$R$2:$R$1993,0)),"-")</f>
        <v>-</v>
      </c>
      <c r="H726" s="17" t="str">
        <f>IFERROR(IF(INDEX(Movimientos!$M$2:$M$1993,MATCH(A726&amp;"ENTRADA",Movimientos!$R$2:$R$1993,0))=0,"S/D",INDEX(Movimientos!$M$2:$M$1993,MATCH(A726&amp;"ENTRADA",Movimientos!$R$2:$R$1993,0))),"S/D")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3033</v>
      </c>
      <c r="B727" s="2" t="str">
        <f>IFERROR(INDEX(Movimientos!$C$2:$C$1993,MATCH(A727&amp;"ENTRADA",Movimientos!$R$2:$R$1993,0)),"-")</f>
        <v>-</v>
      </c>
      <c r="C727" s="2" t="str">
        <f>IFERROR(INDEX(Movimientos!$D$2:$D$1993,MATCH(A727&amp;"ENTRADA",Movimientos!$R$2:$R$1993,0)),"-")</f>
        <v>-</v>
      </c>
      <c r="D727" s="2" t="str">
        <f>IFERROR(INDEX(Movimientos!$E$2:$E$1993,MATCH(A727&amp;"ENTRADA",Movimientos!$R$2:$R$1993,0)),"-")</f>
        <v>-</v>
      </c>
      <c r="E727" s="2" t="str">
        <f>IFERROR(INDEX(Movimientos!$F$2:$F$1993,MATCH(A727&amp;"ENTRADA",Movimientos!$R$2:$R$1993,0)),"-")</f>
        <v>-</v>
      </c>
      <c r="F727" s="2" t="str">
        <f>IFERROR(INDEX(Movimientos!$G$2:$G$1993,MATCH(A727&amp;"ENTRADA",Movimientos!$R$2:$R$1993,0)),"-")</f>
        <v>-</v>
      </c>
      <c r="G727" s="2" t="str">
        <f>IFERROR(INDEX(Movimientos!$L$2:$L$1993,MATCH(A727&amp;"ENTRADA",Movimientos!$R$2:$R$1993,0)),"-")</f>
        <v>-</v>
      </c>
      <c r="H727" s="17" t="str">
        <f>IFERROR(IF(INDEX(Movimientos!$M$2:$M$1993,MATCH(A727&amp;"ENTRADA",Movimientos!$R$2:$R$1993,0))=0,"S/D",INDEX(Movimientos!$M$2:$M$1993,MATCH(A727&amp;"ENTRADA",Movimientos!$R$2:$R$1993,0))),"S/D")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3034</v>
      </c>
      <c r="B728" s="2" t="str">
        <f>IFERROR(INDEX(Movimientos!$C$2:$C$1993,MATCH(A728&amp;"ENTRADA",Movimientos!$R$2:$R$1993,0)),"-")</f>
        <v>-</v>
      </c>
      <c r="C728" s="2" t="str">
        <f>IFERROR(INDEX(Movimientos!$D$2:$D$1993,MATCH(A728&amp;"ENTRADA",Movimientos!$R$2:$R$1993,0)),"-")</f>
        <v>-</v>
      </c>
      <c r="D728" s="2" t="str">
        <f>IFERROR(INDEX(Movimientos!$E$2:$E$1993,MATCH(A728&amp;"ENTRADA",Movimientos!$R$2:$R$1993,0)),"-")</f>
        <v>-</v>
      </c>
      <c r="E728" s="2" t="str">
        <f>IFERROR(INDEX(Movimientos!$F$2:$F$1993,MATCH(A728&amp;"ENTRADA",Movimientos!$R$2:$R$1993,0)),"-")</f>
        <v>-</v>
      </c>
      <c r="F728" s="2" t="str">
        <f>IFERROR(INDEX(Movimientos!$G$2:$G$1993,MATCH(A728&amp;"ENTRADA",Movimientos!$R$2:$R$1993,0)),"-")</f>
        <v>-</v>
      </c>
      <c r="G728" s="2" t="str">
        <f>IFERROR(INDEX(Movimientos!$L$2:$L$1993,MATCH(A728&amp;"ENTRADA",Movimientos!$R$2:$R$1993,0)),"-")</f>
        <v>-</v>
      </c>
      <c r="H728" s="17" t="str">
        <f>IFERROR(IF(INDEX(Movimientos!$M$2:$M$1993,MATCH(A728&amp;"ENTRADA",Movimientos!$R$2:$R$1993,0))=0,"S/D",INDEX(Movimientos!$M$2:$M$1993,MATCH(A728&amp;"ENTRADA",Movimientos!$R$2:$R$1993,0))),"S/D")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3035</v>
      </c>
      <c r="B729" s="2" t="str">
        <f>IFERROR(INDEX(Movimientos!$C$2:$C$1993,MATCH(A729&amp;"ENTRADA",Movimientos!$R$2:$R$1993,0)),"-")</f>
        <v>-</v>
      </c>
      <c r="C729" s="2" t="str">
        <f>IFERROR(INDEX(Movimientos!$D$2:$D$1993,MATCH(A729&amp;"ENTRADA",Movimientos!$R$2:$R$1993,0)),"-")</f>
        <v>-</v>
      </c>
      <c r="D729" s="2" t="str">
        <f>IFERROR(INDEX(Movimientos!$E$2:$E$1993,MATCH(A729&amp;"ENTRADA",Movimientos!$R$2:$R$1993,0)),"-")</f>
        <v>-</v>
      </c>
      <c r="E729" s="2" t="str">
        <f>IFERROR(INDEX(Movimientos!$F$2:$F$1993,MATCH(A729&amp;"ENTRADA",Movimientos!$R$2:$R$1993,0)),"-")</f>
        <v>-</v>
      </c>
      <c r="F729" s="2" t="str">
        <f>IFERROR(INDEX(Movimientos!$G$2:$G$1993,MATCH(A729&amp;"ENTRADA",Movimientos!$R$2:$R$1993,0)),"-")</f>
        <v>-</v>
      </c>
      <c r="G729" s="2" t="str">
        <f>IFERROR(INDEX(Movimientos!$L$2:$L$1993,MATCH(A729&amp;"ENTRADA",Movimientos!$R$2:$R$1993,0)),"-")</f>
        <v>-</v>
      </c>
      <c r="H729" s="17" t="str">
        <f>IFERROR(IF(INDEX(Movimientos!$M$2:$M$1993,MATCH(A729&amp;"ENTRADA",Movimientos!$R$2:$R$1993,0))=0,"S/D",INDEX(Movimientos!$M$2:$M$1993,MATCH(A729&amp;"ENTRADA",Movimientos!$R$2:$R$1993,0))),"S/D")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3036</v>
      </c>
      <c r="B730" s="2" t="str">
        <f>IFERROR(INDEX(Movimientos!$C$2:$C$1993,MATCH(A730&amp;"ENTRADA",Movimientos!$R$2:$R$1993,0)),"-")</f>
        <v>-</v>
      </c>
      <c r="C730" s="2" t="str">
        <f>IFERROR(INDEX(Movimientos!$D$2:$D$1993,MATCH(A730&amp;"ENTRADA",Movimientos!$R$2:$R$1993,0)),"-")</f>
        <v>-</v>
      </c>
      <c r="D730" s="2" t="str">
        <f>IFERROR(INDEX(Movimientos!$E$2:$E$1993,MATCH(A730&amp;"ENTRADA",Movimientos!$R$2:$R$1993,0)),"-")</f>
        <v>-</v>
      </c>
      <c r="E730" s="2" t="str">
        <f>IFERROR(INDEX(Movimientos!$F$2:$F$1993,MATCH(A730&amp;"ENTRADA",Movimientos!$R$2:$R$1993,0)),"-")</f>
        <v>-</v>
      </c>
      <c r="F730" s="2" t="str">
        <f>IFERROR(INDEX(Movimientos!$G$2:$G$1993,MATCH(A730&amp;"ENTRADA",Movimientos!$R$2:$R$1993,0)),"-")</f>
        <v>-</v>
      </c>
      <c r="G730" s="2" t="str">
        <f>IFERROR(INDEX(Movimientos!$L$2:$L$1993,MATCH(A730&amp;"ENTRADA",Movimientos!$R$2:$R$1993,0)),"-")</f>
        <v>-</v>
      </c>
      <c r="H730" s="17" t="str">
        <f>IFERROR(IF(INDEX(Movimientos!$M$2:$M$1993,MATCH(A730&amp;"ENTRADA",Movimientos!$R$2:$R$1993,0))=0,"S/D",INDEX(Movimientos!$M$2:$M$1993,MATCH(A730&amp;"ENTRADA",Movimientos!$R$2:$R$1993,0))),"S/D")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3037</v>
      </c>
      <c r="B731" s="2" t="str">
        <f>IFERROR(INDEX(Movimientos!$C$2:$C$1993,MATCH(A731&amp;"ENTRADA",Movimientos!$R$2:$R$1993,0)),"-")</f>
        <v>-</v>
      </c>
      <c r="C731" s="2" t="str">
        <f>IFERROR(INDEX(Movimientos!$D$2:$D$1993,MATCH(A731&amp;"ENTRADA",Movimientos!$R$2:$R$1993,0)),"-")</f>
        <v>-</v>
      </c>
      <c r="D731" s="2" t="str">
        <f>IFERROR(INDEX(Movimientos!$E$2:$E$1993,MATCH(A731&amp;"ENTRADA",Movimientos!$R$2:$R$1993,0)),"-")</f>
        <v>-</v>
      </c>
      <c r="E731" s="2" t="str">
        <f>IFERROR(INDEX(Movimientos!$F$2:$F$1993,MATCH(A731&amp;"ENTRADA",Movimientos!$R$2:$R$1993,0)),"-")</f>
        <v>-</v>
      </c>
      <c r="F731" s="2" t="str">
        <f>IFERROR(INDEX(Movimientos!$G$2:$G$1993,MATCH(A731&amp;"ENTRADA",Movimientos!$R$2:$R$1993,0)),"-")</f>
        <v>-</v>
      </c>
      <c r="G731" s="2" t="str">
        <f>IFERROR(INDEX(Movimientos!$L$2:$L$1993,MATCH(A731&amp;"ENTRADA",Movimientos!$R$2:$R$1993,0)),"-")</f>
        <v>-</v>
      </c>
      <c r="H731" s="17" t="str">
        <f>IFERROR(IF(INDEX(Movimientos!$M$2:$M$1993,MATCH(A731&amp;"ENTRADA",Movimientos!$R$2:$R$1993,0))=0,"S/D",INDEX(Movimientos!$M$2:$M$1993,MATCH(A731&amp;"ENTRADA",Movimientos!$R$2:$R$1993,0))),"S/D")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3038</v>
      </c>
      <c r="B732" s="2" t="str">
        <f>IFERROR(INDEX(Movimientos!$C$2:$C$1993,MATCH(A732&amp;"ENTRADA",Movimientos!$R$2:$R$1993,0)),"-")</f>
        <v>-</v>
      </c>
      <c r="C732" s="2" t="str">
        <f>IFERROR(INDEX(Movimientos!$D$2:$D$1993,MATCH(A732&amp;"ENTRADA",Movimientos!$R$2:$R$1993,0)),"-")</f>
        <v>-</v>
      </c>
      <c r="D732" s="2" t="str">
        <f>IFERROR(INDEX(Movimientos!$E$2:$E$1993,MATCH(A732&amp;"ENTRADA",Movimientos!$R$2:$R$1993,0)),"-")</f>
        <v>-</v>
      </c>
      <c r="E732" s="2" t="str">
        <f>IFERROR(INDEX(Movimientos!$F$2:$F$1993,MATCH(A732&amp;"ENTRADA",Movimientos!$R$2:$R$1993,0)),"-")</f>
        <v>-</v>
      </c>
      <c r="F732" s="2" t="str">
        <f>IFERROR(INDEX(Movimientos!$G$2:$G$1993,MATCH(A732&amp;"ENTRADA",Movimientos!$R$2:$R$1993,0)),"-")</f>
        <v>-</v>
      </c>
      <c r="G732" s="2" t="str">
        <f>IFERROR(INDEX(Movimientos!$L$2:$L$1993,MATCH(A732&amp;"ENTRADA",Movimientos!$R$2:$R$1993,0)),"-")</f>
        <v>-</v>
      </c>
      <c r="H732" s="17" t="str">
        <f>IFERROR(IF(INDEX(Movimientos!$M$2:$M$1993,MATCH(A732&amp;"ENTRADA",Movimientos!$R$2:$R$1993,0))=0,"S/D",INDEX(Movimientos!$M$2:$M$1993,MATCH(A732&amp;"ENTRADA",Movimientos!$R$2:$R$1993,0))),"S/D")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3039</v>
      </c>
      <c r="B733" s="2" t="str">
        <f>IFERROR(INDEX(Movimientos!$C$2:$C$1993,MATCH(A733&amp;"ENTRADA",Movimientos!$R$2:$R$1993,0)),"-")</f>
        <v>-</v>
      </c>
      <c r="C733" s="2" t="str">
        <f>IFERROR(INDEX(Movimientos!$D$2:$D$1993,MATCH(A733&amp;"ENTRADA",Movimientos!$R$2:$R$1993,0)),"-")</f>
        <v>-</v>
      </c>
      <c r="D733" s="2" t="str">
        <f>IFERROR(INDEX(Movimientos!$E$2:$E$1993,MATCH(A733&amp;"ENTRADA",Movimientos!$R$2:$R$1993,0)),"-")</f>
        <v>-</v>
      </c>
      <c r="E733" s="2" t="str">
        <f>IFERROR(INDEX(Movimientos!$F$2:$F$1993,MATCH(A733&amp;"ENTRADA",Movimientos!$R$2:$R$1993,0)),"-")</f>
        <v>-</v>
      </c>
      <c r="F733" s="2" t="str">
        <f>IFERROR(INDEX(Movimientos!$G$2:$G$1993,MATCH(A733&amp;"ENTRADA",Movimientos!$R$2:$R$1993,0)),"-")</f>
        <v>-</v>
      </c>
      <c r="G733" s="2" t="str">
        <f>IFERROR(INDEX(Movimientos!$L$2:$L$1993,MATCH(A733&amp;"ENTRADA",Movimientos!$R$2:$R$1993,0)),"-")</f>
        <v>-</v>
      </c>
      <c r="H733" s="17" t="str">
        <f>IFERROR(IF(INDEX(Movimientos!$M$2:$M$1993,MATCH(A733&amp;"ENTRADA",Movimientos!$R$2:$R$1993,0))=0,"S/D",INDEX(Movimientos!$M$2:$M$1993,MATCH(A733&amp;"ENTRADA",Movimientos!$R$2:$R$1993,0))),"S/D")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3040</v>
      </c>
      <c r="B734" s="2" t="str">
        <f>IFERROR(INDEX(Movimientos!$C$2:$C$1993,MATCH(A734&amp;"ENTRADA",Movimientos!$R$2:$R$1993,0)),"-")</f>
        <v>-</v>
      </c>
      <c r="C734" s="2" t="str">
        <f>IFERROR(INDEX(Movimientos!$D$2:$D$1993,MATCH(A734&amp;"ENTRADA",Movimientos!$R$2:$R$1993,0)),"-")</f>
        <v>-</v>
      </c>
      <c r="D734" s="2" t="str">
        <f>IFERROR(INDEX(Movimientos!$E$2:$E$1993,MATCH(A734&amp;"ENTRADA",Movimientos!$R$2:$R$1993,0)),"-")</f>
        <v>-</v>
      </c>
      <c r="E734" s="2" t="str">
        <f>IFERROR(INDEX(Movimientos!$F$2:$F$1993,MATCH(A734&amp;"ENTRADA",Movimientos!$R$2:$R$1993,0)),"-")</f>
        <v>-</v>
      </c>
      <c r="F734" s="2" t="str">
        <f>IFERROR(INDEX(Movimientos!$G$2:$G$1993,MATCH(A734&amp;"ENTRADA",Movimientos!$R$2:$R$1993,0)),"-")</f>
        <v>-</v>
      </c>
      <c r="G734" s="2" t="str">
        <f>IFERROR(INDEX(Movimientos!$L$2:$L$1993,MATCH(A734&amp;"ENTRADA",Movimientos!$R$2:$R$1993,0)),"-")</f>
        <v>-</v>
      </c>
      <c r="H734" s="17" t="str">
        <f>IFERROR(IF(INDEX(Movimientos!$M$2:$M$1993,MATCH(A734&amp;"ENTRADA",Movimientos!$R$2:$R$1993,0))=0,"S/D",INDEX(Movimientos!$M$2:$M$1993,MATCH(A734&amp;"ENTRADA",Movimientos!$R$2:$R$1993,0))),"S/D")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3041</v>
      </c>
      <c r="B735" s="2" t="str">
        <f>IFERROR(INDEX(Movimientos!$C$2:$C$1993,MATCH(A735&amp;"ENTRADA",Movimientos!$R$2:$R$1993,0)),"-")</f>
        <v>-</v>
      </c>
      <c r="C735" s="2" t="str">
        <f>IFERROR(INDEX(Movimientos!$D$2:$D$1993,MATCH(A735&amp;"ENTRADA",Movimientos!$R$2:$R$1993,0)),"-")</f>
        <v>-</v>
      </c>
      <c r="D735" s="2" t="str">
        <f>IFERROR(INDEX(Movimientos!$E$2:$E$1993,MATCH(A735&amp;"ENTRADA",Movimientos!$R$2:$R$1993,0)),"-")</f>
        <v>-</v>
      </c>
      <c r="E735" s="2" t="str">
        <f>IFERROR(INDEX(Movimientos!$F$2:$F$1993,MATCH(A735&amp;"ENTRADA",Movimientos!$R$2:$R$1993,0)),"-")</f>
        <v>-</v>
      </c>
      <c r="F735" s="2" t="str">
        <f>IFERROR(INDEX(Movimientos!$G$2:$G$1993,MATCH(A735&amp;"ENTRADA",Movimientos!$R$2:$R$1993,0)),"-")</f>
        <v>-</v>
      </c>
      <c r="G735" s="2" t="str">
        <f>IFERROR(INDEX(Movimientos!$L$2:$L$1993,MATCH(A735&amp;"ENTRADA",Movimientos!$R$2:$R$1993,0)),"-")</f>
        <v>-</v>
      </c>
      <c r="H735" s="17" t="str">
        <f>IFERROR(IF(INDEX(Movimientos!$M$2:$M$1993,MATCH(A735&amp;"ENTRADA",Movimientos!$R$2:$R$1993,0))=0,"S/D",INDEX(Movimientos!$M$2:$M$1993,MATCH(A735&amp;"ENTRADA",Movimientos!$R$2:$R$1993,0))),"S/D")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3042</v>
      </c>
      <c r="B736" s="2" t="str">
        <f>IFERROR(INDEX(Movimientos!$C$2:$C$1993,MATCH(A736&amp;"ENTRADA",Movimientos!$R$2:$R$1993,0)),"-")</f>
        <v>-</v>
      </c>
      <c r="C736" s="2" t="str">
        <f>IFERROR(INDEX(Movimientos!$D$2:$D$1993,MATCH(A736&amp;"ENTRADA",Movimientos!$R$2:$R$1993,0)),"-")</f>
        <v>-</v>
      </c>
      <c r="D736" s="2" t="str">
        <f>IFERROR(INDEX(Movimientos!$E$2:$E$1993,MATCH(A736&amp;"ENTRADA",Movimientos!$R$2:$R$1993,0)),"-")</f>
        <v>-</v>
      </c>
      <c r="E736" s="2" t="str">
        <f>IFERROR(INDEX(Movimientos!$F$2:$F$1993,MATCH(A736&amp;"ENTRADA",Movimientos!$R$2:$R$1993,0)),"-")</f>
        <v>-</v>
      </c>
      <c r="F736" s="2" t="str">
        <f>IFERROR(INDEX(Movimientos!$G$2:$G$1993,MATCH(A736&amp;"ENTRADA",Movimientos!$R$2:$R$1993,0)),"-")</f>
        <v>-</v>
      </c>
      <c r="G736" s="2" t="str">
        <f>IFERROR(INDEX(Movimientos!$L$2:$L$1993,MATCH(A736&amp;"ENTRADA",Movimientos!$R$2:$R$1993,0)),"-")</f>
        <v>-</v>
      </c>
      <c r="H736" s="17" t="str">
        <f>IFERROR(IF(INDEX(Movimientos!$M$2:$M$1993,MATCH(A736&amp;"ENTRADA",Movimientos!$R$2:$R$1993,0))=0,"S/D",INDEX(Movimientos!$M$2:$M$1993,MATCH(A736&amp;"ENTRADA",Movimientos!$R$2:$R$1993,0))),"S/D")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3043</v>
      </c>
      <c r="B737" s="2" t="str">
        <f>IFERROR(INDEX(Movimientos!$C$2:$C$1993,MATCH(A737&amp;"ENTRADA",Movimientos!$R$2:$R$1993,0)),"-")</f>
        <v>-</v>
      </c>
      <c r="C737" s="2" t="str">
        <f>IFERROR(INDEX(Movimientos!$D$2:$D$1993,MATCH(A737&amp;"ENTRADA",Movimientos!$R$2:$R$1993,0)),"-")</f>
        <v>-</v>
      </c>
      <c r="D737" s="2" t="str">
        <f>IFERROR(INDEX(Movimientos!$E$2:$E$1993,MATCH(A737&amp;"ENTRADA",Movimientos!$R$2:$R$1993,0)),"-")</f>
        <v>-</v>
      </c>
      <c r="E737" s="2" t="str">
        <f>IFERROR(INDEX(Movimientos!$F$2:$F$1993,MATCH(A737&amp;"ENTRADA",Movimientos!$R$2:$R$1993,0)),"-")</f>
        <v>-</v>
      </c>
      <c r="F737" s="2" t="str">
        <f>IFERROR(INDEX(Movimientos!$G$2:$G$1993,MATCH(A737&amp;"ENTRADA",Movimientos!$R$2:$R$1993,0)),"-")</f>
        <v>-</v>
      </c>
      <c r="G737" s="2" t="str">
        <f>IFERROR(INDEX(Movimientos!$L$2:$L$1993,MATCH(A737&amp;"ENTRADA",Movimientos!$R$2:$R$1993,0)),"-")</f>
        <v>-</v>
      </c>
      <c r="H737" s="17" t="str">
        <f>IFERROR(IF(INDEX(Movimientos!$M$2:$M$1993,MATCH(A737&amp;"ENTRADA",Movimientos!$R$2:$R$1993,0))=0,"S/D",INDEX(Movimientos!$M$2:$M$1993,MATCH(A737&amp;"ENTRADA",Movimientos!$R$2:$R$1993,0))),"S/D")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3044</v>
      </c>
      <c r="B738" s="2" t="str">
        <f>IFERROR(INDEX(Movimientos!$C$2:$C$1993,MATCH(A738&amp;"ENTRADA",Movimientos!$R$2:$R$1993,0)),"-")</f>
        <v>-</v>
      </c>
      <c r="C738" s="2" t="str">
        <f>IFERROR(INDEX(Movimientos!$D$2:$D$1993,MATCH(A738&amp;"ENTRADA",Movimientos!$R$2:$R$1993,0)),"-")</f>
        <v>-</v>
      </c>
      <c r="D738" s="2" t="str">
        <f>IFERROR(INDEX(Movimientos!$E$2:$E$1993,MATCH(A738&amp;"ENTRADA",Movimientos!$R$2:$R$1993,0)),"-")</f>
        <v>-</v>
      </c>
      <c r="E738" s="2" t="str">
        <f>IFERROR(INDEX(Movimientos!$F$2:$F$1993,MATCH(A738&amp;"ENTRADA",Movimientos!$R$2:$R$1993,0)),"-")</f>
        <v>-</v>
      </c>
      <c r="F738" s="2" t="str">
        <f>IFERROR(INDEX(Movimientos!$G$2:$G$1993,MATCH(A738&amp;"ENTRADA",Movimientos!$R$2:$R$1993,0)),"-")</f>
        <v>-</v>
      </c>
      <c r="G738" s="2" t="str">
        <f>IFERROR(INDEX(Movimientos!$L$2:$L$1993,MATCH(A738&amp;"ENTRADA",Movimientos!$R$2:$R$1993,0)),"-")</f>
        <v>-</v>
      </c>
      <c r="H738" s="17" t="str">
        <f>IFERROR(IF(INDEX(Movimientos!$M$2:$M$1993,MATCH(A738&amp;"ENTRADA",Movimientos!$R$2:$R$1993,0))=0,"S/D",INDEX(Movimientos!$M$2:$M$1993,MATCH(A738&amp;"ENTRADA",Movimientos!$R$2:$R$1993,0))),"S/D")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3045</v>
      </c>
      <c r="B739" s="2" t="str">
        <f>IFERROR(INDEX(Movimientos!$C$2:$C$1993,MATCH(A739&amp;"ENTRADA",Movimientos!$R$2:$R$1993,0)),"-")</f>
        <v>-</v>
      </c>
      <c r="C739" s="2" t="str">
        <f>IFERROR(INDEX(Movimientos!$D$2:$D$1993,MATCH(A739&amp;"ENTRADA",Movimientos!$R$2:$R$1993,0)),"-")</f>
        <v>-</v>
      </c>
      <c r="D739" s="2" t="str">
        <f>IFERROR(INDEX(Movimientos!$E$2:$E$1993,MATCH(A739&amp;"ENTRADA",Movimientos!$R$2:$R$1993,0)),"-")</f>
        <v>-</v>
      </c>
      <c r="E739" s="2" t="str">
        <f>IFERROR(INDEX(Movimientos!$F$2:$F$1993,MATCH(A739&amp;"ENTRADA",Movimientos!$R$2:$R$1993,0)),"-")</f>
        <v>-</v>
      </c>
      <c r="F739" s="2" t="str">
        <f>IFERROR(INDEX(Movimientos!$G$2:$G$1993,MATCH(A739&amp;"ENTRADA",Movimientos!$R$2:$R$1993,0)),"-")</f>
        <v>-</v>
      </c>
      <c r="G739" s="2" t="str">
        <f>IFERROR(INDEX(Movimientos!$L$2:$L$1993,MATCH(A739&amp;"ENTRADA",Movimientos!$R$2:$R$1993,0)),"-")</f>
        <v>-</v>
      </c>
      <c r="H739" s="17" t="str">
        <f>IFERROR(IF(INDEX(Movimientos!$M$2:$M$1993,MATCH(A739&amp;"ENTRADA",Movimientos!$R$2:$R$1993,0))=0,"S/D",INDEX(Movimientos!$M$2:$M$1993,MATCH(A739&amp;"ENTRADA",Movimientos!$R$2:$R$1993,0))),"S/D")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3046</v>
      </c>
      <c r="B740" s="2" t="str">
        <f>IFERROR(INDEX(Movimientos!$C$2:$C$1993,MATCH(A740&amp;"ENTRADA",Movimientos!$R$2:$R$1993,0)),"-")</f>
        <v>-</v>
      </c>
      <c r="C740" s="2" t="str">
        <f>IFERROR(INDEX(Movimientos!$D$2:$D$1993,MATCH(A740&amp;"ENTRADA",Movimientos!$R$2:$R$1993,0)),"-")</f>
        <v>-</v>
      </c>
      <c r="D740" s="2" t="str">
        <f>IFERROR(INDEX(Movimientos!$E$2:$E$1993,MATCH(A740&amp;"ENTRADA",Movimientos!$R$2:$R$1993,0)),"-")</f>
        <v>-</v>
      </c>
      <c r="E740" s="2" t="str">
        <f>IFERROR(INDEX(Movimientos!$F$2:$F$1993,MATCH(A740&amp;"ENTRADA",Movimientos!$R$2:$R$1993,0)),"-")</f>
        <v>-</v>
      </c>
      <c r="F740" s="2" t="str">
        <f>IFERROR(INDEX(Movimientos!$G$2:$G$1993,MATCH(A740&amp;"ENTRADA",Movimientos!$R$2:$R$1993,0)),"-")</f>
        <v>-</v>
      </c>
      <c r="G740" s="2" t="str">
        <f>IFERROR(INDEX(Movimientos!$L$2:$L$1993,MATCH(A740&amp;"ENTRADA",Movimientos!$R$2:$R$1993,0)),"-")</f>
        <v>-</v>
      </c>
      <c r="H740" s="17" t="str">
        <f>IFERROR(IF(INDEX(Movimientos!$M$2:$M$1993,MATCH(A740&amp;"ENTRADA",Movimientos!$R$2:$R$1993,0))=0,"S/D",INDEX(Movimientos!$M$2:$M$1993,MATCH(A740&amp;"ENTRADA",Movimientos!$R$2:$R$1993,0))),"S/D")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3047</v>
      </c>
      <c r="B741" s="2" t="str">
        <f>IFERROR(INDEX(Movimientos!$C$2:$C$1993,MATCH(A741&amp;"ENTRADA",Movimientos!$R$2:$R$1993,0)),"-")</f>
        <v>-</v>
      </c>
      <c r="C741" s="2" t="str">
        <f>IFERROR(INDEX(Movimientos!$D$2:$D$1993,MATCH(A741&amp;"ENTRADA",Movimientos!$R$2:$R$1993,0)),"-")</f>
        <v>-</v>
      </c>
      <c r="D741" s="2" t="str">
        <f>IFERROR(INDEX(Movimientos!$E$2:$E$1993,MATCH(A741&amp;"ENTRADA",Movimientos!$R$2:$R$1993,0)),"-")</f>
        <v>-</v>
      </c>
      <c r="E741" s="2" t="str">
        <f>IFERROR(INDEX(Movimientos!$F$2:$F$1993,MATCH(A741&amp;"ENTRADA",Movimientos!$R$2:$R$1993,0)),"-")</f>
        <v>-</v>
      </c>
      <c r="F741" s="2" t="str">
        <f>IFERROR(INDEX(Movimientos!$G$2:$G$1993,MATCH(A741&amp;"ENTRADA",Movimientos!$R$2:$R$1993,0)),"-")</f>
        <v>-</v>
      </c>
      <c r="G741" s="2" t="str">
        <f>IFERROR(INDEX(Movimientos!$L$2:$L$1993,MATCH(A741&amp;"ENTRADA",Movimientos!$R$2:$R$1993,0)),"-")</f>
        <v>-</v>
      </c>
      <c r="H741" s="17" t="str">
        <f>IFERROR(IF(INDEX(Movimientos!$M$2:$M$1993,MATCH(A741&amp;"ENTRADA",Movimientos!$R$2:$R$1993,0))=0,"S/D",INDEX(Movimientos!$M$2:$M$1993,MATCH(A741&amp;"ENTRADA",Movimientos!$R$2:$R$1993,0))),"S/D")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3048</v>
      </c>
      <c r="B742" s="2" t="str">
        <f>IFERROR(INDEX(Movimientos!$C$2:$C$1993,MATCH(A742&amp;"ENTRADA",Movimientos!$R$2:$R$1993,0)),"-")</f>
        <v>-</v>
      </c>
      <c r="C742" s="2" t="str">
        <f>IFERROR(INDEX(Movimientos!$D$2:$D$1993,MATCH(A742&amp;"ENTRADA",Movimientos!$R$2:$R$1993,0)),"-")</f>
        <v>-</v>
      </c>
      <c r="D742" s="2" t="str">
        <f>IFERROR(INDEX(Movimientos!$E$2:$E$1993,MATCH(A742&amp;"ENTRADA",Movimientos!$R$2:$R$1993,0)),"-")</f>
        <v>-</v>
      </c>
      <c r="E742" s="2" t="str">
        <f>IFERROR(INDEX(Movimientos!$F$2:$F$1993,MATCH(A742&amp;"ENTRADA",Movimientos!$R$2:$R$1993,0)),"-")</f>
        <v>-</v>
      </c>
      <c r="F742" s="2" t="str">
        <f>IFERROR(INDEX(Movimientos!$G$2:$G$1993,MATCH(A742&amp;"ENTRADA",Movimientos!$R$2:$R$1993,0)),"-")</f>
        <v>-</v>
      </c>
      <c r="G742" s="2" t="str">
        <f>IFERROR(INDEX(Movimientos!$L$2:$L$1993,MATCH(A742&amp;"ENTRADA",Movimientos!$R$2:$R$1993,0)),"-")</f>
        <v>-</v>
      </c>
      <c r="H742" s="17" t="str">
        <f>IFERROR(IF(INDEX(Movimientos!$M$2:$M$1993,MATCH(A742&amp;"ENTRADA",Movimientos!$R$2:$R$1993,0))=0,"S/D",INDEX(Movimientos!$M$2:$M$1993,MATCH(A742&amp;"ENTRADA",Movimientos!$R$2:$R$1993,0))),"S/D")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3049</v>
      </c>
      <c r="B743" s="2" t="str">
        <f>IFERROR(INDEX(Movimientos!$C$2:$C$1993,MATCH(A743&amp;"ENTRADA",Movimientos!$R$2:$R$1993,0)),"-")</f>
        <v>-</v>
      </c>
      <c r="C743" s="2" t="str">
        <f>IFERROR(INDEX(Movimientos!$D$2:$D$1993,MATCH(A743&amp;"ENTRADA",Movimientos!$R$2:$R$1993,0)),"-")</f>
        <v>-</v>
      </c>
      <c r="D743" s="2" t="str">
        <f>IFERROR(INDEX(Movimientos!$E$2:$E$1993,MATCH(A743&amp;"ENTRADA",Movimientos!$R$2:$R$1993,0)),"-")</f>
        <v>-</v>
      </c>
      <c r="E743" s="2" t="str">
        <f>IFERROR(INDEX(Movimientos!$F$2:$F$1993,MATCH(A743&amp;"ENTRADA",Movimientos!$R$2:$R$1993,0)),"-")</f>
        <v>-</v>
      </c>
      <c r="F743" s="2" t="str">
        <f>IFERROR(INDEX(Movimientos!$G$2:$G$1993,MATCH(A743&amp;"ENTRADA",Movimientos!$R$2:$R$1993,0)),"-")</f>
        <v>-</v>
      </c>
      <c r="G743" s="2" t="str">
        <f>IFERROR(INDEX(Movimientos!$L$2:$L$1993,MATCH(A743&amp;"ENTRADA",Movimientos!$R$2:$R$1993,0)),"-")</f>
        <v>-</v>
      </c>
      <c r="H743" s="17" t="str">
        <f>IFERROR(IF(INDEX(Movimientos!$M$2:$M$1993,MATCH(A743&amp;"ENTRADA",Movimientos!$R$2:$R$1993,0))=0,"S/D",INDEX(Movimientos!$M$2:$M$1993,MATCH(A743&amp;"ENTRADA",Movimientos!$R$2:$R$1993,0))),"S/D")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3050</v>
      </c>
      <c r="B744" s="2" t="str">
        <f>IFERROR(INDEX(Movimientos!$C$2:$C$1993,MATCH(A744&amp;"ENTRADA",Movimientos!$R$2:$R$1993,0)),"-")</f>
        <v>-</v>
      </c>
      <c r="C744" s="2" t="str">
        <f>IFERROR(INDEX(Movimientos!$D$2:$D$1993,MATCH(A744&amp;"ENTRADA",Movimientos!$R$2:$R$1993,0)),"-")</f>
        <v>-</v>
      </c>
      <c r="D744" s="2" t="str">
        <f>IFERROR(INDEX(Movimientos!$E$2:$E$1993,MATCH(A744&amp;"ENTRADA",Movimientos!$R$2:$R$1993,0)),"-")</f>
        <v>-</v>
      </c>
      <c r="E744" s="2" t="str">
        <f>IFERROR(INDEX(Movimientos!$F$2:$F$1993,MATCH(A744&amp;"ENTRADA",Movimientos!$R$2:$R$1993,0)),"-")</f>
        <v>-</v>
      </c>
      <c r="F744" s="2" t="str">
        <f>IFERROR(INDEX(Movimientos!$G$2:$G$1993,MATCH(A744&amp;"ENTRADA",Movimientos!$R$2:$R$1993,0)),"-")</f>
        <v>-</v>
      </c>
      <c r="G744" s="2" t="str">
        <f>IFERROR(INDEX(Movimientos!$L$2:$L$1993,MATCH(A744&amp;"ENTRADA",Movimientos!$R$2:$R$1993,0)),"-")</f>
        <v>-</v>
      </c>
      <c r="H744" s="17" t="str">
        <f>IFERROR(IF(INDEX(Movimientos!$M$2:$M$1993,MATCH(A744&amp;"ENTRADA",Movimientos!$R$2:$R$1993,0))=0,"S/D",INDEX(Movimientos!$M$2:$M$1993,MATCH(A744&amp;"ENTRADA",Movimientos!$R$2:$R$1993,0))),"S/D")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3051</v>
      </c>
      <c r="B745" s="2" t="str">
        <f>IFERROR(INDEX(Movimientos!$C$2:$C$1993,MATCH(A745&amp;"ENTRADA",Movimientos!$R$2:$R$1993,0)),"-")</f>
        <v>-</v>
      </c>
      <c r="C745" s="2" t="str">
        <f>IFERROR(INDEX(Movimientos!$D$2:$D$1993,MATCH(A745&amp;"ENTRADA",Movimientos!$R$2:$R$1993,0)),"-")</f>
        <v>-</v>
      </c>
      <c r="D745" s="2" t="str">
        <f>IFERROR(INDEX(Movimientos!$E$2:$E$1993,MATCH(A745&amp;"ENTRADA",Movimientos!$R$2:$R$1993,0)),"-")</f>
        <v>-</v>
      </c>
      <c r="E745" s="2" t="str">
        <f>IFERROR(INDEX(Movimientos!$F$2:$F$1993,MATCH(A745&amp;"ENTRADA",Movimientos!$R$2:$R$1993,0)),"-")</f>
        <v>-</v>
      </c>
      <c r="F745" s="2" t="str">
        <f>IFERROR(INDEX(Movimientos!$G$2:$G$1993,MATCH(A745&amp;"ENTRADA",Movimientos!$R$2:$R$1993,0)),"-")</f>
        <v>-</v>
      </c>
      <c r="G745" s="2" t="str">
        <f>IFERROR(INDEX(Movimientos!$L$2:$L$1993,MATCH(A745&amp;"ENTRADA",Movimientos!$R$2:$R$1993,0)),"-")</f>
        <v>-</v>
      </c>
      <c r="H745" s="17" t="str">
        <f>IFERROR(IF(INDEX(Movimientos!$M$2:$M$1993,MATCH(A745&amp;"ENTRADA",Movimientos!$R$2:$R$1993,0))=0,"S/D",INDEX(Movimientos!$M$2:$M$1993,MATCH(A745&amp;"ENTRADA",Movimientos!$R$2:$R$1993,0))),"S/D")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3052</v>
      </c>
      <c r="B746" s="2" t="str">
        <f>IFERROR(INDEX(Movimientos!$C$2:$C$1993,MATCH(A746&amp;"ENTRADA",Movimientos!$R$2:$R$1993,0)),"-")</f>
        <v>-</v>
      </c>
      <c r="C746" s="2" t="str">
        <f>IFERROR(INDEX(Movimientos!$D$2:$D$1993,MATCH(A746&amp;"ENTRADA",Movimientos!$R$2:$R$1993,0)),"-")</f>
        <v>-</v>
      </c>
      <c r="D746" s="2" t="str">
        <f>IFERROR(INDEX(Movimientos!$E$2:$E$1993,MATCH(A746&amp;"ENTRADA",Movimientos!$R$2:$R$1993,0)),"-")</f>
        <v>-</v>
      </c>
      <c r="E746" s="2" t="str">
        <f>IFERROR(INDEX(Movimientos!$F$2:$F$1993,MATCH(A746&amp;"ENTRADA",Movimientos!$R$2:$R$1993,0)),"-")</f>
        <v>-</v>
      </c>
      <c r="F746" s="2" t="str">
        <f>IFERROR(INDEX(Movimientos!$G$2:$G$1993,MATCH(A746&amp;"ENTRADA",Movimientos!$R$2:$R$1993,0)),"-")</f>
        <v>-</v>
      </c>
      <c r="G746" s="2" t="str">
        <f>IFERROR(INDEX(Movimientos!$L$2:$L$1993,MATCH(A746&amp;"ENTRADA",Movimientos!$R$2:$R$1993,0)),"-")</f>
        <v>-</v>
      </c>
      <c r="H746" s="17" t="str">
        <f>IFERROR(IF(INDEX(Movimientos!$M$2:$M$1993,MATCH(A746&amp;"ENTRADA",Movimientos!$R$2:$R$1993,0))=0,"S/D",INDEX(Movimientos!$M$2:$M$1993,MATCH(A746&amp;"ENTRADA",Movimientos!$R$2:$R$1993,0))),"S/D")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3053</v>
      </c>
      <c r="B747" s="2" t="str">
        <f>IFERROR(INDEX(Movimientos!$C$2:$C$1993,MATCH(A747&amp;"ENTRADA",Movimientos!$R$2:$R$1993,0)),"-")</f>
        <v>-</v>
      </c>
      <c r="C747" s="2" t="str">
        <f>IFERROR(INDEX(Movimientos!$D$2:$D$1993,MATCH(A747&amp;"ENTRADA",Movimientos!$R$2:$R$1993,0)),"-")</f>
        <v>-</v>
      </c>
      <c r="D747" s="2" t="str">
        <f>IFERROR(INDEX(Movimientos!$E$2:$E$1993,MATCH(A747&amp;"ENTRADA",Movimientos!$R$2:$R$1993,0)),"-")</f>
        <v>-</v>
      </c>
      <c r="E747" s="2" t="str">
        <f>IFERROR(INDEX(Movimientos!$F$2:$F$1993,MATCH(A747&amp;"ENTRADA",Movimientos!$R$2:$R$1993,0)),"-")</f>
        <v>-</v>
      </c>
      <c r="F747" s="2" t="str">
        <f>IFERROR(INDEX(Movimientos!$G$2:$G$1993,MATCH(A747&amp;"ENTRADA",Movimientos!$R$2:$R$1993,0)),"-")</f>
        <v>-</v>
      </c>
      <c r="G747" s="2" t="str">
        <f>IFERROR(INDEX(Movimientos!$L$2:$L$1993,MATCH(A747&amp;"ENTRADA",Movimientos!$R$2:$R$1993,0)),"-")</f>
        <v>-</v>
      </c>
      <c r="H747" s="17" t="str">
        <f>IFERROR(IF(INDEX(Movimientos!$M$2:$M$1993,MATCH(A747&amp;"ENTRADA",Movimientos!$R$2:$R$1993,0))=0,"S/D",INDEX(Movimientos!$M$2:$M$1993,MATCH(A747&amp;"ENTRADA",Movimientos!$R$2:$R$1993,0))),"S/D")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3054</v>
      </c>
      <c r="B748" s="2" t="str">
        <f>IFERROR(INDEX(Movimientos!$C$2:$C$1993,MATCH(A748&amp;"ENTRADA",Movimientos!$R$2:$R$1993,0)),"-")</f>
        <v>-</v>
      </c>
      <c r="C748" s="2" t="str">
        <f>IFERROR(INDEX(Movimientos!$D$2:$D$1993,MATCH(A748&amp;"ENTRADA",Movimientos!$R$2:$R$1993,0)),"-")</f>
        <v>-</v>
      </c>
      <c r="D748" s="2" t="str">
        <f>IFERROR(INDEX(Movimientos!$E$2:$E$1993,MATCH(A748&amp;"ENTRADA",Movimientos!$R$2:$R$1993,0)),"-")</f>
        <v>-</v>
      </c>
      <c r="E748" s="2" t="str">
        <f>IFERROR(INDEX(Movimientos!$F$2:$F$1993,MATCH(A748&amp;"ENTRADA",Movimientos!$R$2:$R$1993,0)),"-")</f>
        <v>-</v>
      </c>
      <c r="F748" s="2" t="str">
        <f>IFERROR(INDEX(Movimientos!$G$2:$G$1993,MATCH(A748&amp;"ENTRADA",Movimientos!$R$2:$R$1993,0)),"-")</f>
        <v>-</v>
      </c>
      <c r="G748" s="2" t="str">
        <f>IFERROR(INDEX(Movimientos!$L$2:$L$1993,MATCH(A748&amp;"ENTRADA",Movimientos!$R$2:$R$1993,0)),"-")</f>
        <v>-</v>
      </c>
      <c r="H748" s="17" t="str">
        <f>IFERROR(IF(INDEX(Movimientos!$M$2:$M$1993,MATCH(A748&amp;"ENTRADA",Movimientos!$R$2:$R$1993,0))=0,"S/D",INDEX(Movimientos!$M$2:$M$1993,MATCH(A748&amp;"ENTRADA",Movimientos!$R$2:$R$1993,0))),"S/D")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3055</v>
      </c>
      <c r="B749" s="2" t="str">
        <f>IFERROR(INDEX(Movimientos!$C$2:$C$1993,MATCH(A749&amp;"ENTRADA",Movimientos!$R$2:$R$1993,0)),"-")</f>
        <v>-</v>
      </c>
      <c r="C749" s="2" t="str">
        <f>IFERROR(INDEX(Movimientos!$D$2:$D$1993,MATCH(A749&amp;"ENTRADA",Movimientos!$R$2:$R$1993,0)),"-")</f>
        <v>-</v>
      </c>
      <c r="D749" s="2" t="str">
        <f>IFERROR(INDEX(Movimientos!$E$2:$E$1993,MATCH(A749&amp;"ENTRADA",Movimientos!$R$2:$R$1993,0)),"-")</f>
        <v>-</v>
      </c>
      <c r="E749" s="2" t="str">
        <f>IFERROR(INDEX(Movimientos!$F$2:$F$1993,MATCH(A749&amp;"ENTRADA",Movimientos!$R$2:$R$1993,0)),"-")</f>
        <v>-</v>
      </c>
      <c r="F749" s="2" t="str">
        <f>IFERROR(INDEX(Movimientos!$G$2:$G$1993,MATCH(A749&amp;"ENTRADA",Movimientos!$R$2:$R$1993,0)),"-")</f>
        <v>-</v>
      </c>
      <c r="G749" s="2" t="str">
        <f>IFERROR(INDEX(Movimientos!$L$2:$L$1993,MATCH(A749&amp;"ENTRADA",Movimientos!$R$2:$R$1993,0)),"-")</f>
        <v>-</v>
      </c>
      <c r="H749" s="17" t="str">
        <f>IFERROR(IF(INDEX(Movimientos!$M$2:$M$1993,MATCH(A749&amp;"ENTRADA",Movimientos!$R$2:$R$1993,0))=0,"S/D",INDEX(Movimientos!$M$2:$M$1993,MATCH(A749&amp;"ENTRADA",Movimientos!$R$2:$R$1993,0))),"S/D")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3056</v>
      </c>
      <c r="B750" s="2" t="str">
        <f>IFERROR(INDEX(Movimientos!$C$2:$C$1993,MATCH(A750&amp;"ENTRADA",Movimientos!$R$2:$R$1993,0)),"-")</f>
        <v>-</v>
      </c>
      <c r="C750" s="2" t="str">
        <f>IFERROR(INDEX(Movimientos!$D$2:$D$1993,MATCH(A750&amp;"ENTRADA",Movimientos!$R$2:$R$1993,0)),"-")</f>
        <v>-</v>
      </c>
      <c r="D750" s="2" t="str">
        <f>IFERROR(INDEX(Movimientos!$E$2:$E$1993,MATCH(A750&amp;"ENTRADA",Movimientos!$R$2:$R$1993,0)),"-")</f>
        <v>-</v>
      </c>
      <c r="E750" s="2" t="str">
        <f>IFERROR(INDEX(Movimientos!$F$2:$F$1993,MATCH(A750&amp;"ENTRADA",Movimientos!$R$2:$R$1993,0)),"-")</f>
        <v>-</v>
      </c>
      <c r="F750" s="2" t="str">
        <f>IFERROR(INDEX(Movimientos!$G$2:$G$1993,MATCH(A750&amp;"ENTRADA",Movimientos!$R$2:$R$1993,0)),"-")</f>
        <v>-</v>
      </c>
      <c r="G750" s="2" t="str">
        <f>IFERROR(INDEX(Movimientos!$L$2:$L$1993,MATCH(A750&amp;"ENTRADA",Movimientos!$R$2:$R$1993,0)),"-")</f>
        <v>-</v>
      </c>
      <c r="H750" s="17" t="str">
        <f>IFERROR(IF(INDEX(Movimientos!$M$2:$M$1993,MATCH(A750&amp;"ENTRADA",Movimientos!$R$2:$R$1993,0))=0,"S/D",INDEX(Movimientos!$M$2:$M$1993,MATCH(A750&amp;"ENTRADA",Movimientos!$R$2:$R$1993,0))),"S/D")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3057</v>
      </c>
      <c r="B751" s="2" t="str">
        <f>IFERROR(INDEX(Movimientos!$C$2:$C$1993,MATCH(A751&amp;"ENTRADA",Movimientos!$R$2:$R$1993,0)),"-")</f>
        <v>-</v>
      </c>
      <c r="C751" s="2" t="str">
        <f>IFERROR(INDEX(Movimientos!$D$2:$D$1993,MATCH(A751&amp;"ENTRADA",Movimientos!$R$2:$R$1993,0)),"-")</f>
        <v>-</v>
      </c>
      <c r="D751" s="2" t="str">
        <f>IFERROR(INDEX(Movimientos!$E$2:$E$1993,MATCH(A751&amp;"ENTRADA",Movimientos!$R$2:$R$1993,0)),"-")</f>
        <v>-</v>
      </c>
      <c r="E751" s="2" t="str">
        <f>IFERROR(INDEX(Movimientos!$F$2:$F$1993,MATCH(A751&amp;"ENTRADA",Movimientos!$R$2:$R$1993,0)),"-")</f>
        <v>-</v>
      </c>
      <c r="F751" s="2" t="str">
        <f>IFERROR(INDEX(Movimientos!$G$2:$G$1993,MATCH(A751&amp;"ENTRADA",Movimientos!$R$2:$R$1993,0)),"-")</f>
        <v>-</v>
      </c>
      <c r="G751" s="2" t="str">
        <f>IFERROR(INDEX(Movimientos!$L$2:$L$1993,MATCH(A751&amp;"ENTRADA",Movimientos!$R$2:$R$1993,0)),"-")</f>
        <v>-</v>
      </c>
      <c r="H751" s="17" t="str">
        <f>IFERROR(IF(INDEX(Movimientos!$M$2:$M$1993,MATCH(A751&amp;"ENTRADA",Movimientos!$R$2:$R$1993,0))=0,"S/D",INDEX(Movimientos!$M$2:$M$1993,MATCH(A751&amp;"ENTRADA",Movimientos!$R$2:$R$1993,0))),"S/D")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3058</v>
      </c>
      <c r="B752" s="2" t="str">
        <f>IFERROR(INDEX(Movimientos!$C$2:$C$1993,MATCH(A752&amp;"ENTRADA",Movimientos!$R$2:$R$1993,0)),"-")</f>
        <v>-</v>
      </c>
      <c r="C752" s="2" t="str">
        <f>IFERROR(INDEX(Movimientos!$D$2:$D$1993,MATCH(A752&amp;"ENTRADA",Movimientos!$R$2:$R$1993,0)),"-")</f>
        <v>-</v>
      </c>
      <c r="D752" s="2" t="str">
        <f>IFERROR(INDEX(Movimientos!$E$2:$E$1993,MATCH(A752&amp;"ENTRADA",Movimientos!$R$2:$R$1993,0)),"-")</f>
        <v>-</v>
      </c>
      <c r="E752" s="2" t="str">
        <f>IFERROR(INDEX(Movimientos!$F$2:$F$1993,MATCH(A752&amp;"ENTRADA",Movimientos!$R$2:$R$1993,0)),"-")</f>
        <v>-</v>
      </c>
      <c r="F752" s="2" t="str">
        <f>IFERROR(INDEX(Movimientos!$G$2:$G$1993,MATCH(A752&amp;"ENTRADA",Movimientos!$R$2:$R$1993,0)),"-")</f>
        <v>-</v>
      </c>
      <c r="G752" s="2" t="str">
        <f>IFERROR(INDEX(Movimientos!$L$2:$L$1993,MATCH(A752&amp;"ENTRADA",Movimientos!$R$2:$R$1993,0)),"-")</f>
        <v>-</v>
      </c>
      <c r="H752" s="17" t="str">
        <f>IFERROR(IF(INDEX(Movimientos!$M$2:$M$1993,MATCH(A752&amp;"ENTRADA",Movimientos!$R$2:$R$1993,0))=0,"S/D",INDEX(Movimientos!$M$2:$M$1993,MATCH(A752&amp;"ENTRADA",Movimientos!$R$2:$R$1993,0))),"S/D")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3059</v>
      </c>
      <c r="B753" s="2" t="str">
        <f>IFERROR(INDEX(Movimientos!$C$2:$C$1993,MATCH(A753&amp;"ENTRADA",Movimientos!$R$2:$R$1993,0)),"-")</f>
        <v>-</v>
      </c>
      <c r="C753" s="2" t="str">
        <f>IFERROR(INDEX(Movimientos!$D$2:$D$1993,MATCH(A753&amp;"ENTRADA",Movimientos!$R$2:$R$1993,0)),"-")</f>
        <v>-</v>
      </c>
      <c r="D753" s="2" t="str">
        <f>IFERROR(INDEX(Movimientos!$E$2:$E$1993,MATCH(A753&amp;"ENTRADA",Movimientos!$R$2:$R$1993,0)),"-")</f>
        <v>-</v>
      </c>
      <c r="E753" s="2" t="str">
        <f>IFERROR(INDEX(Movimientos!$F$2:$F$1993,MATCH(A753&amp;"ENTRADA",Movimientos!$R$2:$R$1993,0)),"-")</f>
        <v>-</v>
      </c>
      <c r="F753" s="2" t="str">
        <f>IFERROR(INDEX(Movimientos!$G$2:$G$1993,MATCH(A753&amp;"ENTRADA",Movimientos!$R$2:$R$1993,0)),"-")</f>
        <v>-</v>
      </c>
      <c r="G753" s="2" t="str">
        <f>IFERROR(INDEX(Movimientos!$L$2:$L$1993,MATCH(A753&amp;"ENTRADA",Movimientos!$R$2:$R$1993,0)),"-")</f>
        <v>-</v>
      </c>
      <c r="H753" s="17" t="str">
        <f>IFERROR(IF(INDEX(Movimientos!$M$2:$M$1993,MATCH(A753&amp;"ENTRADA",Movimientos!$R$2:$R$1993,0))=0,"S/D",INDEX(Movimientos!$M$2:$M$1993,MATCH(A753&amp;"ENTRADA",Movimientos!$R$2:$R$1993,0))),"S/D")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3060</v>
      </c>
      <c r="B754" s="2" t="str">
        <f>IFERROR(INDEX(Movimientos!$C$2:$C$1993,MATCH(A754&amp;"ENTRADA",Movimientos!$R$2:$R$1993,0)),"-")</f>
        <v>-</v>
      </c>
      <c r="C754" s="2" t="str">
        <f>IFERROR(INDEX(Movimientos!$D$2:$D$1993,MATCH(A754&amp;"ENTRADA",Movimientos!$R$2:$R$1993,0)),"-")</f>
        <v>-</v>
      </c>
      <c r="D754" s="2" t="str">
        <f>IFERROR(INDEX(Movimientos!$E$2:$E$1993,MATCH(A754&amp;"ENTRADA",Movimientos!$R$2:$R$1993,0)),"-")</f>
        <v>-</v>
      </c>
      <c r="E754" s="2" t="str">
        <f>IFERROR(INDEX(Movimientos!$F$2:$F$1993,MATCH(A754&amp;"ENTRADA",Movimientos!$R$2:$R$1993,0)),"-")</f>
        <v>-</v>
      </c>
      <c r="F754" s="2" t="str">
        <f>IFERROR(INDEX(Movimientos!$G$2:$G$1993,MATCH(A754&amp;"ENTRADA",Movimientos!$R$2:$R$1993,0)),"-")</f>
        <v>-</v>
      </c>
      <c r="G754" s="2" t="str">
        <f>IFERROR(INDEX(Movimientos!$L$2:$L$1993,MATCH(A754&amp;"ENTRADA",Movimientos!$R$2:$R$1993,0)),"-")</f>
        <v>-</v>
      </c>
      <c r="H754" s="17" t="str">
        <f>IFERROR(IF(INDEX(Movimientos!$M$2:$M$1993,MATCH(A754&amp;"ENTRADA",Movimientos!$R$2:$R$1993,0))=0,"S/D",INDEX(Movimientos!$M$2:$M$1993,MATCH(A754&amp;"ENTRADA",Movimientos!$R$2:$R$1993,0))),"S/D")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3061</v>
      </c>
      <c r="B755" s="2" t="str">
        <f>IFERROR(INDEX(Movimientos!$C$2:$C$1993,MATCH(A755&amp;"ENTRADA",Movimientos!$R$2:$R$1993,0)),"-")</f>
        <v>-</v>
      </c>
      <c r="C755" s="2" t="str">
        <f>IFERROR(INDEX(Movimientos!$D$2:$D$1993,MATCH(A755&amp;"ENTRADA",Movimientos!$R$2:$R$1993,0)),"-")</f>
        <v>-</v>
      </c>
      <c r="D755" s="2" t="str">
        <f>IFERROR(INDEX(Movimientos!$E$2:$E$1993,MATCH(A755&amp;"ENTRADA",Movimientos!$R$2:$R$1993,0)),"-")</f>
        <v>-</v>
      </c>
      <c r="E755" s="2" t="str">
        <f>IFERROR(INDEX(Movimientos!$F$2:$F$1993,MATCH(A755&amp;"ENTRADA",Movimientos!$R$2:$R$1993,0)),"-")</f>
        <v>-</v>
      </c>
      <c r="F755" s="2" t="str">
        <f>IFERROR(INDEX(Movimientos!$G$2:$G$1993,MATCH(A755&amp;"ENTRADA",Movimientos!$R$2:$R$1993,0)),"-")</f>
        <v>-</v>
      </c>
      <c r="G755" s="2" t="str">
        <f>IFERROR(INDEX(Movimientos!$L$2:$L$1993,MATCH(A755&amp;"ENTRADA",Movimientos!$R$2:$R$1993,0)),"-")</f>
        <v>-</v>
      </c>
      <c r="H755" s="17" t="str">
        <f>IFERROR(IF(INDEX(Movimientos!$M$2:$M$1993,MATCH(A755&amp;"ENTRADA",Movimientos!$R$2:$R$1993,0))=0,"S/D",INDEX(Movimientos!$M$2:$M$1993,MATCH(A755&amp;"ENTRADA",Movimientos!$R$2:$R$1993,0))),"S/D")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3062</v>
      </c>
      <c r="B756" s="2" t="str">
        <f>IFERROR(INDEX(Movimientos!$C$2:$C$1993,MATCH(A756&amp;"ENTRADA",Movimientos!$R$2:$R$1993,0)),"-")</f>
        <v>-</v>
      </c>
      <c r="C756" s="2" t="str">
        <f>IFERROR(INDEX(Movimientos!$D$2:$D$1993,MATCH(A756&amp;"ENTRADA",Movimientos!$R$2:$R$1993,0)),"-")</f>
        <v>-</v>
      </c>
      <c r="D756" s="2" t="str">
        <f>IFERROR(INDEX(Movimientos!$E$2:$E$1993,MATCH(A756&amp;"ENTRADA",Movimientos!$R$2:$R$1993,0)),"-")</f>
        <v>-</v>
      </c>
      <c r="E756" s="2" t="str">
        <f>IFERROR(INDEX(Movimientos!$F$2:$F$1993,MATCH(A756&amp;"ENTRADA",Movimientos!$R$2:$R$1993,0)),"-")</f>
        <v>-</v>
      </c>
      <c r="F756" s="2" t="str">
        <f>IFERROR(INDEX(Movimientos!$G$2:$G$1993,MATCH(A756&amp;"ENTRADA",Movimientos!$R$2:$R$1993,0)),"-")</f>
        <v>-</v>
      </c>
      <c r="G756" s="2" t="str">
        <f>IFERROR(INDEX(Movimientos!$L$2:$L$1993,MATCH(A756&amp;"ENTRADA",Movimientos!$R$2:$R$1993,0)),"-")</f>
        <v>-</v>
      </c>
      <c r="H756" s="17" t="str">
        <f>IFERROR(IF(INDEX(Movimientos!$M$2:$M$1993,MATCH(A756&amp;"ENTRADA",Movimientos!$R$2:$R$1993,0))=0,"S/D",INDEX(Movimientos!$M$2:$M$1993,MATCH(A756&amp;"ENTRADA",Movimientos!$R$2:$R$1993,0))),"S/D")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3063</v>
      </c>
      <c r="B757" s="2" t="str">
        <f>IFERROR(INDEX(Movimientos!$C$2:$C$1993,MATCH(A757&amp;"ENTRADA",Movimientos!$R$2:$R$1993,0)),"-")</f>
        <v>-</v>
      </c>
      <c r="C757" s="2" t="str">
        <f>IFERROR(INDEX(Movimientos!$D$2:$D$1993,MATCH(A757&amp;"ENTRADA",Movimientos!$R$2:$R$1993,0)),"-")</f>
        <v>-</v>
      </c>
      <c r="D757" s="2" t="str">
        <f>IFERROR(INDEX(Movimientos!$E$2:$E$1993,MATCH(A757&amp;"ENTRADA",Movimientos!$R$2:$R$1993,0)),"-")</f>
        <v>-</v>
      </c>
      <c r="E757" s="2" t="str">
        <f>IFERROR(INDEX(Movimientos!$F$2:$F$1993,MATCH(A757&amp;"ENTRADA",Movimientos!$R$2:$R$1993,0)),"-")</f>
        <v>-</v>
      </c>
      <c r="F757" s="2" t="str">
        <f>IFERROR(INDEX(Movimientos!$G$2:$G$1993,MATCH(A757&amp;"ENTRADA",Movimientos!$R$2:$R$1993,0)),"-")</f>
        <v>-</v>
      </c>
      <c r="G757" s="2" t="str">
        <f>IFERROR(INDEX(Movimientos!$L$2:$L$1993,MATCH(A757&amp;"ENTRADA",Movimientos!$R$2:$R$1993,0)),"-")</f>
        <v>-</v>
      </c>
      <c r="H757" s="17" t="str">
        <f>IFERROR(IF(INDEX(Movimientos!$M$2:$M$1993,MATCH(A757&amp;"ENTRADA",Movimientos!$R$2:$R$1993,0))=0,"S/D",INDEX(Movimientos!$M$2:$M$1993,MATCH(A757&amp;"ENTRADA",Movimientos!$R$2:$R$1993,0))),"S/D")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3064</v>
      </c>
      <c r="B758" s="2" t="str">
        <f>IFERROR(INDEX(Movimientos!$C$2:$C$1993,MATCH(A758&amp;"ENTRADA",Movimientos!$R$2:$R$1993,0)),"-")</f>
        <v>-</v>
      </c>
      <c r="C758" s="2" t="str">
        <f>IFERROR(INDEX(Movimientos!$D$2:$D$1993,MATCH(A758&amp;"ENTRADA",Movimientos!$R$2:$R$1993,0)),"-")</f>
        <v>-</v>
      </c>
      <c r="D758" s="2" t="str">
        <f>IFERROR(INDEX(Movimientos!$E$2:$E$1993,MATCH(A758&amp;"ENTRADA",Movimientos!$R$2:$R$1993,0)),"-")</f>
        <v>-</v>
      </c>
      <c r="E758" s="2" t="str">
        <f>IFERROR(INDEX(Movimientos!$F$2:$F$1993,MATCH(A758&amp;"ENTRADA",Movimientos!$R$2:$R$1993,0)),"-")</f>
        <v>-</v>
      </c>
      <c r="F758" s="2" t="str">
        <f>IFERROR(INDEX(Movimientos!$G$2:$G$1993,MATCH(A758&amp;"ENTRADA",Movimientos!$R$2:$R$1993,0)),"-")</f>
        <v>-</v>
      </c>
      <c r="G758" s="2" t="str">
        <f>IFERROR(INDEX(Movimientos!$L$2:$L$1993,MATCH(A758&amp;"ENTRADA",Movimientos!$R$2:$R$1993,0)),"-")</f>
        <v>-</v>
      </c>
      <c r="H758" s="17" t="str">
        <f>IFERROR(IF(INDEX(Movimientos!$M$2:$M$1993,MATCH(A758&amp;"ENTRADA",Movimientos!$R$2:$R$1993,0))=0,"S/D",INDEX(Movimientos!$M$2:$M$1993,MATCH(A758&amp;"ENTRADA",Movimientos!$R$2:$R$1993,0))),"S/D")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3065</v>
      </c>
      <c r="B759" s="2" t="str">
        <f>IFERROR(INDEX(Movimientos!$C$2:$C$1993,MATCH(A759&amp;"ENTRADA",Movimientos!$R$2:$R$1993,0)),"-")</f>
        <v>-</v>
      </c>
      <c r="C759" s="2" t="str">
        <f>IFERROR(INDEX(Movimientos!$D$2:$D$1993,MATCH(A759&amp;"ENTRADA",Movimientos!$R$2:$R$1993,0)),"-")</f>
        <v>-</v>
      </c>
      <c r="D759" s="2" t="str">
        <f>IFERROR(INDEX(Movimientos!$E$2:$E$1993,MATCH(A759&amp;"ENTRADA",Movimientos!$R$2:$R$1993,0)),"-")</f>
        <v>-</v>
      </c>
      <c r="E759" s="2" t="str">
        <f>IFERROR(INDEX(Movimientos!$F$2:$F$1993,MATCH(A759&amp;"ENTRADA",Movimientos!$R$2:$R$1993,0)),"-")</f>
        <v>-</v>
      </c>
      <c r="F759" s="2" t="str">
        <f>IFERROR(INDEX(Movimientos!$G$2:$G$1993,MATCH(A759&amp;"ENTRADA",Movimientos!$R$2:$R$1993,0)),"-")</f>
        <v>-</v>
      </c>
      <c r="G759" s="2" t="str">
        <f>IFERROR(INDEX(Movimientos!$L$2:$L$1993,MATCH(A759&amp;"ENTRADA",Movimientos!$R$2:$R$1993,0)),"-")</f>
        <v>-</v>
      </c>
      <c r="H759" s="17" t="str">
        <f>IFERROR(IF(INDEX(Movimientos!$M$2:$M$1993,MATCH(A759&amp;"ENTRADA",Movimientos!$R$2:$R$1993,0))=0,"S/D",INDEX(Movimientos!$M$2:$M$1993,MATCH(A759&amp;"ENTRADA",Movimientos!$R$2:$R$1993,0))),"S/D")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3066</v>
      </c>
      <c r="B760" s="2" t="str">
        <f>IFERROR(INDEX(Movimientos!$C$2:$C$1993,MATCH(A760&amp;"ENTRADA",Movimientos!$R$2:$R$1993,0)),"-")</f>
        <v>-</v>
      </c>
      <c r="C760" s="2" t="str">
        <f>IFERROR(INDEX(Movimientos!$D$2:$D$1993,MATCH(A760&amp;"ENTRADA",Movimientos!$R$2:$R$1993,0)),"-")</f>
        <v>-</v>
      </c>
      <c r="D760" s="2" t="str">
        <f>IFERROR(INDEX(Movimientos!$E$2:$E$1993,MATCH(A760&amp;"ENTRADA",Movimientos!$R$2:$R$1993,0)),"-")</f>
        <v>-</v>
      </c>
      <c r="E760" s="2" t="str">
        <f>IFERROR(INDEX(Movimientos!$F$2:$F$1993,MATCH(A760&amp;"ENTRADA",Movimientos!$R$2:$R$1993,0)),"-")</f>
        <v>-</v>
      </c>
      <c r="F760" s="2" t="str">
        <f>IFERROR(INDEX(Movimientos!$G$2:$G$1993,MATCH(A760&amp;"ENTRADA",Movimientos!$R$2:$R$1993,0)),"-")</f>
        <v>-</v>
      </c>
      <c r="G760" s="2" t="str">
        <f>IFERROR(INDEX(Movimientos!$L$2:$L$1993,MATCH(A760&amp;"ENTRADA",Movimientos!$R$2:$R$1993,0)),"-")</f>
        <v>-</v>
      </c>
      <c r="H760" s="17" t="str">
        <f>IFERROR(IF(INDEX(Movimientos!$M$2:$M$1993,MATCH(A760&amp;"ENTRADA",Movimientos!$R$2:$R$1993,0))=0,"S/D",INDEX(Movimientos!$M$2:$M$1993,MATCH(A760&amp;"ENTRADA",Movimientos!$R$2:$R$1993,0))),"S/D")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3067</v>
      </c>
      <c r="B761" s="2" t="str">
        <f>IFERROR(INDEX(Movimientos!$C$2:$C$1993,MATCH(A761&amp;"ENTRADA",Movimientos!$R$2:$R$1993,0)),"-")</f>
        <v>-</v>
      </c>
      <c r="C761" s="2" t="str">
        <f>IFERROR(INDEX(Movimientos!$D$2:$D$1993,MATCH(A761&amp;"ENTRADA",Movimientos!$R$2:$R$1993,0)),"-")</f>
        <v>-</v>
      </c>
      <c r="D761" s="2" t="str">
        <f>IFERROR(INDEX(Movimientos!$E$2:$E$1993,MATCH(A761&amp;"ENTRADA",Movimientos!$R$2:$R$1993,0)),"-")</f>
        <v>-</v>
      </c>
      <c r="E761" s="2" t="str">
        <f>IFERROR(INDEX(Movimientos!$F$2:$F$1993,MATCH(A761&amp;"ENTRADA",Movimientos!$R$2:$R$1993,0)),"-")</f>
        <v>-</v>
      </c>
      <c r="F761" s="2" t="str">
        <f>IFERROR(INDEX(Movimientos!$G$2:$G$1993,MATCH(A761&amp;"ENTRADA",Movimientos!$R$2:$R$1993,0)),"-")</f>
        <v>-</v>
      </c>
      <c r="G761" s="2" t="str">
        <f>IFERROR(INDEX(Movimientos!$L$2:$L$1993,MATCH(A761&amp;"ENTRADA",Movimientos!$R$2:$R$1993,0)),"-")</f>
        <v>-</v>
      </c>
      <c r="H761" s="17" t="str">
        <f>IFERROR(IF(INDEX(Movimientos!$M$2:$M$1993,MATCH(A761&amp;"ENTRADA",Movimientos!$R$2:$R$1993,0))=0,"S/D",INDEX(Movimientos!$M$2:$M$1993,MATCH(A761&amp;"ENTRADA",Movimientos!$R$2:$R$1993,0))),"S/D")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3068</v>
      </c>
      <c r="B762" s="2" t="str">
        <f>IFERROR(INDEX(Movimientos!$C$2:$C$1993,MATCH(A762&amp;"ENTRADA",Movimientos!$R$2:$R$1993,0)),"-")</f>
        <v>-</v>
      </c>
      <c r="C762" s="2" t="str">
        <f>IFERROR(INDEX(Movimientos!$D$2:$D$1993,MATCH(A762&amp;"ENTRADA",Movimientos!$R$2:$R$1993,0)),"-")</f>
        <v>-</v>
      </c>
      <c r="D762" s="2" t="str">
        <f>IFERROR(INDEX(Movimientos!$E$2:$E$1993,MATCH(A762&amp;"ENTRADA",Movimientos!$R$2:$R$1993,0)),"-")</f>
        <v>-</v>
      </c>
      <c r="E762" s="2" t="str">
        <f>IFERROR(INDEX(Movimientos!$F$2:$F$1993,MATCH(A762&amp;"ENTRADA",Movimientos!$R$2:$R$1993,0)),"-")</f>
        <v>-</v>
      </c>
      <c r="F762" s="2" t="str">
        <f>IFERROR(INDEX(Movimientos!$G$2:$G$1993,MATCH(A762&amp;"ENTRADA",Movimientos!$R$2:$R$1993,0)),"-")</f>
        <v>-</v>
      </c>
      <c r="G762" s="2" t="str">
        <f>IFERROR(INDEX(Movimientos!$L$2:$L$1993,MATCH(A762&amp;"ENTRADA",Movimientos!$R$2:$R$1993,0)),"-")</f>
        <v>-</v>
      </c>
      <c r="H762" s="17" t="str">
        <f>IFERROR(IF(INDEX(Movimientos!$M$2:$M$1993,MATCH(A762&amp;"ENTRADA",Movimientos!$R$2:$R$1993,0))=0,"S/D",INDEX(Movimientos!$M$2:$M$1993,MATCH(A762&amp;"ENTRADA",Movimientos!$R$2:$R$1993,0))),"S/D")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3069</v>
      </c>
      <c r="B763" s="2" t="str">
        <f>IFERROR(INDEX(Movimientos!$C$2:$C$1993,MATCH(A763&amp;"ENTRADA",Movimientos!$R$2:$R$1993,0)),"-")</f>
        <v>-</v>
      </c>
      <c r="C763" s="2" t="str">
        <f>IFERROR(INDEX(Movimientos!$D$2:$D$1993,MATCH(A763&amp;"ENTRADA",Movimientos!$R$2:$R$1993,0)),"-")</f>
        <v>-</v>
      </c>
      <c r="D763" s="2" t="str">
        <f>IFERROR(INDEX(Movimientos!$E$2:$E$1993,MATCH(A763&amp;"ENTRADA",Movimientos!$R$2:$R$1993,0)),"-")</f>
        <v>-</v>
      </c>
      <c r="E763" s="2" t="str">
        <f>IFERROR(INDEX(Movimientos!$F$2:$F$1993,MATCH(A763&amp;"ENTRADA",Movimientos!$R$2:$R$1993,0)),"-")</f>
        <v>-</v>
      </c>
      <c r="F763" s="2" t="str">
        <f>IFERROR(INDEX(Movimientos!$G$2:$G$1993,MATCH(A763&amp;"ENTRADA",Movimientos!$R$2:$R$1993,0)),"-")</f>
        <v>-</v>
      </c>
      <c r="G763" s="2" t="str">
        <f>IFERROR(INDEX(Movimientos!$L$2:$L$1993,MATCH(A763&amp;"ENTRADA",Movimientos!$R$2:$R$1993,0)),"-")</f>
        <v>-</v>
      </c>
      <c r="H763" s="17" t="str">
        <f>IFERROR(IF(INDEX(Movimientos!$M$2:$M$1993,MATCH(A763&amp;"ENTRADA",Movimientos!$R$2:$R$1993,0))=0,"S/D",INDEX(Movimientos!$M$2:$M$1993,MATCH(A763&amp;"ENTRADA",Movimientos!$R$2:$R$1993,0))),"S/D")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3070</v>
      </c>
      <c r="B764" s="2" t="str">
        <f>IFERROR(INDEX(Movimientos!$C$2:$C$1993,MATCH(A764&amp;"ENTRADA",Movimientos!$R$2:$R$1993,0)),"-")</f>
        <v>-</v>
      </c>
      <c r="C764" s="2" t="str">
        <f>IFERROR(INDEX(Movimientos!$D$2:$D$1993,MATCH(A764&amp;"ENTRADA",Movimientos!$R$2:$R$1993,0)),"-")</f>
        <v>-</v>
      </c>
      <c r="D764" s="2" t="str">
        <f>IFERROR(INDEX(Movimientos!$E$2:$E$1993,MATCH(A764&amp;"ENTRADA",Movimientos!$R$2:$R$1993,0)),"-")</f>
        <v>-</v>
      </c>
      <c r="E764" s="2" t="str">
        <f>IFERROR(INDEX(Movimientos!$F$2:$F$1993,MATCH(A764&amp;"ENTRADA",Movimientos!$R$2:$R$1993,0)),"-")</f>
        <v>-</v>
      </c>
      <c r="F764" s="2" t="str">
        <f>IFERROR(INDEX(Movimientos!$G$2:$G$1993,MATCH(A764&amp;"ENTRADA",Movimientos!$R$2:$R$1993,0)),"-")</f>
        <v>-</v>
      </c>
      <c r="G764" s="2" t="str">
        <f>IFERROR(INDEX(Movimientos!$L$2:$L$1993,MATCH(A764&amp;"ENTRADA",Movimientos!$R$2:$R$1993,0)),"-")</f>
        <v>-</v>
      </c>
      <c r="H764" s="17" t="str">
        <f>IFERROR(IF(INDEX(Movimientos!$M$2:$M$1993,MATCH(A764&amp;"ENTRADA",Movimientos!$R$2:$R$1993,0))=0,"S/D",INDEX(Movimientos!$M$2:$M$1993,MATCH(A764&amp;"ENTRADA",Movimientos!$R$2:$R$1993,0))),"S/D")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3071</v>
      </c>
      <c r="B765" s="2" t="str">
        <f>IFERROR(INDEX(Movimientos!$C$2:$C$1993,MATCH(A765&amp;"ENTRADA",Movimientos!$R$2:$R$1993,0)),"-")</f>
        <v>-</v>
      </c>
      <c r="C765" s="2" t="str">
        <f>IFERROR(INDEX(Movimientos!$D$2:$D$1993,MATCH(A765&amp;"ENTRADA",Movimientos!$R$2:$R$1993,0)),"-")</f>
        <v>-</v>
      </c>
      <c r="D765" s="2" t="str">
        <f>IFERROR(INDEX(Movimientos!$E$2:$E$1993,MATCH(A765&amp;"ENTRADA",Movimientos!$R$2:$R$1993,0)),"-")</f>
        <v>-</v>
      </c>
      <c r="E765" s="2" t="str">
        <f>IFERROR(INDEX(Movimientos!$F$2:$F$1993,MATCH(A765&amp;"ENTRADA",Movimientos!$R$2:$R$1993,0)),"-")</f>
        <v>-</v>
      </c>
      <c r="F765" s="2" t="str">
        <f>IFERROR(INDEX(Movimientos!$G$2:$G$1993,MATCH(A765&amp;"ENTRADA",Movimientos!$R$2:$R$1993,0)),"-")</f>
        <v>-</v>
      </c>
      <c r="G765" s="2" t="str">
        <f>IFERROR(INDEX(Movimientos!$L$2:$L$1993,MATCH(A765&amp;"ENTRADA",Movimientos!$R$2:$R$1993,0)),"-")</f>
        <v>-</v>
      </c>
      <c r="H765" s="17" t="str">
        <f>IFERROR(IF(INDEX(Movimientos!$M$2:$M$1993,MATCH(A765&amp;"ENTRADA",Movimientos!$R$2:$R$1993,0))=0,"S/D",INDEX(Movimientos!$M$2:$M$1993,MATCH(A765&amp;"ENTRADA",Movimientos!$R$2:$R$1993,0))),"S/D")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3072</v>
      </c>
      <c r="B766" s="2" t="str">
        <f>IFERROR(INDEX(Movimientos!$C$2:$C$1993,MATCH(A766&amp;"ENTRADA",Movimientos!$R$2:$R$1993,0)),"-")</f>
        <v>-</v>
      </c>
      <c r="C766" s="2" t="str">
        <f>IFERROR(INDEX(Movimientos!$D$2:$D$1993,MATCH(A766&amp;"ENTRADA",Movimientos!$R$2:$R$1993,0)),"-")</f>
        <v>-</v>
      </c>
      <c r="D766" s="2" t="str">
        <f>IFERROR(INDEX(Movimientos!$E$2:$E$1993,MATCH(A766&amp;"ENTRADA",Movimientos!$R$2:$R$1993,0)),"-")</f>
        <v>-</v>
      </c>
      <c r="E766" s="2" t="str">
        <f>IFERROR(INDEX(Movimientos!$F$2:$F$1993,MATCH(A766&amp;"ENTRADA",Movimientos!$R$2:$R$1993,0)),"-")</f>
        <v>-</v>
      </c>
      <c r="F766" s="2" t="str">
        <f>IFERROR(INDEX(Movimientos!$G$2:$G$1993,MATCH(A766&amp;"ENTRADA",Movimientos!$R$2:$R$1993,0)),"-")</f>
        <v>-</v>
      </c>
      <c r="G766" s="2" t="str">
        <f>IFERROR(INDEX(Movimientos!$L$2:$L$1993,MATCH(A766&amp;"ENTRADA",Movimientos!$R$2:$R$1993,0)),"-")</f>
        <v>-</v>
      </c>
      <c r="H766" s="17" t="str">
        <f>IFERROR(IF(INDEX(Movimientos!$M$2:$M$1993,MATCH(A766&amp;"ENTRADA",Movimientos!$R$2:$R$1993,0))=0,"S/D",INDEX(Movimientos!$M$2:$M$1993,MATCH(A766&amp;"ENTRADA",Movimientos!$R$2:$R$1993,0))),"S/D")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3073</v>
      </c>
      <c r="B767" s="2" t="str">
        <f>IFERROR(INDEX(Movimientos!$C$2:$C$1993,MATCH(A767&amp;"ENTRADA",Movimientos!$R$2:$R$1993,0)),"-")</f>
        <v>-</v>
      </c>
      <c r="C767" s="2" t="str">
        <f>IFERROR(INDEX(Movimientos!$D$2:$D$1993,MATCH(A767&amp;"ENTRADA",Movimientos!$R$2:$R$1993,0)),"-")</f>
        <v>-</v>
      </c>
      <c r="D767" s="2" t="str">
        <f>IFERROR(INDEX(Movimientos!$E$2:$E$1993,MATCH(A767&amp;"ENTRADA",Movimientos!$R$2:$R$1993,0)),"-")</f>
        <v>-</v>
      </c>
      <c r="E767" s="2" t="str">
        <f>IFERROR(INDEX(Movimientos!$F$2:$F$1993,MATCH(A767&amp;"ENTRADA",Movimientos!$R$2:$R$1993,0)),"-")</f>
        <v>-</v>
      </c>
      <c r="F767" s="2" t="str">
        <f>IFERROR(INDEX(Movimientos!$G$2:$G$1993,MATCH(A767&amp;"ENTRADA",Movimientos!$R$2:$R$1993,0)),"-")</f>
        <v>-</v>
      </c>
      <c r="G767" s="2" t="str">
        <f>IFERROR(INDEX(Movimientos!$L$2:$L$1993,MATCH(A767&amp;"ENTRADA",Movimientos!$R$2:$R$1993,0)),"-")</f>
        <v>-</v>
      </c>
      <c r="H767" s="17" t="str">
        <f>IFERROR(IF(INDEX(Movimientos!$M$2:$M$1993,MATCH(A767&amp;"ENTRADA",Movimientos!$R$2:$R$1993,0))=0,"S/D",INDEX(Movimientos!$M$2:$M$1993,MATCH(A767&amp;"ENTRADA",Movimientos!$R$2:$R$1993,0))),"S/D")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3074</v>
      </c>
      <c r="B768" s="2" t="str">
        <f>IFERROR(INDEX(Movimientos!$C$2:$C$1993,MATCH(A768&amp;"ENTRADA",Movimientos!$R$2:$R$1993,0)),"-")</f>
        <v>-</v>
      </c>
      <c r="C768" s="2" t="str">
        <f>IFERROR(INDEX(Movimientos!$D$2:$D$1993,MATCH(A768&amp;"ENTRADA",Movimientos!$R$2:$R$1993,0)),"-")</f>
        <v>-</v>
      </c>
      <c r="D768" s="2" t="str">
        <f>IFERROR(INDEX(Movimientos!$E$2:$E$1993,MATCH(A768&amp;"ENTRADA",Movimientos!$R$2:$R$1993,0)),"-")</f>
        <v>-</v>
      </c>
      <c r="E768" s="2" t="str">
        <f>IFERROR(INDEX(Movimientos!$F$2:$F$1993,MATCH(A768&amp;"ENTRADA",Movimientos!$R$2:$R$1993,0)),"-")</f>
        <v>-</v>
      </c>
      <c r="F768" s="2" t="str">
        <f>IFERROR(INDEX(Movimientos!$G$2:$G$1993,MATCH(A768&amp;"ENTRADA",Movimientos!$R$2:$R$1993,0)),"-")</f>
        <v>-</v>
      </c>
      <c r="G768" s="2" t="str">
        <f>IFERROR(INDEX(Movimientos!$L$2:$L$1993,MATCH(A768&amp;"ENTRADA",Movimientos!$R$2:$R$1993,0)),"-")</f>
        <v>-</v>
      </c>
      <c r="H768" s="17" t="str">
        <f>IFERROR(IF(INDEX(Movimientos!$M$2:$M$1993,MATCH(A768&amp;"ENTRADA",Movimientos!$R$2:$R$1993,0))=0,"S/D",INDEX(Movimientos!$M$2:$M$1993,MATCH(A768&amp;"ENTRADA",Movimientos!$R$2:$R$1993,0))),"S/D")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3075</v>
      </c>
      <c r="B769" s="2" t="str">
        <f>IFERROR(INDEX(Movimientos!$C$2:$C$1993,MATCH(A769&amp;"ENTRADA",Movimientos!$R$2:$R$1993,0)),"-")</f>
        <v>-</v>
      </c>
      <c r="C769" s="2" t="str">
        <f>IFERROR(INDEX(Movimientos!$D$2:$D$1993,MATCH(A769&amp;"ENTRADA",Movimientos!$R$2:$R$1993,0)),"-")</f>
        <v>-</v>
      </c>
      <c r="D769" s="2" t="str">
        <f>IFERROR(INDEX(Movimientos!$E$2:$E$1993,MATCH(A769&amp;"ENTRADA",Movimientos!$R$2:$R$1993,0)),"-")</f>
        <v>-</v>
      </c>
      <c r="E769" s="2" t="str">
        <f>IFERROR(INDEX(Movimientos!$F$2:$F$1993,MATCH(A769&amp;"ENTRADA",Movimientos!$R$2:$R$1993,0)),"-")</f>
        <v>-</v>
      </c>
      <c r="F769" s="2" t="str">
        <f>IFERROR(INDEX(Movimientos!$G$2:$G$1993,MATCH(A769&amp;"ENTRADA",Movimientos!$R$2:$R$1993,0)),"-")</f>
        <v>-</v>
      </c>
      <c r="G769" s="2" t="str">
        <f>IFERROR(INDEX(Movimientos!$L$2:$L$1993,MATCH(A769&amp;"ENTRADA",Movimientos!$R$2:$R$1993,0)),"-")</f>
        <v>-</v>
      </c>
      <c r="H769" s="17" t="str">
        <f>IFERROR(IF(INDEX(Movimientos!$M$2:$M$1993,MATCH(A769&amp;"ENTRADA",Movimientos!$R$2:$R$1993,0))=0,"S/D",INDEX(Movimientos!$M$2:$M$1993,MATCH(A769&amp;"ENTRADA",Movimientos!$R$2:$R$1993,0))),"S/D")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3076</v>
      </c>
      <c r="B770" s="2" t="str">
        <f>IFERROR(INDEX(Movimientos!$C$2:$C$1993,MATCH(A770&amp;"ENTRADA",Movimientos!$R$2:$R$1993,0)),"-")</f>
        <v>-</v>
      </c>
      <c r="C770" s="2" t="str">
        <f>IFERROR(INDEX(Movimientos!$D$2:$D$1993,MATCH(A770&amp;"ENTRADA",Movimientos!$R$2:$R$1993,0)),"-")</f>
        <v>-</v>
      </c>
      <c r="D770" s="2" t="str">
        <f>IFERROR(INDEX(Movimientos!$E$2:$E$1993,MATCH(A770&amp;"ENTRADA",Movimientos!$R$2:$R$1993,0)),"-")</f>
        <v>-</v>
      </c>
      <c r="E770" s="2" t="str">
        <f>IFERROR(INDEX(Movimientos!$F$2:$F$1993,MATCH(A770&amp;"ENTRADA",Movimientos!$R$2:$R$1993,0)),"-")</f>
        <v>-</v>
      </c>
      <c r="F770" s="2" t="str">
        <f>IFERROR(INDEX(Movimientos!$G$2:$G$1993,MATCH(A770&amp;"ENTRADA",Movimientos!$R$2:$R$1993,0)),"-")</f>
        <v>-</v>
      </c>
      <c r="G770" s="2" t="str">
        <f>IFERROR(INDEX(Movimientos!$L$2:$L$1993,MATCH(A770&amp;"ENTRADA",Movimientos!$R$2:$R$1993,0)),"-")</f>
        <v>-</v>
      </c>
      <c r="H770" s="17" t="str">
        <f>IFERROR(IF(INDEX(Movimientos!$M$2:$M$1993,MATCH(A770&amp;"ENTRADA",Movimientos!$R$2:$R$1993,0))=0,"S/D",INDEX(Movimientos!$M$2:$M$1993,MATCH(A770&amp;"ENTRADA",Movimientos!$R$2:$R$1993,0))),"S/D")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3077</v>
      </c>
      <c r="B771" s="2" t="str">
        <f>IFERROR(INDEX(Movimientos!$C$2:$C$1993,MATCH(A771&amp;"ENTRADA",Movimientos!$R$2:$R$1993,0)),"-")</f>
        <v>-</v>
      </c>
      <c r="C771" s="2" t="str">
        <f>IFERROR(INDEX(Movimientos!$D$2:$D$1993,MATCH(A771&amp;"ENTRADA",Movimientos!$R$2:$R$1993,0)),"-")</f>
        <v>-</v>
      </c>
      <c r="D771" s="2" t="str">
        <f>IFERROR(INDEX(Movimientos!$E$2:$E$1993,MATCH(A771&amp;"ENTRADA",Movimientos!$R$2:$R$1993,0)),"-")</f>
        <v>-</v>
      </c>
      <c r="E771" s="2" t="str">
        <f>IFERROR(INDEX(Movimientos!$F$2:$F$1993,MATCH(A771&amp;"ENTRADA",Movimientos!$R$2:$R$1993,0)),"-")</f>
        <v>-</v>
      </c>
      <c r="F771" s="2" t="str">
        <f>IFERROR(INDEX(Movimientos!$G$2:$G$1993,MATCH(A771&amp;"ENTRADA",Movimientos!$R$2:$R$1993,0)),"-")</f>
        <v>-</v>
      </c>
      <c r="G771" s="2" t="str">
        <f>IFERROR(INDEX(Movimientos!$L$2:$L$1993,MATCH(A771&amp;"ENTRADA",Movimientos!$R$2:$R$1993,0)),"-")</f>
        <v>-</v>
      </c>
      <c r="H771" s="17" t="str">
        <f>IFERROR(IF(INDEX(Movimientos!$M$2:$M$1993,MATCH(A771&amp;"ENTRADA",Movimientos!$R$2:$R$1993,0))=0,"S/D",INDEX(Movimientos!$M$2:$M$1993,MATCH(A771&amp;"ENTRADA",Movimientos!$R$2:$R$1993,0))),"S/D")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3078</v>
      </c>
      <c r="B772" s="2" t="str">
        <f>IFERROR(INDEX(Movimientos!$C$2:$C$1993,MATCH(A772&amp;"ENTRADA",Movimientos!$R$2:$R$1993,0)),"-")</f>
        <v>-</v>
      </c>
      <c r="C772" s="2" t="str">
        <f>IFERROR(INDEX(Movimientos!$D$2:$D$1993,MATCH(A772&amp;"ENTRADA",Movimientos!$R$2:$R$1993,0)),"-")</f>
        <v>-</v>
      </c>
      <c r="D772" s="2" t="str">
        <f>IFERROR(INDEX(Movimientos!$E$2:$E$1993,MATCH(A772&amp;"ENTRADA",Movimientos!$R$2:$R$1993,0)),"-")</f>
        <v>-</v>
      </c>
      <c r="E772" s="2" t="str">
        <f>IFERROR(INDEX(Movimientos!$F$2:$F$1993,MATCH(A772&amp;"ENTRADA",Movimientos!$R$2:$R$1993,0)),"-")</f>
        <v>-</v>
      </c>
      <c r="F772" s="2" t="str">
        <f>IFERROR(INDEX(Movimientos!$G$2:$G$1993,MATCH(A772&amp;"ENTRADA",Movimientos!$R$2:$R$1993,0)),"-")</f>
        <v>-</v>
      </c>
      <c r="G772" s="2" t="str">
        <f>IFERROR(INDEX(Movimientos!$L$2:$L$1993,MATCH(A772&amp;"ENTRADA",Movimientos!$R$2:$R$1993,0)),"-")</f>
        <v>-</v>
      </c>
      <c r="H772" s="17" t="str">
        <f>IFERROR(IF(INDEX(Movimientos!$M$2:$M$1993,MATCH(A772&amp;"ENTRADA",Movimientos!$R$2:$R$1993,0))=0,"S/D",INDEX(Movimientos!$M$2:$M$1993,MATCH(A772&amp;"ENTRADA",Movimientos!$R$2:$R$1993,0))),"S/D")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3079</v>
      </c>
      <c r="B773" s="2" t="str">
        <f>IFERROR(INDEX(Movimientos!$C$2:$C$1993,MATCH(A773&amp;"ENTRADA",Movimientos!$R$2:$R$1993,0)),"-")</f>
        <v>-</v>
      </c>
      <c r="C773" s="2" t="str">
        <f>IFERROR(INDEX(Movimientos!$D$2:$D$1993,MATCH(A773&amp;"ENTRADA",Movimientos!$R$2:$R$1993,0)),"-")</f>
        <v>-</v>
      </c>
      <c r="D773" s="2" t="str">
        <f>IFERROR(INDEX(Movimientos!$E$2:$E$1993,MATCH(A773&amp;"ENTRADA",Movimientos!$R$2:$R$1993,0)),"-")</f>
        <v>-</v>
      </c>
      <c r="E773" s="2" t="str">
        <f>IFERROR(INDEX(Movimientos!$F$2:$F$1993,MATCH(A773&amp;"ENTRADA",Movimientos!$R$2:$R$1993,0)),"-")</f>
        <v>-</v>
      </c>
      <c r="F773" s="2" t="str">
        <f>IFERROR(INDEX(Movimientos!$G$2:$G$1993,MATCH(A773&amp;"ENTRADA",Movimientos!$R$2:$R$1993,0)),"-")</f>
        <v>-</v>
      </c>
      <c r="G773" s="2" t="str">
        <f>IFERROR(INDEX(Movimientos!$L$2:$L$1993,MATCH(A773&amp;"ENTRADA",Movimientos!$R$2:$R$1993,0)),"-")</f>
        <v>-</v>
      </c>
      <c r="H773" s="17" t="str">
        <f>IFERROR(IF(INDEX(Movimientos!$M$2:$M$1993,MATCH(A773&amp;"ENTRADA",Movimientos!$R$2:$R$1993,0))=0,"S/D",INDEX(Movimientos!$M$2:$M$1993,MATCH(A773&amp;"ENTRADA",Movimientos!$R$2:$R$1993,0))),"S/D")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3080</v>
      </c>
      <c r="B774" s="2" t="str">
        <f>IFERROR(INDEX(Movimientos!$C$2:$C$1993,MATCH(A774&amp;"ENTRADA",Movimientos!$R$2:$R$1993,0)),"-")</f>
        <v>-</v>
      </c>
      <c r="C774" s="2" t="str">
        <f>IFERROR(INDEX(Movimientos!$D$2:$D$1993,MATCH(A774&amp;"ENTRADA",Movimientos!$R$2:$R$1993,0)),"-")</f>
        <v>-</v>
      </c>
      <c r="D774" s="2" t="str">
        <f>IFERROR(INDEX(Movimientos!$E$2:$E$1993,MATCH(A774&amp;"ENTRADA",Movimientos!$R$2:$R$1993,0)),"-")</f>
        <v>-</v>
      </c>
      <c r="E774" s="2" t="str">
        <f>IFERROR(INDEX(Movimientos!$F$2:$F$1993,MATCH(A774&amp;"ENTRADA",Movimientos!$R$2:$R$1993,0)),"-")</f>
        <v>-</v>
      </c>
      <c r="F774" s="2" t="str">
        <f>IFERROR(INDEX(Movimientos!$G$2:$G$1993,MATCH(A774&amp;"ENTRADA",Movimientos!$R$2:$R$1993,0)),"-")</f>
        <v>-</v>
      </c>
      <c r="G774" s="2" t="str">
        <f>IFERROR(INDEX(Movimientos!$L$2:$L$1993,MATCH(A774&amp;"ENTRADA",Movimientos!$R$2:$R$1993,0)),"-")</f>
        <v>-</v>
      </c>
      <c r="H774" s="17" t="str">
        <f>IFERROR(IF(INDEX(Movimientos!$M$2:$M$1993,MATCH(A774&amp;"ENTRADA",Movimientos!$R$2:$R$1993,0))=0,"S/D",INDEX(Movimientos!$M$2:$M$1993,MATCH(A774&amp;"ENTRADA",Movimientos!$R$2:$R$1993,0))),"S/D")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3081</v>
      </c>
      <c r="B775" s="2" t="str">
        <f>IFERROR(INDEX(Movimientos!$C$2:$C$1993,MATCH(A775&amp;"ENTRADA",Movimientos!$R$2:$R$1993,0)),"-")</f>
        <v>-</v>
      </c>
      <c r="C775" s="2" t="str">
        <f>IFERROR(INDEX(Movimientos!$D$2:$D$1993,MATCH(A775&amp;"ENTRADA",Movimientos!$R$2:$R$1993,0)),"-")</f>
        <v>-</v>
      </c>
      <c r="D775" s="2" t="str">
        <f>IFERROR(INDEX(Movimientos!$E$2:$E$1993,MATCH(A775&amp;"ENTRADA",Movimientos!$R$2:$R$1993,0)),"-")</f>
        <v>-</v>
      </c>
      <c r="E775" s="2" t="str">
        <f>IFERROR(INDEX(Movimientos!$F$2:$F$1993,MATCH(A775&amp;"ENTRADA",Movimientos!$R$2:$R$1993,0)),"-")</f>
        <v>-</v>
      </c>
      <c r="F775" s="2" t="str">
        <f>IFERROR(INDEX(Movimientos!$G$2:$G$1993,MATCH(A775&amp;"ENTRADA",Movimientos!$R$2:$R$1993,0)),"-")</f>
        <v>-</v>
      </c>
      <c r="G775" s="2" t="str">
        <f>IFERROR(INDEX(Movimientos!$L$2:$L$1993,MATCH(A775&amp;"ENTRADA",Movimientos!$R$2:$R$1993,0)),"-")</f>
        <v>-</v>
      </c>
      <c r="H775" s="17" t="str">
        <f>IFERROR(IF(INDEX(Movimientos!$M$2:$M$1993,MATCH(A775&amp;"ENTRADA",Movimientos!$R$2:$R$1993,0))=0,"S/D",INDEX(Movimientos!$M$2:$M$1993,MATCH(A775&amp;"ENTRADA",Movimientos!$R$2:$R$1993,0))),"S/D")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3082</v>
      </c>
      <c r="B776" s="2" t="str">
        <f>IFERROR(INDEX(Movimientos!$C$2:$C$1993,MATCH(A776&amp;"ENTRADA",Movimientos!$R$2:$R$1993,0)),"-")</f>
        <v>-</v>
      </c>
      <c r="C776" s="2" t="str">
        <f>IFERROR(INDEX(Movimientos!$D$2:$D$1993,MATCH(A776&amp;"ENTRADA",Movimientos!$R$2:$R$1993,0)),"-")</f>
        <v>-</v>
      </c>
      <c r="D776" s="2" t="str">
        <f>IFERROR(INDEX(Movimientos!$E$2:$E$1993,MATCH(A776&amp;"ENTRADA",Movimientos!$R$2:$R$1993,0)),"-")</f>
        <v>-</v>
      </c>
      <c r="E776" s="2" t="str">
        <f>IFERROR(INDEX(Movimientos!$F$2:$F$1993,MATCH(A776&amp;"ENTRADA",Movimientos!$R$2:$R$1993,0)),"-")</f>
        <v>-</v>
      </c>
      <c r="F776" s="2" t="str">
        <f>IFERROR(INDEX(Movimientos!$G$2:$G$1993,MATCH(A776&amp;"ENTRADA",Movimientos!$R$2:$R$1993,0)),"-")</f>
        <v>-</v>
      </c>
      <c r="G776" s="2" t="str">
        <f>IFERROR(INDEX(Movimientos!$L$2:$L$1993,MATCH(A776&amp;"ENTRADA",Movimientos!$R$2:$R$1993,0)),"-")</f>
        <v>-</v>
      </c>
      <c r="H776" s="17" t="str">
        <f>IFERROR(IF(INDEX(Movimientos!$M$2:$M$1993,MATCH(A776&amp;"ENTRADA",Movimientos!$R$2:$R$1993,0))=0,"S/D",INDEX(Movimientos!$M$2:$M$1993,MATCH(A776&amp;"ENTRADA",Movimientos!$R$2:$R$1993,0))),"S/D")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3083</v>
      </c>
      <c r="B777" s="2" t="str">
        <f>IFERROR(INDEX(Movimientos!$C$2:$C$1993,MATCH(A777&amp;"ENTRADA",Movimientos!$R$2:$R$1993,0)),"-")</f>
        <v>-</v>
      </c>
      <c r="C777" s="2" t="str">
        <f>IFERROR(INDEX(Movimientos!$D$2:$D$1993,MATCH(A777&amp;"ENTRADA",Movimientos!$R$2:$R$1993,0)),"-")</f>
        <v>-</v>
      </c>
      <c r="D777" s="2" t="str">
        <f>IFERROR(INDEX(Movimientos!$E$2:$E$1993,MATCH(A777&amp;"ENTRADA",Movimientos!$R$2:$R$1993,0)),"-")</f>
        <v>-</v>
      </c>
      <c r="E777" s="2" t="str">
        <f>IFERROR(INDEX(Movimientos!$F$2:$F$1993,MATCH(A777&amp;"ENTRADA",Movimientos!$R$2:$R$1993,0)),"-")</f>
        <v>-</v>
      </c>
      <c r="F777" s="2" t="str">
        <f>IFERROR(INDEX(Movimientos!$G$2:$G$1993,MATCH(A777&amp;"ENTRADA",Movimientos!$R$2:$R$1993,0)),"-")</f>
        <v>-</v>
      </c>
      <c r="G777" s="2" t="str">
        <f>IFERROR(INDEX(Movimientos!$L$2:$L$1993,MATCH(A777&amp;"ENTRADA",Movimientos!$R$2:$R$1993,0)),"-")</f>
        <v>-</v>
      </c>
      <c r="H777" s="17" t="str">
        <f>IFERROR(IF(INDEX(Movimientos!$M$2:$M$1993,MATCH(A777&amp;"ENTRADA",Movimientos!$R$2:$R$1993,0))=0,"S/D",INDEX(Movimientos!$M$2:$M$1993,MATCH(A777&amp;"ENTRADA",Movimientos!$R$2:$R$1993,0))),"S/D")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3084</v>
      </c>
      <c r="B778" s="2" t="str">
        <f>IFERROR(INDEX(Movimientos!$C$2:$C$1993,MATCH(A778&amp;"ENTRADA",Movimientos!$R$2:$R$1993,0)),"-")</f>
        <v>-</v>
      </c>
      <c r="C778" s="2" t="str">
        <f>IFERROR(INDEX(Movimientos!$D$2:$D$1993,MATCH(A778&amp;"ENTRADA",Movimientos!$R$2:$R$1993,0)),"-")</f>
        <v>-</v>
      </c>
      <c r="D778" s="2" t="str">
        <f>IFERROR(INDEX(Movimientos!$E$2:$E$1993,MATCH(A778&amp;"ENTRADA",Movimientos!$R$2:$R$1993,0)),"-")</f>
        <v>-</v>
      </c>
      <c r="E778" s="2" t="str">
        <f>IFERROR(INDEX(Movimientos!$F$2:$F$1993,MATCH(A778&amp;"ENTRADA",Movimientos!$R$2:$R$1993,0)),"-")</f>
        <v>-</v>
      </c>
      <c r="F778" s="2" t="str">
        <f>IFERROR(INDEX(Movimientos!$G$2:$G$1993,MATCH(A778&amp;"ENTRADA",Movimientos!$R$2:$R$1993,0)),"-")</f>
        <v>-</v>
      </c>
      <c r="G778" s="2" t="str">
        <f>IFERROR(INDEX(Movimientos!$L$2:$L$1993,MATCH(A778&amp;"ENTRADA",Movimientos!$R$2:$R$1993,0)),"-")</f>
        <v>-</v>
      </c>
      <c r="H778" s="17" t="str">
        <f>IFERROR(IF(INDEX(Movimientos!$M$2:$M$1993,MATCH(A778&amp;"ENTRADA",Movimientos!$R$2:$R$1993,0))=0,"S/D",INDEX(Movimientos!$M$2:$M$1993,MATCH(A778&amp;"ENTRADA",Movimientos!$R$2:$R$1993,0))),"S/D")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3085</v>
      </c>
      <c r="B779" s="2" t="str">
        <f>IFERROR(INDEX(Movimientos!$C$2:$C$1993,MATCH(A779&amp;"ENTRADA",Movimientos!$R$2:$R$1993,0)),"-")</f>
        <v>-</v>
      </c>
      <c r="C779" s="2" t="str">
        <f>IFERROR(INDEX(Movimientos!$D$2:$D$1993,MATCH(A779&amp;"ENTRADA",Movimientos!$R$2:$R$1993,0)),"-")</f>
        <v>-</v>
      </c>
      <c r="D779" s="2" t="str">
        <f>IFERROR(INDEX(Movimientos!$E$2:$E$1993,MATCH(A779&amp;"ENTRADA",Movimientos!$R$2:$R$1993,0)),"-")</f>
        <v>-</v>
      </c>
      <c r="E779" s="2" t="str">
        <f>IFERROR(INDEX(Movimientos!$F$2:$F$1993,MATCH(A779&amp;"ENTRADA",Movimientos!$R$2:$R$1993,0)),"-")</f>
        <v>-</v>
      </c>
      <c r="F779" s="2" t="str">
        <f>IFERROR(INDEX(Movimientos!$G$2:$G$1993,MATCH(A779&amp;"ENTRADA",Movimientos!$R$2:$R$1993,0)),"-")</f>
        <v>-</v>
      </c>
      <c r="G779" s="2" t="str">
        <f>IFERROR(INDEX(Movimientos!$L$2:$L$1993,MATCH(A779&amp;"ENTRADA",Movimientos!$R$2:$R$1993,0)),"-")</f>
        <v>-</v>
      </c>
      <c r="H779" s="17" t="str">
        <f>IFERROR(IF(INDEX(Movimientos!$M$2:$M$1993,MATCH(A779&amp;"ENTRADA",Movimientos!$R$2:$R$1993,0))=0,"S/D",INDEX(Movimientos!$M$2:$M$1993,MATCH(A779&amp;"ENTRADA",Movimientos!$R$2:$R$1993,0))),"S/D")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3086</v>
      </c>
      <c r="B780" s="2" t="str">
        <f>IFERROR(INDEX(Movimientos!$C$2:$C$1993,MATCH(A780&amp;"ENTRADA",Movimientos!$R$2:$R$1993,0)),"-")</f>
        <v>-</v>
      </c>
      <c r="C780" s="2" t="str">
        <f>IFERROR(INDEX(Movimientos!$D$2:$D$1993,MATCH(A780&amp;"ENTRADA",Movimientos!$R$2:$R$1993,0)),"-")</f>
        <v>-</v>
      </c>
      <c r="D780" s="2" t="str">
        <f>IFERROR(INDEX(Movimientos!$E$2:$E$1993,MATCH(A780&amp;"ENTRADA",Movimientos!$R$2:$R$1993,0)),"-")</f>
        <v>-</v>
      </c>
      <c r="E780" s="2" t="str">
        <f>IFERROR(INDEX(Movimientos!$F$2:$F$1993,MATCH(A780&amp;"ENTRADA",Movimientos!$R$2:$R$1993,0)),"-")</f>
        <v>-</v>
      </c>
      <c r="F780" s="2" t="str">
        <f>IFERROR(INDEX(Movimientos!$G$2:$G$1993,MATCH(A780&amp;"ENTRADA",Movimientos!$R$2:$R$1993,0)),"-")</f>
        <v>-</v>
      </c>
      <c r="G780" s="2" t="str">
        <f>IFERROR(INDEX(Movimientos!$L$2:$L$1993,MATCH(A780&amp;"ENTRADA",Movimientos!$R$2:$R$1993,0)),"-")</f>
        <v>-</v>
      </c>
      <c r="H780" s="17" t="str">
        <f>IFERROR(IF(INDEX(Movimientos!$M$2:$M$1993,MATCH(A780&amp;"ENTRADA",Movimientos!$R$2:$R$1993,0))=0,"S/D",INDEX(Movimientos!$M$2:$M$1993,MATCH(A780&amp;"ENTRADA",Movimientos!$R$2:$R$1993,0))),"S/D")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3087</v>
      </c>
      <c r="B781" s="2" t="str">
        <f>IFERROR(INDEX(Movimientos!$C$2:$C$1993,MATCH(A781&amp;"ENTRADA",Movimientos!$R$2:$R$1993,0)),"-")</f>
        <v>-</v>
      </c>
      <c r="C781" s="2" t="str">
        <f>IFERROR(INDEX(Movimientos!$D$2:$D$1993,MATCH(A781&amp;"ENTRADA",Movimientos!$R$2:$R$1993,0)),"-")</f>
        <v>-</v>
      </c>
      <c r="D781" s="2" t="str">
        <f>IFERROR(INDEX(Movimientos!$E$2:$E$1993,MATCH(A781&amp;"ENTRADA",Movimientos!$R$2:$R$1993,0)),"-")</f>
        <v>-</v>
      </c>
      <c r="E781" s="2" t="str">
        <f>IFERROR(INDEX(Movimientos!$F$2:$F$1993,MATCH(A781&amp;"ENTRADA",Movimientos!$R$2:$R$1993,0)),"-")</f>
        <v>-</v>
      </c>
      <c r="F781" s="2" t="str">
        <f>IFERROR(INDEX(Movimientos!$G$2:$G$1993,MATCH(A781&amp;"ENTRADA",Movimientos!$R$2:$R$1993,0)),"-")</f>
        <v>-</v>
      </c>
      <c r="G781" s="2" t="str">
        <f>IFERROR(INDEX(Movimientos!$L$2:$L$1993,MATCH(A781&amp;"ENTRADA",Movimientos!$R$2:$R$1993,0)),"-")</f>
        <v>-</v>
      </c>
      <c r="H781" s="17" t="str">
        <f>IFERROR(IF(INDEX(Movimientos!$M$2:$M$1993,MATCH(A781&amp;"ENTRADA",Movimientos!$R$2:$R$1993,0))=0,"S/D",INDEX(Movimientos!$M$2:$M$1993,MATCH(A781&amp;"ENTRADA",Movimientos!$R$2:$R$1993,0))),"S/D")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3088</v>
      </c>
      <c r="B782" s="2" t="str">
        <f>IFERROR(INDEX(Movimientos!$C$2:$C$1993,MATCH(A782&amp;"ENTRADA",Movimientos!$R$2:$R$1993,0)),"-")</f>
        <v>-</v>
      </c>
      <c r="C782" s="2" t="str">
        <f>IFERROR(INDEX(Movimientos!$D$2:$D$1993,MATCH(A782&amp;"ENTRADA",Movimientos!$R$2:$R$1993,0)),"-")</f>
        <v>-</v>
      </c>
      <c r="D782" s="2" t="str">
        <f>IFERROR(INDEX(Movimientos!$E$2:$E$1993,MATCH(A782&amp;"ENTRADA",Movimientos!$R$2:$R$1993,0)),"-")</f>
        <v>-</v>
      </c>
      <c r="E782" s="2" t="str">
        <f>IFERROR(INDEX(Movimientos!$F$2:$F$1993,MATCH(A782&amp;"ENTRADA",Movimientos!$R$2:$R$1993,0)),"-")</f>
        <v>-</v>
      </c>
      <c r="F782" s="2" t="str">
        <f>IFERROR(INDEX(Movimientos!$G$2:$G$1993,MATCH(A782&amp;"ENTRADA",Movimientos!$R$2:$R$1993,0)),"-")</f>
        <v>-</v>
      </c>
      <c r="G782" s="2" t="str">
        <f>IFERROR(INDEX(Movimientos!$L$2:$L$1993,MATCH(A782&amp;"ENTRADA",Movimientos!$R$2:$R$1993,0)),"-")</f>
        <v>-</v>
      </c>
      <c r="H782" s="17" t="str">
        <f>IFERROR(IF(INDEX(Movimientos!$M$2:$M$1993,MATCH(A782&amp;"ENTRADA",Movimientos!$R$2:$R$1993,0))=0,"S/D",INDEX(Movimientos!$M$2:$M$1993,MATCH(A782&amp;"ENTRADA",Movimientos!$R$2:$R$1993,0))),"S/D")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3089</v>
      </c>
      <c r="B783" s="2" t="str">
        <f>IFERROR(INDEX(Movimientos!$C$2:$C$1993,MATCH(A783&amp;"ENTRADA",Movimientos!$R$2:$R$1993,0)),"-")</f>
        <v>-</v>
      </c>
      <c r="C783" s="2" t="str">
        <f>IFERROR(INDEX(Movimientos!$D$2:$D$1993,MATCH(A783&amp;"ENTRADA",Movimientos!$R$2:$R$1993,0)),"-")</f>
        <v>-</v>
      </c>
      <c r="D783" s="2" t="str">
        <f>IFERROR(INDEX(Movimientos!$E$2:$E$1993,MATCH(A783&amp;"ENTRADA",Movimientos!$R$2:$R$1993,0)),"-")</f>
        <v>-</v>
      </c>
      <c r="E783" s="2" t="str">
        <f>IFERROR(INDEX(Movimientos!$F$2:$F$1993,MATCH(A783&amp;"ENTRADA",Movimientos!$R$2:$R$1993,0)),"-")</f>
        <v>-</v>
      </c>
      <c r="F783" s="2" t="str">
        <f>IFERROR(INDEX(Movimientos!$G$2:$G$1993,MATCH(A783&amp;"ENTRADA",Movimientos!$R$2:$R$1993,0)),"-")</f>
        <v>-</v>
      </c>
      <c r="G783" s="2" t="str">
        <f>IFERROR(INDEX(Movimientos!$L$2:$L$1993,MATCH(A783&amp;"ENTRADA",Movimientos!$R$2:$R$1993,0)),"-")</f>
        <v>-</v>
      </c>
      <c r="H783" s="17" t="str">
        <f>IFERROR(IF(INDEX(Movimientos!$M$2:$M$1993,MATCH(A783&amp;"ENTRADA",Movimientos!$R$2:$R$1993,0))=0,"S/D",INDEX(Movimientos!$M$2:$M$1993,MATCH(A783&amp;"ENTRADA",Movimientos!$R$2:$R$1993,0))),"S/D")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3090</v>
      </c>
      <c r="B784" s="2" t="str">
        <f>IFERROR(INDEX(Movimientos!$C$2:$C$1993,MATCH(A784&amp;"ENTRADA",Movimientos!$R$2:$R$1993,0)),"-")</f>
        <v>-</v>
      </c>
      <c r="C784" s="2" t="str">
        <f>IFERROR(INDEX(Movimientos!$D$2:$D$1993,MATCH(A784&amp;"ENTRADA",Movimientos!$R$2:$R$1993,0)),"-")</f>
        <v>-</v>
      </c>
      <c r="D784" s="2" t="str">
        <f>IFERROR(INDEX(Movimientos!$E$2:$E$1993,MATCH(A784&amp;"ENTRADA",Movimientos!$R$2:$R$1993,0)),"-")</f>
        <v>-</v>
      </c>
      <c r="E784" s="2" t="str">
        <f>IFERROR(INDEX(Movimientos!$F$2:$F$1993,MATCH(A784&amp;"ENTRADA",Movimientos!$R$2:$R$1993,0)),"-")</f>
        <v>-</v>
      </c>
      <c r="F784" s="2" t="str">
        <f>IFERROR(INDEX(Movimientos!$G$2:$G$1993,MATCH(A784&amp;"ENTRADA",Movimientos!$R$2:$R$1993,0)),"-")</f>
        <v>-</v>
      </c>
      <c r="G784" s="2" t="str">
        <f>IFERROR(INDEX(Movimientos!$L$2:$L$1993,MATCH(A784&amp;"ENTRADA",Movimientos!$R$2:$R$1993,0)),"-")</f>
        <v>-</v>
      </c>
      <c r="H784" s="17" t="str">
        <f>IFERROR(IF(INDEX(Movimientos!$M$2:$M$1993,MATCH(A784&amp;"ENTRADA",Movimientos!$R$2:$R$1993,0))=0,"S/D",INDEX(Movimientos!$M$2:$M$1993,MATCH(A784&amp;"ENTRADA",Movimientos!$R$2:$R$1993,0))),"S/D")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3091</v>
      </c>
      <c r="B785" s="2" t="str">
        <f>IFERROR(INDEX(Movimientos!$C$2:$C$1993,MATCH(A785&amp;"ENTRADA",Movimientos!$R$2:$R$1993,0)),"-")</f>
        <v>-</v>
      </c>
      <c r="C785" s="2" t="str">
        <f>IFERROR(INDEX(Movimientos!$D$2:$D$1993,MATCH(A785&amp;"ENTRADA",Movimientos!$R$2:$R$1993,0)),"-")</f>
        <v>-</v>
      </c>
      <c r="D785" s="2" t="str">
        <f>IFERROR(INDEX(Movimientos!$E$2:$E$1993,MATCH(A785&amp;"ENTRADA",Movimientos!$R$2:$R$1993,0)),"-")</f>
        <v>-</v>
      </c>
      <c r="E785" s="2" t="str">
        <f>IFERROR(INDEX(Movimientos!$F$2:$F$1993,MATCH(A785&amp;"ENTRADA",Movimientos!$R$2:$R$1993,0)),"-")</f>
        <v>-</v>
      </c>
      <c r="F785" s="2" t="str">
        <f>IFERROR(INDEX(Movimientos!$G$2:$G$1993,MATCH(A785&amp;"ENTRADA",Movimientos!$R$2:$R$1993,0)),"-")</f>
        <v>-</v>
      </c>
      <c r="G785" s="2" t="str">
        <f>IFERROR(INDEX(Movimientos!$L$2:$L$1993,MATCH(A785&amp;"ENTRADA",Movimientos!$R$2:$R$1993,0)),"-")</f>
        <v>-</v>
      </c>
      <c r="H785" s="17" t="str">
        <f>IFERROR(IF(INDEX(Movimientos!$M$2:$M$1993,MATCH(A785&amp;"ENTRADA",Movimientos!$R$2:$R$1993,0))=0,"S/D",INDEX(Movimientos!$M$2:$M$1993,MATCH(A785&amp;"ENTRADA",Movimientos!$R$2:$R$1993,0))),"S/D")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3092</v>
      </c>
      <c r="B786" s="2" t="str">
        <f>IFERROR(INDEX(Movimientos!$C$2:$C$1993,MATCH(A786&amp;"ENTRADA",Movimientos!$R$2:$R$1993,0)),"-")</f>
        <v>-</v>
      </c>
      <c r="C786" s="2" t="str">
        <f>IFERROR(INDEX(Movimientos!$D$2:$D$1993,MATCH(A786&amp;"ENTRADA",Movimientos!$R$2:$R$1993,0)),"-")</f>
        <v>-</v>
      </c>
      <c r="D786" s="2" t="str">
        <f>IFERROR(INDEX(Movimientos!$E$2:$E$1993,MATCH(A786&amp;"ENTRADA",Movimientos!$R$2:$R$1993,0)),"-")</f>
        <v>-</v>
      </c>
      <c r="E786" s="2" t="str">
        <f>IFERROR(INDEX(Movimientos!$F$2:$F$1993,MATCH(A786&amp;"ENTRADA",Movimientos!$R$2:$R$1993,0)),"-")</f>
        <v>-</v>
      </c>
      <c r="F786" s="2" t="str">
        <f>IFERROR(INDEX(Movimientos!$G$2:$G$1993,MATCH(A786&amp;"ENTRADA",Movimientos!$R$2:$R$1993,0)),"-")</f>
        <v>-</v>
      </c>
      <c r="G786" s="2" t="str">
        <f>IFERROR(INDEX(Movimientos!$L$2:$L$1993,MATCH(A786&amp;"ENTRADA",Movimientos!$R$2:$R$1993,0)),"-")</f>
        <v>-</v>
      </c>
      <c r="H786" s="17" t="str">
        <f>IFERROR(IF(INDEX(Movimientos!$M$2:$M$1993,MATCH(A786&amp;"ENTRADA",Movimientos!$R$2:$R$1993,0))=0,"S/D",INDEX(Movimientos!$M$2:$M$1993,MATCH(A786&amp;"ENTRADA",Movimientos!$R$2:$R$1993,0))),"S/D")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3093</v>
      </c>
      <c r="B787" s="2" t="str">
        <f>IFERROR(INDEX(Movimientos!$C$2:$C$1993,MATCH(A787&amp;"ENTRADA",Movimientos!$R$2:$R$1993,0)),"-")</f>
        <v>-</v>
      </c>
      <c r="C787" s="2" t="str">
        <f>IFERROR(INDEX(Movimientos!$D$2:$D$1993,MATCH(A787&amp;"ENTRADA",Movimientos!$R$2:$R$1993,0)),"-")</f>
        <v>-</v>
      </c>
      <c r="D787" s="2" t="str">
        <f>IFERROR(INDEX(Movimientos!$E$2:$E$1993,MATCH(A787&amp;"ENTRADA",Movimientos!$R$2:$R$1993,0)),"-")</f>
        <v>-</v>
      </c>
      <c r="E787" s="2" t="str">
        <f>IFERROR(INDEX(Movimientos!$F$2:$F$1993,MATCH(A787&amp;"ENTRADA",Movimientos!$R$2:$R$1993,0)),"-")</f>
        <v>-</v>
      </c>
      <c r="F787" s="2" t="str">
        <f>IFERROR(INDEX(Movimientos!$G$2:$G$1993,MATCH(A787&amp;"ENTRADA",Movimientos!$R$2:$R$1993,0)),"-")</f>
        <v>-</v>
      </c>
      <c r="G787" s="2" t="str">
        <f>IFERROR(INDEX(Movimientos!$L$2:$L$1993,MATCH(A787&amp;"ENTRADA",Movimientos!$R$2:$R$1993,0)),"-")</f>
        <v>-</v>
      </c>
      <c r="H787" s="17" t="str">
        <f>IFERROR(IF(INDEX(Movimientos!$M$2:$M$1993,MATCH(A787&amp;"ENTRADA",Movimientos!$R$2:$R$1993,0))=0,"S/D",INDEX(Movimientos!$M$2:$M$1993,MATCH(A787&amp;"ENTRADA",Movimientos!$R$2:$R$1993,0))),"S/D")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3094</v>
      </c>
      <c r="B788" s="2" t="str">
        <f>IFERROR(INDEX(Movimientos!$C$2:$C$1993,MATCH(A788&amp;"ENTRADA",Movimientos!$R$2:$R$1993,0)),"-")</f>
        <v>-</v>
      </c>
      <c r="C788" s="2" t="str">
        <f>IFERROR(INDEX(Movimientos!$D$2:$D$1993,MATCH(A788&amp;"ENTRADA",Movimientos!$R$2:$R$1993,0)),"-")</f>
        <v>-</v>
      </c>
      <c r="D788" s="2" t="str">
        <f>IFERROR(INDEX(Movimientos!$E$2:$E$1993,MATCH(A788&amp;"ENTRADA",Movimientos!$R$2:$R$1993,0)),"-")</f>
        <v>-</v>
      </c>
      <c r="E788" s="2" t="str">
        <f>IFERROR(INDEX(Movimientos!$F$2:$F$1993,MATCH(A788&amp;"ENTRADA",Movimientos!$R$2:$R$1993,0)),"-")</f>
        <v>-</v>
      </c>
      <c r="F788" s="2" t="str">
        <f>IFERROR(INDEX(Movimientos!$G$2:$G$1993,MATCH(A788&amp;"ENTRADA",Movimientos!$R$2:$R$1993,0)),"-")</f>
        <v>-</v>
      </c>
      <c r="G788" s="2" t="str">
        <f>IFERROR(INDEX(Movimientos!$L$2:$L$1993,MATCH(A788&amp;"ENTRADA",Movimientos!$R$2:$R$1993,0)),"-")</f>
        <v>-</v>
      </c>
      <c r="H788" s="17" t="str">
        <f>IFERROR(IF(INDEX(Movimientos!$M$2:$M$1993,MATCH(A788&amp;"ENTRADA",Movimientos!$R$2:$R$1993,0))=0,"S/D",INDEX(Movimientos!$M$2:$M$1993,MATCH(A788&amp;"ENTRADA",Movimientos!$R$2:$R$1993,0))),"S/D")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3095</v>
      </c>
      <c r="B789" s="2" t="str">
        <f>IFERROR(INDEX(Movimientos!$C$2:$C$1993,MATCH(A789&amp;"ENTRADA",Movimientos!$R$2:$R$1993,0)),"-")</f>
        <v>-</v>
      </c>
      <c r="C789" s="2" t="str">
        <f>IFERROR(INDEX(Movimientos!$D$2:$D$1993,MATCH(A789&amp;"ENTRADA",Movimientos!$R$2:$R$1993,0)),"-")</f>
        <v>-</v>
      </c>
      <c r="D789" s="2" t="str">
        <f>IFERROR(INDEX(Movimientos!$E$2:$E$1993,MATCH(A789&amp;"ENTRADA",Movimientos!$R$2:$R$1993,0)),"-")</f>
        <v>-</v>
      </c>
      <c r="E789" s="2" t="str">
        <f>IFERROR(INDEX(Movimientos!$F$2:$F$1993,MATCH(A789&amp;"ENTRADA",Movimientos!$R$2:$R$1993,0)),"-")</f>
        <v>-</v>
      </c>
      <c r="F789" s="2" t="str">
        <f>IFERROR(INDEX(Movimientos!$G$2:$G$1993,MATCH(A789&amp;"ENTRADA",Movimientos!$R$2:$R$1993,0)),"-")</f>
        <v>-</v>
      </c>
      <c r="G789" s="2" t="str">
        <f>IFERROR(INDEX(Movimientos!$L$2:$L$1993,MATCH(A789&amp;"ENTRADA",Movimientos!$R$2:$R$1993,0)),"-")</f>
        <v>-</v>
      </c>
      <c r="H789" s="17" t="str">
        <f>IFERROR(IF(INDEX(Movimientos!$M$2:$M$1993,MATCH(A789&amp;"ENTRADA",Movimientos!$R$2:$R$1993,0))=0,"S/D",INDEX(Movimientos!$M$2:$M$1993,MATCH(A789&amp;"ENTRADA",Movimientos!$R$2:$R$1993,0))),"S/D")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3096</v>
      </c>
      <c r="B790" s="2" t="str">
        <f>IFERROR(INDEX(Movimientos!$C$2:$C$1993,MATCH(A790&amp;"ENTRADA",Movimientos!$R$2:$R$1993,0)),"-")</f>
        <v>-</v>
      </c>
      <c r="C790" s="2" t="str">
        <f>IFERROR(INDEX(Movimientos!$D$2:$D$1993,MATCH(A790&amp;"ENTRADA",Movimientos!$R$2:$R$1993,0)),"-")</f>
        <v>-</v>
      </c>
      <c r="D790" s="2" t="str">
        <f>IFERROR(INDEX(Movimientos!$E$2:$E$1993,MATCH(A790&amp;"ENTRADA",Movimientos!$R$2:$R$1993,0)),"-")</f>
        <v>-</v>
      </c>
      <c r="E790" s="2" t="str">
        <f>IFERROR(INDEX(Movimientos!$F$2:$F$1993,MATCH(A790&amp;"ENTRADA",Movimientos!$R$2:$R$1993,0)),"-")</f>
        <v>-</v>
      </c>
      <c r="F790" s="2" t="str">
        <f>IFERROR(INDEX(Movimientos!$G$2:$G$1993,MATCH(A790&amp;"ENTRADA",Movimientos!$R$2:$R$1993,0)),"-")</f>
        <v>-</v>
      </c>
      <c r="G790" s="2" t="str">
        <f>IFERROR(INDEX(Movimientos!$L$2:$L$1993,MATCH(A790&amp;"ENTRADA",Movimientos!$R$2:$R$1993,0)),"-")</f>
        <v>-</v>
      </c>
      <c r="H790" s="17" t="str">
        <f>IFERROR(IF(INDEX(Movimientos!$M$2:$M$1993,MATCH(A790&amp;"ENTRADA",Movimientos!$R$2:$R$1993,0))=0,"S/D",INDEX(Movimientos!$M$2:$M$1993,MATCH(A790&amp;"ENTRADA",Movimientos!$R$2:$R$1993,0))),"S/D")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3097</v>
      </c>
      <c r="B791" s="2" t="str">
        <f>IFERROR(INDEX(Movimientos!$C$2:$C$1993,MATCH(A791&amp;"ENTRADA",Movimientos!$R$2:$R$1993,0)),"-")</f>
        <v>-</v>
      </c>
      <c r="C791" s="2" t="str">
        <f>IFERROR(INDEX(Movimientos!$D$2:$D$1993,MATCH(A791&amp;"ENTRADA",Movimientos!$R$2:$R$1993,0)),"-")</f>
        <v>-</v>
      </c>
      <c r="D791" s="2" t="str">
        <f>IFERROR(INDEX(Movimientos!$E$2:$E$1993,MATCH(A791&amp;"ENTRADA",Movimientos!$R$2:$R$1993,0)),"-")</f>
        <v>-</v>
      </c>
      <c r="E791" s="2" t="str">
        <f>IFERROR(INDEX(Movimientos!$F$2:$F$1993,MATCH(A791&amp;"ENTRADA",Movimientos!$R$2:$R$1993,0)),"-")</f>
        <v>-</v>
      </c>
      <c r="F791" s="2" t="str">
        <f>IFERROR(INDEX(Movimientos!$G$2:$G$1993,MATCH(A791&amp;"ENTRADA",Movimientos!$R$2:$R$1993,0)),"-")</f>
        <v>-</v>
      </c>
      <c r="G791" s="2" t="str">
        <f>IFERROR(INDEX(Movimientos!$L$2:$L$1993,MATCH(A791&amp;"ENTRADA",Movimientos!$R$2:$R$1993,0)),"-")</f>
        <v>-</v>
      </c>
      <c r="H791" s="17" t="str">
        <f>IFERROR(IF(INDEX(Movimientos!$M$2:$M$1993,MATCH(A791&amp;"ENTRADA",Movimientos!$R$2:$R$1993,0))=0,"S/D",INDEX(Movimientos!$M$2:$M$1993,MATCH(A791&amp;"ENTRADA",Movimientos!$R$2:$R$1993,0))),"S/D")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3098</v>
      </c>
      <c r="B792" s="2" t="str">
        <f>IFERROR(INDEX(Movimientos!$C$2:$C$1993,MATCH(A792&amp;"ENTRADA",Movimientos!$R$2:$R$1993,0)),"-")</f>
        <v>-</v>
      </c>
      <c r="C792" s="2" t="str">
        <f>IFERROR(INDEX(Movimientos!$D$2:$D$1993,MATCH(A792&amp;"ENTRADA",Movimientos!$R$2:$R$1993,0)),"-")</f>
        <v>-</v>
      </c>
      <c r="D792" s="2" t="str">
        <f>IFERROR(INDEX(Movimientos!$E$2:$E$1993,MATCH(A792&amp;"ENTRADA",Movimientos!$R$2:$R$1993,0)),"-")</f>
        <v>-</v>
      </c>
      <c r="E792" s="2" t="str">
        <f>IFERROR(INDEX(Movimientos!$F$2:$F$1993,MATCH(A792&amp;"ENTRADA",Movimientos!$R$2:$R$1993,0)),"-")</f>
        <v>-</v>
      </c>
      <c r="F792" s="2" t="str">
        <f>IFERROR(INDEX(Movimientos!$G$2:$G$1993,MATCH(A792&amp;"ENTRADA",Movimientos!$R$2:$R$1993,0)),"-")</f>
        <v>-</v>
      </c>
      <c r="G792" s="2" t="str">
        <f>IFERROR(INDEX(Movimientos!$L$2:$L$1993,MATCH(A792&amp;"ENTRADA",Movimientos!$R$2:$R$1993,0)),"-")</f>
        <v>-</v>
      </c>
      <c r="H792" s="17" t="str">
        <f>IFERROR(IF(INDEX(Movimientos!$M$2:$M$1993,MATCH(A792&amp;"ENTRADA",Movimientos!$R$2:$R$1993,0))=0,"S/D",INDEX(Movimientos!$M$2:$M$1993,MATCH(A792&amp;"ENTRADA",Movimientos!$R$2:$R$1993,0))),"S/D")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3099</v>
      </c>
      <c r="B793" s="2" t="str">
        <f>IFERROR(INDEX(Movimientos!$C$2:$C$1993,MATCH(A793&amp;"ENTRADA",Movimientos!$R$2:$R$1993,0)),"-")</f>
        <v>-</v>
      </c>
      <c r="C793" s="2" t="str">
        <f>IFERROR(INDEX(Movimientos!$D$2:$D$1993,MATCH(A793&amp;"ENTRADA",Movimientos!$R$2:$R$1993,0)),"-")</f>
        <v>-</v>
      </c>
      <c r="D793" s="2" t="str">
        <f>IFERROR(INDEX(Movimientos!$E$2:$E$1993,MATCH(A793&amp;"ENTRADA",Movimientos!$R$2:$R$1993,0)),"-")</f>
        <v>-</v>
      </c>
      <c r="E793" s="2" t="str">
        <f>IFERROR(INDEX(Movimientos!$F$2:$F$1993,MATCH(A793&amp;"ENTRADA",Movimientos!$R$2:$R$1993,0)),"-")</f>
        <v>-</v>
      </c>
      <c r="F793" s="2" t="str">
        <f>IFERROR(INDEX(Movimientos!$G$2:$G$1993,MATCH(A793&amp;"ENTRADA",Movimientos!$R$2:$R$1993,0)),"-")</f>
        <v>-</v>
      </c>
      <c r="G793" s="2" t="str">
        <f>IFERROR(INDEX(Movimientos!$L$2:$L$1993,MATCH(A793&amp;"ENTRADA",Movimientos!$R$2:$R$1993,0)),"-")</f>
        <v>-</v>
      </c>
      <c r="H793" s="17" t="str">
        <f>IFERROR(IF(INDEX(Movimientos!$M$2:$M$1993,MATCH(A793&amp;"ENTRADA",Movimientos!$R$2:$R$1993,0))=0,"S/D",INDEX(Movimientos!$M$2:$M$1993,MATCH(A793&amp;"ENTRADA",Movimientos!$R$2:$R$1993,0))),"S/D")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3100</v>
      </c>
      <c r="B794" s="2" t="str">
        <f>IFERROR(INDEX(Movimientos!$C$2:$C$1993,MATCH(A794&amp;"ENTRADA",Movimientos!$R$2:$R$1993,0)),"-")</f>
        <v>-</v>
      </c>
      <c r="C794" s="2" t="str">
        <f>IFERROR(INDEX(Movimientos!$D$2:$D$1993,MATCH(A794&amp;"ENTRADA",Movimientos!$R$2:$R$1993,0)),"-")</f>
        <v>-</v>
      </c>
      <c r="D794" s="2" t="str">
        <f>IFERROR(INDEX(Movimientos!$E$2:$E$1993,MATCH(A794&amp;"ENTRADA",Movimientos!$R$2:$R$1993,0)),"-")</f>
        <v>-</v>
      </c>
      <c r="E794" s="2" t="str">
        <f>IFERROR(INDEX(Movimientos!$F$2:$F$1993,MATCH(A794&amp;"ENTRADA",Movimientos!$R$2:$R$1993,0)),"-")</f>
        <v>-</v>
      </c>
      <c r="F794" s="2" t="str">
        <f>IFERROR(INDEX(Movimientos!$G$2:$G$1993,MATCH(A794&amp;"ENTRADA",Movimientos!$R$2:$R$1993,0)),"-")</f>
        <v>-</v>
      </c>
      <c r="G794" s="2" t="str">
        <f>IFERROR(INDEX(Movimientos!$L$2:$L$1993,MATCH(A794&amp;"ENTRADA",Movimientos!$R$2:$R$1993,0)),"-")</f>
        <v>-</v>
      </c>
      <c r="H794" s="17" t="str">
        <f>IFERROR(IF(INDEX(Movimientos!$M$2:$M$1993,MATCH(A794&amp;"ENTRADA",Movimientos!$R$2:$R$1993,0))=0,"S/D",INDEX(Movimientos!$M$2:$M$1993,MATCH(A794&amp;"ENTRADA",Movimientos!$R$2:$R$1993,0))),"S/D")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3101</v>
      </c>
      <c r="B795" s="2" t="str">
        <f>IFERROR(INDEX(Movimientos!$C$2:$C$1993,MATCH(A795&amp;"ENTRADA",Movimientos!$R$2:$R$1993,0)),"-")</f>
        <v>-</v>
      </c>
      <c r="C795" s="2" t="str">
        <f>IFERROR(INDEX(Movimientos!$D$2:$D$1993,MATCH(A795&amp;"ENTRADA",Movimientos!$R$2:$R$1993,0)),"-")</f>
        <v>-</v>
      </c>
      <c r="D795" s="2" t="str">
        <f>IFERROR(INDEX(Movimientos!$E$2:$E$1993,MATCH(A795&amp;"ENTRADA",Movimientos!$R$2:$R$1993,0)),"-")</f>
        <v>-</v>
      </c>
      <c r="E795" s="2" t="str">
        <f>IFERROR(INDEX(Movimientos!$F$2:$F$1993,MATCH(A795&amp;"ENTRADA",Movimientos!$R$2:$R$1993,0)),"-")</f>
        <v>-</v>
      </c>
      <c r="F795" s="2" t="str">
        <f>IFERROR(INDEX(Movimientos!$G$2:$G$1993,MATCH(A795&amp;"ENTRADA",Movimientos!$R$2:$R$1993,0)),"-")</f>
        <v>-</v>
      </c>
      <c r="G795" s="2" t="str">
        <f>IFERROR(INDEX(Movimientos!$L$2:$L$1993,MATCH(A795&amp;"ENTRADA",Movimientos!$R$2:$R$1993,0)),"-")</f>
        <v>-</v>
      </c>
      <c r="H795" s="17" t="str">
        <f>IFERROR(IF(INDEX(Movimientos!$M$2:$M$1993,MATCH(A795&amp;"ENTRADA",Movimientos!$R$2:$R$1993,0))=0,"S/D",INDEX(Movimientos!$M$2:$M$1993,MATCH(A795&amp;"ENTRADA",Movimientos!$R$2:$R$1993,0))),"S/D")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3102</v>
      </c>
      <c r="B796" s="2" t="str">
        <f>IFERROR(INDEX(Movimientos!$C$2:$C$1993,MATCH(A796&amp;"ENTRADA",Movimientos!$R$2:$R$1993,0)),"-")</f>
        <v>-</v>
      </c>
      <c r="C796" s="2" t="str">
        <f>IFERROR(INDEX(Movimientos!$D$2:$D$1993,MATCH(A796&amp;"ENTRADA",Movimientos!$R$2:$R$1993,0)),"-")</f>
        <v>-</v>
      </c>
      <c r="D796" s="2" t="str">
        <f>IFERROR(INDEX(Movimientos!$E$2:$E$1993,MATCH(A796&amp;"ENTRADA",Movimientos!$R$2:$R$1993,0)),"-")</f>
        <v>-</v>
      </c>
      <c r="E796" s="2" t="str">
        <f>IFERROR(INDEX(Movimientos!$F$2:$F$1993,MATCH(A796&amp;"ENTRADA",Movimientos!$R$2:$R$1993,0)),"-")</f>
        <v>-</v>
      </c>
      <c r="F796" s="2" t="str">
        <f>IFERROR(INDEX(Movimientos!$G$2:$G$1993,MATCH(A796&amp;"ENTRADA",Movimientos!$R$2:$R$1993,0)),"-")</f>
        <v>-</v>
      </c>
      <c r="G796" s="2" t="str">
        <f>IFERROR(INDEX(Movimientos!$L$2:$L$1993,MATCH(A796&amp;"ENTRADA",Movimientos!$R$2:$R$1993,0)),"-")</f>
        <v>-</v>
      </c>
      <c r="H796" s="17" t="str">
        <f>IFERROR(IF(INDEX(Movimientos!$M$2:$M$1993,MATCH(A796&amp;"ENTRADA",Movimientos!$R$2:$R$1993,0))=0,"S/D",INDEX(Movimientos!$M$2:$M$1993,MATCH(A796&amp;"ENTRADA",Movimientos!$R$2:$R$1993,0))),"S/D")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3103</v>
      </c>
      <c r="B797" s="2" t="str">
        <f>IFERROR(INDEX(Movimientos!$C$2:$C$1993,MATCH(A797&amp;"ENTRADA",Movimientos!$R$2:$R$1993,0)),"-")</f>
        <v>-</v>
      </c>
      <c r="C797" s="2" t="str">
        <f>IFERROR(INDEX(Movimientos!$D$2:$D$1993,MATCH(A797&amp;"ENTRADA",Movimientos!$R$2:$R$1993,0)),"-")</f>
        <v>-</v>
      </c>
      <c r="D797" s="2" t="str">
        <f>IFERROR(INDEX(Movimientos!$E$2:$E$1993,MATCH(A797&amp;"ENTRADA",Movimientos!$R$2:$R$1993,0)),"-")</f>
        <v>-</v>
      </c>
      <c r="E797" s="2" t="str">
        <f>IFERROR(INDEX(Movimientos!$F$2:$F$1993,MATCH(A797&amp;"ENTRADA",Movimientos!$R$2:$R$1993,0)),"-")</f>
        <v>-</v>
      </c>
      <c r="F797" s="2" t="str">
        <f>IFERROR(INDEX(Movimientos!$G$2:$G$1993,MATCH(A797&amp;"ENTRADA",Movimientos!$R$2:$R$1993,0)),"-")</f>
        <v>-</v>
      </c>
      <c r="G797" s="2" t="str">
        <f>IFERROR(INDEX(Movimientos!$L$2:$L$1993,MATCH(A797&amp;"ENTRADA",Movimientos!$R$2:$R$1993,0)),"-")</f>
        <v>-</v>
      </c>
      <c r="H797" s="17" t="str">
        <f>IFERROR(IF(INDEX(Movimientos!$M$2:$M$1993,MATCH(A797&amp;"ENTRADA",Movimientos!$R$2:$R$1993,0))=0,"S/D",INDEX(Movimientos!$M$2:$M$1993,MATCH(A797&amp;"ENTRADA",Movimientos!$R$2:$R$1993,0))),"S/D")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3104</v>
      </c>
      <c r="B798" s="2" t="str">
        <f>IFERROR(INDEX(Movimientos!$C$2:$C$1993,MATCH(A798&amp;"ENTRADA",Movimientos!$R$2:$R$1993,0)),"-")</f>
        <v>-</v>
      </c>
      <c r="C798" s="2" t="str">
        <f>IFERROR(INDEX(Movimientos!$D$2:$D$1993,MATCH(A798&amp;"ENTRADA",Movimientos!$R$2:$R$1993,0)),"-")</f>
        <v>-</v>
      </c>
      <c r="D798" s="2" t="str">
        <f>IFERROR(INDEX(Movimientos!$E$2:$E$1993,MATCH(A798&amp;"ENTRADA",Movimientos!$R$2:$R$1993,0)),"-")</f>
        <v>-</v>
      </c>
      <c r="E798" s="2" t="str">
        <f>IFERROR(INDEX(Movimientos!$F$2:$F$1993,MATCH(A798&amp;"ENTRADA",Movimientos!$R$2:$R$1993,0)),"-")</f>
        <v>-</v>
      </c>
      <c r="F798" s="2" t="str">
        <f>IFERROR(INDEX(Movimientos!$G$2:$G$1993,MATCH(A798&amp;"ENTRADA",Movimientos!$R$2:$R$1993,0)),"-")</f>
        <v>-</v>
      </c>
      <c r="G798" s="2" t="str">
        <f>IFERROR(INDEX(Movimientos!$L$2:$L$1993,MATCH(A798&amp;"ENTRADA",Movimientos!$R$2:$R$1993,0)),"-")</f>
        <v>-</v>
      </c>
      <c r="H798" s="17" t="str">
        <f>IFERROR(IF(INDEX(Movimientos!$M$2:$M$1993,MATCH(A798&amp;"ENTRADA",Movimientos!$R$2:$R$1993,0))=0,"S/D",INDEX(Movimientos!$M$2:$M$1993,MATCH(A798&amp;"ENTRADA",Movimientos!$R$2:$R$1993,0))),"S/D")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3105</v>
      </c>
      <c r="B799" s="2" t="str">
        <f>IFERROR(INDEX(Movimientos!$C$2:$C$1993,MATCH(A799&amp;"ENTRADA",Movimientos!$R$2:$R$1993,0)),"-")</f>
        <v>-</v>
      </c>
      <c r="C799" s="2" t="str">
        <f>IFERROR(INDEX(Movimientos!$D$2:$D$1993,MATCH(A799&amp;"ENTRADA",Movimientos!$R$2:$R$1993,0)),"-")</f>
        <v>-</v>
      </c>
      <c r="D799" s="2" t="str">
        <f>IFERROR(INDEX(Movimientos!$E$2:$E$1993,MATCH(A799&amp;"ENTRADA",Movimientos!$R$2:$R$1993,0)),"-")</f>
        <v>-</v>
      </c>
      <c r="E799" s="2" t="str">
        <f>IFERROR(INDEX(Movimientos!$F$2:$F$1993,MATCH(A799&amp;"ENTRADA",Movimientos!$R$2:$R$1993,0)),"-")</f>
        <v>-</v>
      </c>
      <c r="F799" s="2" t="str">
        <f>IFERROR(INDEX(Movimientos!$G$2:$G$1993,MATCH(A799&amp;"ENTRADA",Movimientos!$R$2:$R$1993,0)),"-")</f>
        <v>-</v>
      </c>
      <c r="G799" s="2" t="str">
        <f>IFERROR(INDEX(Movimientos!$L$2:$L$1993,MATCH(A799&amp;"ENTRADA",Movimientos!$R$2:$R$1993,0)),"-")</f>
        <v>-</v>
      </c>
      <c r="H799" s="17" t="str">
        <f>IFERROR(IF(INDEX(Movimientos!$M$2:$M$1993,MATCH(A799&amp;"ENTRADA",Movimientos!$R$2:$R$1993,0))=0,"S/D",INDEX(Movimientos!$M$2:$M$1993,MATCH(A799&amp;"ENTRADA",Movimientos!$R$2:$R$1993,0))),"S/D")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3106</v>
      </c>
      <c r="B800" s="2" t="str">
        <f>IFERROR(INDEX(Movimientos!$C$2:$C$1993,MATCH(A800&amp;"ENTRADA",Movimientos!$R$2:$R$1993,0)),"-")</f>
        <v>-</v>
      </c>
      <c r="C800" s="2" t="str">
        <f>IFERROR(INDEX(Movimientos!$D$2:$D$1993,MATCH(A800&amp;"ENTRADA",Movimientos!$R$2:$R$1993,0)),"-")</f>
        <v>-</v>
      </c>
      <c r="D800" s="2" t="str">
        <f>IFERROR(INDEX(Movimientos!$E$2:$E$1993,MATCH(A800&amp;"ENTRADA",Movimientos!$R$2:$R$1993,0)),"-")</f>
        <v>-</v>
      </c>
      <c r="E800" s="2" t="str">
        <f>IFERROR(INDEX(Movimientos!$F$2:$F$1993,MATCH(A800&amp;"ENTRADA",Movimientos!$R$2:$R$1993,0)),"-")</f>
        <v>-</v>
      </c>
      <c r="F800" s="2" t="str">
        <f>IFERROR(INDEX(Movimientos!$G$2:$G$1993,MATCH(A800&amp;"ENTRADA",Movimientos!$R$2:$R$1993,0)),"-")</f>
        <v>-</v>
      </c>
      <c r="G800" s="2" t="str">
        <f>IFERROR(INDEX(Movimientos!$L$2:$L$1993,MATCH(A800&amp;"ENTRADA",Movimientos!$R$2:$R$1993,0)),"-")</f>
        <v>-</v>
      </c>
      <c r="H800" s="17" t="str">
        <f>IFERROR(IF(INDEX(Movimientos!$M$2:$M$1993,MATCH(A800&amp;"ENTRADA",Movimientos!$R$2:$R$1993,0))=0,"S/D",INDEX(Movimientos!$M$2:$M$1993,MATCH(A800&amp;"ENTRADA",Movimientos!$R$2:$R$1993,0))),"S/D")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3107</v>
      </c>
      <c r="B801" s="2" t="str">
        <f>IFERROR(INDEX(Movimientos!$C$2:$C$1993,MATCH(A801&amp;"ENTRADA",Movimientos!$R$2:$R$1993,0)),"-")</f>
        <v>-</v>
      </c>
      <c r="C801" s="2" t="str">
        <f>IFERROR(INDEX(Movimientos!$D$2:$D$1993,MATCH(A801&amp;"ENTRADA",Movimientos!$R$2:$R$1993,0)),"-")</f>
        <v>-</v>
      </c>
      <c r="D801" s="2" t="str">
        <f>IFERROR(INDEX(Movimientos!$E$2:$E$1993,MATCH(A801&amp;"ENTRADA",Movimientos!$R$2:$R$1993,0)),"-")</f>
        <v>-</v>
      </c>
      <c r="E801" s="2" t="str">
        <f>IFERROR(INDEX(Movimientos!$F$2:$F$1993,MATCH(A801&amp;"ENTRADA",Movimientos!$R$2:$R$1993,0)),"-")</f>
        <v>-</v>
      </c>
      <c r="F801" s="2" t="str">
        <f>IFERROR(INDEX(Movimientos!$G$2:$G$1993,MATCH(A801&amp;"ENTRADA",Movimientos!$R$2:$R$1993,0)),"-")</f>
        <v>-</v>
      </c>
      <c r="G801" s="2" t="str">
        <f>IFERROR(INDEX(Movimientos!$L$2:$L$1993,MATCH(A801&amp;"ENTRADA",Movimientos!$R$2:$R$1993,0)),"-")</f>
        <v>-</v>
      </c>
      <c r="H801" s="17" t="str">
        <f>IFERROR(IF(INDEX(Movimientos!$M$2:$M$1993,MATCH(A801&amp;"ENTRADA",Movimientos!$R$2:$R$1993,0))=0,"S/D",INDEX(Movimientos!$M$2:$M$1993,MATCH(A801&amp;"ENTRADA",Movimientos!$R$2:$R$1993,0))),"S/D")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3108</v>
      </c>
      <c r="B802" s="2" t="str">
        <f>IFERROR(INDEX(Movimientos!$C$2:$C$1993,MATCH(A802&amp;"ENTRADA",Movimientos!$R$2:$R$1993,0)),"-")</f>
        <v>-</v>
      </c>
      <c r="C802" s="2" t="str">
        <f>IFERROR(INDEX(Movimientos!$D$2:$D$1993,MATCH(A802&amp;"ENTRADA",Movimientos!$R$2:$R$1993,0)),"-")</f>
        <v>-</v>
      </c>
      <c r="D802" s="2" t="str">
        <f>IFERROR(INDEX(Movimientos!$E$2:$E$1993,MATCH(A802&amp;"ENTRADA",Movimientos!$R$2:$R$1993,0)),"-")</f>
        <v>-</v>
      </c>
      <c r="E802" s="2" t="str">
        <f>IFERROR(INDEX(Movimientos!$F$2:$F$1993,MATCH(A802&amp;"ENTRADA",Movimientos!$R$2:$R$1993,0)),"-")</f>
        <v>-</v>
      </c>
      <c r="F802" s="2" t="str">
        <f>IFERROR(INDEX(Movimientos!$G$2:$G$1993,MATCH(A802&amp;"ENTRADA",Movimientos!$R$2:$R$1993,0)),"-")</f>
        <v>-</v>
      </c>
      <c r="G802" s="2" t="str">
        <f>IFERROR(INDEX(Movimientos!$L$2:$L$1993,MATCH(A802&amp;"ENTRADA",Movimientos!$R$2:$R$1993,0)),"-")</f>
        <v>-</v>
      </c>
      <c r="H802" s="17" t="str">
        <f>IFERROR(IF(INDEX(Movimientos!$M$2:$M$1993,MATCH(A802&amp;"ENTRADA",Movimientos!$R$2:$R$1993,0))=0,"S/D",INDEX(Movimientos!$M$2:$M$1993,MATCH(A802&amp;"ENTRADA",Movimientos!$R$2:$R$1993,0))),"S/D")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3109</v>
      </c>
      <c r="B803" s="2" t="str">
        <f>IFERROR(INDEX(Movimientos!$C$2:$C$1993,MATCH(A803&amp;"ENTRADA",Movimientos!$R$2:$R$1993,0)),"-")</f>
        <v>-</v>
      </c>
      <c r="C803" s="2" t="str">
        <f>IFERROR(INDEX(Movimientos!$D$2:$D$1993,MATCH(A803&amp;"ENTRADA",Movimientos!$R$2:$R$1993,0)),"-")</f>
        <v>-</v>
      </c>
      <c r="D803" s="2" t="str">
        <f>IFERROR(INDEX(Movimientos!$E$2:$E$1993,MATCH(A803&amp;"ENTRADA",Movimientos!$R$2:$R$1993,0)),"-")</f>
        <v>-</v>
      </c>
      <c r="E803" s="2" t="str">
        <f>IFERROR(INDEX(Movimientos!$F$2:$F$1993,MATCH(A803&amp;"ENTRADA",Movimientos!$R$2:$R$1993,0)),"-")</f>
        <v>-</v>
      </c>
      <c r="F803" s="2" t="str">
        <f>IFERROR(INDEX(Movimientos!$G$2:$G$1993,MATCH(A803&amp;"ENTRADA",Movimientos!$R$2:$R$1993,0)),"-")</f>
        <v>-</v>
      </c>
      <c r="G803" s="2" t="str">
        <f>IFERROR(INDEX(Movimientos!$L$2:$L$1993,MATCH(A803&amp;"ENTRADA",Movimientos!$R$2:$R$1993,0)),"-")</f>
        <v>-</v>
      </c>
      <c r="H803" s="17" t="str">
        <f>IFERROR(IF(INDEX(Movimientos!$M$2:$M$1993,MATCH(A803&amp;"ENTRADA",Movimientos!$R$2:$R$1993,0))=0,"S/D",INDEX(Movimientos!$M$2:$M$1993,MATCH(A803&amp;"ENTRADA",Movimientos!$R$2:$R$1993,0))),"S/D")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3110</v>
      </c>
      <c r="B804" s="2" t="str">
        <f>IFERROR(INDEX(Movimientos!$C$2:$C$1993,MATCH(A804&amp;"ENTRADA",Movimientos!$R$2:$R$1993,0)),"-")</f>
        <v>-</v>
      </c>
      <c r="C804" s="2" t="str">
        <f>IFERROR(INDEX(Movimientos!$D$2:$D$1993,MATCH(A804&amp;"ENTRADA",Movimientos!$R$2:$R$1993,0)),"-")</f>
        <v>-</v>
      </c>
      <c r="D804" s="2" t="str">
        <f>IFERROR(INDEX(Movimientos!$E$2:$E$1993,MATCH(A804&amp;"ENTRADA",Movimientos!$R$2:$R$1993,0)),"-")</f>
        <v>-</v>
      </c>
      <c r="E804" s="2" t="str">
        <f>IFERROR(INDEX(Movimientos!$F$2:$F$1993,MATCH(A804&amp;"ENTRADA",Movimientos!$R$2:$R$1993,0)),"-")</f>
        <v>-</v>
      </c>
      <c r="F804" s="2" t="str">
        <f>IFERROR(INDEX(Movimientos!$G$2:$G$1993,MATCH(A804&amp;"ENTRADA",Movimientos!$R$2:$R$1993,0)),"-")</f>
        <v>-</v>
      </c>
      <c r="G804" s="2" t="str">
        <f>IFERROR(INDEX(Movimientos!$L$2:$L$1993,MATCH(A804&amp;"ENTRADA",Movimientos!$R$2:$R$1993,0)),"-")</f>
        <v>-</v>
      </c>
      <c r="H804" s="17" t="str">
        <f>IFERROR(IF(INDEX(Movimientos!$M$2:$M$1993,MATCH(A804&amp;"ENTRADA",Movimientos!$R$2:$R$1993,0))=0,"S/D",INDEX(Movimientos!$M$2:$M$1993,MATCH(A804&amp;"ENTRADA",Movimientos!$R$2:$R$1993,0))),"S/D")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3111</v>
      </c>
      <c r="B805" s="2" t="str">
        <f>IFERROR(INDEX(Movimientos!$C$2:$C$1993,MATCH(A805&amp;"ENTRADA",Movimientos!$R$2:$R$1993,0)),"-")</f>
        <v>-</v>
      </c>
      <c r="C805" s="2" t="str">
        <f>IFERROR(INDEX(Movimientos!$D$2:$D$1993,MATCH(A805&amp;"ENTRADA",Movimientos!$R$2:$R$1993,0)),"-")</f>
        <v>-</v>
      </c>
      <c r="D805" s="2" t="str">
        <f>IFERROR(INDEX(Movimientos!$E$2:$E$1993,MATCH(A805&amp;"ENTRADA",Movimientos!$R$2:$R$1993,0)),"-")</f>
        <v>-</v>
      </c>
      <c r="E805" s="2" t="str">
        <f>IFERROR(INDEX(Movimientos!$F$2:$F$1993,MATCH(A805&amp;"ENTRADA",Movimientos!$R$2:$R$1993,0)),"-")</f>
        <v>-</v>
      </c>
      <c r="F805" s="2" t="str">
        <f>IFERROR(INDEX(Movimientos!$G$2:$G$1993,MATCH(A805&amp;"ENTRADA",Movimientos!$R$2:$R$1993,0)),"-")</f>
        <v>-</v>
      </c>
      <c r="G805" s="2" t="str">
        <f>IFERROR(INDEX(Movimientos!$L$2:$L$1993,MATCH(A805&amp;"ENTRADA",Movimientos!$R$2:$R$1993,0)),"-")</f>
        <v>-</v>
      </c>
      <c r="H805" s="17" t="str">
        <f>IFERROR(IF(INDEX(Movimientos!$M$2:$M$1993,MATCH(A805&amp;"ENTRADA",Movimientos!$R$2:$R$1993,0))=0,"S/D",INDEX(Movimientos!$M$2:$M$1993,MATCH(A805&amp;"ENTRADA",Movimientos!$R$2:$R$1993,0))),"S/D")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3112</v>
      </c>
      <c r="B806" s="2" t="str">
        <f>IFERROR(INDEX(Movimientos!$C$2:$C$1993,MATCH(A806&amp;"ENTRADA",Movimientos!$R$2:$R$1993,0)),"-")</f>
        <v>-</v>
      </c>
      <c r="C806" s="2" t="str">
        <f>IFERROR(INDEX(Movimientos!$D$2:$D$1993,MATCH(A806&amp;"ENTRADA",Movimientos!$R$2:$R$1993,0)),"-")</f>
        <v>-</v>
      </c>
      <c r="D806" s="2" t="str">
        <f>IFERROR(INDEX(Movimientos!$E$2:$E$1993,MATCH(A806&amp;"ENTRADA",Movimientos!$R$2:$R$1993,0)),"-")</f>
        <v>-</v>
      </c>
      <c r="E806" s="2" t="str">
        <f>IFERROR(INDEX(Movimientos!$F$2:$F$1993,MATCH(A806&amp;"ENTRADA",Movimientos!$R$2:$R$1993,0)),"-")</f>
        <v>-</v>
      </c>
      <c r="F806" s="2" t="str">
        <f>IFERROR(INDEX(Movimientos!$G$2:$G$1993,MATCH(A806&amp;"ENTRADA",Movimientos!$R$2:$R$1993,0)),"-")</f>
        <v>-</v>
      </c>
      <c r="G806" s="2" t="str">
        <f>IFERROR(INDEX(Movimientos!$L$2:$L$1993,MATCH(A806&amp;"ENTRADA",Movimientos!$R$2:$R$1993,0)),"-")</f>
        <v>-</v>
      </c>
      <c r="H806" s="17" t="str">
        <f>IFERROR(IF(INDEX(Movimientos!$M$2:$M$1993,MATCH(A806&amp;"ENTRADA",Movimientos!$R$2:$R$1993,0))=0,"S/D",INDEX(Movimientos!$M$2:$M$1993,MATCH(A806&amp;"ENTRADA",Movimientos!$R$2:$R$1993,0))),"S/D")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3113</v>
      </c>
      <c r="B807" s="2" t="str">
        <f>IFERROR(INDEX(Movimientos!$C$2:$C$1993,MATCH(A807&amp;"ENTRADA",Movimientos!$R$2:$R$1993,0)),"-")</f>
        <v>-</v>
      </c>
      <c r="C807" s="2" t="str">
        <f>IFERROR(INDEX(Movimientos!$D$2:$D$1993,MATCH(A807&amp;"ENTRADA",Movimientos!$R$2:$R$1993,0)),"-")</f>
        <v>-</v>
      </c>
      <c r="D807" s="2" t="str">
        <f>IFERROR(INDEX(Movimientos!$E$2:$E$1993,MATCH(A807&amp;"ENTRADA",Movimientos!$R$2:$R$1993,0)),"-")</f>
        <v>-</v>
      </c>
      <c r="E807" s="2" t="str">
        <f>IFERROR(INDEX(Movimientos!$F$2:$F$1993,MATCH(A807&amp;"ENTRADA",Movimientos!$R$2:$R$1993,0)),"-")</f>
        <v>-</v>
      </c>
      <c r="F807" s="2" t="str">
        <f>IFERROR(INDEX(Movimientos!$G$2:$G$1993,MATCH(A807&amp;"ENTRADA",Movimientos!$R$2:$R$1993,0)),"-")</f>
        <v>-</v>
      </c>
      <c r="G807" s="2" t="str">
        <f>IFERROR(INDEX(Movimientos!$L$2:$L$1993,MATCH(A807&amp;"ENTRADA",Movimientos!$R$2:$R$1993,0)),"-")</f>
        <v>-</v>
      </c>
      <c r="H807" s="17" t="str">
        <f>IFERROR(IF(INDEX(Movimientos!$M$2:$M$1993,MATCH(A807&amp;"ENTRADA",Movimientos!$R$2:$R$1993,0))=0,"S/D",INDEX(Movimientos!$M$2:$M$1993,MATCH(A807&amp;"ENTRADA",Movimientos!$R$2:$R$1993,0))),"S/D")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3114</v>
      </c>
      <c r="B808" s="2" t="str">
        <f>IFERROR(INDEX(Movimientos!$C$2:$C$1993,MATCH(A808&amp;"ENTRADA",Movimientos!$R$2:$R$1993,0)),"-")</f>
        <v>-</v>
      </c>
      <c r="C808" s="2" t="str">
        <f>IFERROR(INDEX(Movimientos!$D$2:$D$1993,MATCH(A808&amp;"ENTRADA",Movimientos!$R$2:$R$1993,0)),"-")</f>
        <v>-</v>
      </c>
      <c r="D808" s="2" t="str">
        <f>IFERROR(INDEX(Movimientos!$E$2:$E$1993,MATCH(A808&amp;"ENTRADA",Movimientos!$R$2:$R$1993,0)),"-")</f>
        <v>-</v>
      </c>
      <c r="E808" s="2" t="str">
        <f>IFERROR(INDEX(Movimientos!$F$2:$F$1993,MATCH(A808&amp;"ENTRADA",Movimientos!$R$2:$R$1993,0)),"-")</f>
        <v>-</v>
      </c>
      <c r="F808" s="2" t="str">
        <f>IFERROR(INDEX(Movimientos!$G$2:$G$1993,MATCH(A808&amp;"ENTRADA",Movimientos!$R$2:$R$1993,0)),"-")</f>
        <v>-</v>
      </c>
      <c r="G808" s="2" t="str">
        <f>IFERROR(INDEX(Movimientos!$L$2:$L$1993,MATCH(A808&amp;"ENTRADA",Movimientos!$R$2:$R$1993,0)),"-")</f>
        <v>-</v>
      </c>
      <c r="H808" s="17" t="str">
        <f>IFERROR(IF(INDEX(Movimientos!$M$2:$M$1993,MATCH(A808&amp;"ENTRADA",Movimientos!$R$2:$R$1993,0))=0,"S/D",INDEX(Movimientos!$M$2:$M$1993,MATCH(A808&amp;"ENTRADA",Movimientos!$R$2:$R$1993,0))),"S/D")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3115</v>
      </c>
      <c r="B809" s="2" t="str">
        <f>IFERROR(INDEX(Movimientos!$C$2:$C$1993,MATCH(A809&amp;"ENTRADA",Movimientos!$R$2:$R$1993,0)),"-")</f>
        <v>-</v>
      </c>
      <c r="C809" s="2" t="str">
        <f>IFERROR(INDEX(Movimientos!$D$2:$D$1993,MATCH(A809&amp;"ENTRADA",Movimientos!$R$2:$R$1993,0)),"-")</f>
        <v>-</v>
      </c>
      <c r="D809" s="2" t="str">
        <f>IFERROR(INDEX(Movimientos!$E$2:$E$1993,MATCH(A809&amp;"ENTRADA",Movimientos!$R$2:$R$1993,0)),"-")</f>
        <v>-</v>
      </c>
      <c r="E809" s="2" t="str">
        <f>IFERROR(INDEX(Movimientos!$F$2:$F$1993,MATCH(A809&amp;"ENTRADA",Movimientos!$R$2:$R$1993,0)),"-")</f>
        <v>-</v>
      </c>
      <c r="F809" s="2" t="str">
        <f>IFERROR(INDEX(Movimientos!$G$2:$G$1993,MATCH(A809&amp;"ENTRADA",Movimientos!$R$2:$R$1993,0)),"-")</f>
        <v>-</v>
      </c>
      <c r="G809" s="2" t="str">
        <f>IFERROR(INDEX(Movimientos!$L$2:$L$1993,MATCH(A809&amp;"ENTRADA",Movimientos!$R$2:$R$1993,0)),"-")</f>
        <v>-</v>
      </c>
      <c r="H809" s="17" t="str">
        <f>IFERROR(IF(INDEX(Movimientos!$M$2:$M$1993,MATCH(A809&amp;"ENTRADA",Movimientos!$R$2:$R$1993,0))=0,"S/D",INDEX(Movimientos!$M$2:$M$1993,MATCH(A809&amp;"ENTRADA",Movimientos!$R$2:$R$1993,0))),"S/D")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3116</v>
      </c>
      <c r="B810" s="2" t="str">
        <f>IFERROR(INDEX(Movimientos!$C$2:$C$1993,MATCH(A810&amp;"ENTRADA",Movimientos!$R$2:$R$1993,0)),"-")</f>
        <v>-</v>
      </c>
      <c r="C810" s="2" t="str">
        <f>IFERROR(INDEX(Movimientos!$D$2:$D$1993,MATCH(A810&amp;"ENTRADA",Movimientos!$R$2:$R$1993,0)),"-")</f>
        <v>-</v>
      </c>
      <c r="D810" s="2" t="str">
        <f>IFERROR(INDEX(Movimientos!$E$2:$E$1993,MATCH(A810&amp;"ENTRADA",Movimientos!$R$2:$R$1993,0)),"-")</f>
        <v>-</v>
      </c>
      <c r="E810" s="2" t="str">
        <f>IFERROR(INDEX(Movimientos!$F$2:$F$1993,MATCH(A810&amp;"ENTRADA",Movimientos!$R$2:$R$1993,0)),"-")</f>
        <v>-</v>
      </c>
      <c r="F810" s="2" t="str">
        <f>IFERROR(INDEX(Movimientos!$G$2:$G$1993,MATCH(A810&amp;"ENTRADA",Movimientos!$R$2:$R$1993,0)),"-")</f>
        <v>-</v>
      </c>
      <c r="G810" s="2" t="str">
        <f>IFERROR(INDEX(Movimientos!$L$2:$L$1993,MATCH(A810&amp;"ENTRADA",Movimientos!$R$2:$R$1993,0)),"-")</f>
        <v>-</v>
      </c>
      <c r="H810" s="17" t="str">
        <f>IFERROR(IF(INDEX(Movimientos!$M$2:$M$1993,MATCH(A810&amp;"ENTRADA",Movimientos!$R$2:$R$1993,0))=0,"S/D",INDEX(Movimientos!$M$2:$M$1993,MATCH(A810&amp;"ENTRADA",Movimientos!$R$2:$R$1993,0))),"S/D")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3117</v>
      </c>
      <c r="B811" s="2" t="str">
        <f>IFERROR(INDEX(Movimientos!$C$2:$C$1993,MATCH(A811&amp;"ENTRADA",Movimientos!$R$2:$R$1993,0)),"-")</f>
        <v>-</v>
      </c>
      <c r="C811" s="2" t="str">
        <f>IFERROR(INDEX(Movimientos!$D$2:$D$1993,MATCH(A811&amp;"ENTRADA",Movimientos!$R$2:$R$1993,0)),"-")</f>
        <v>-</v>
      </c>
      <c r="D811" s="2" t="str">
        <f>IFERROR(INDEX(Movimientos!$E$2:$E$1993,MATCH(A811&amp;"ENTRADA",Movimientos!$R$2:$R$1993,0)),"-")</f>
        <v>-</v>
      </c>
      <c r="E811" s="2" t="str">
        <f>IFERROR(INDEX(Movimientos!$F$2:$F$1993,MATCH(A811&amp;"ENTRADA",Movimientos!$R$2:$R$1993,0)),"-")</f>
        <v>-</v>
      </c>
      <c r="F811" s="2" t="str">
        <f>IFERROR(INDEX(Movimientos!$G$2:$G$1993,MATCH(A811&amp;"ENTRADA",Movimientos!$R$2:$R$1993,0)),"-")</f>
        <v>-</v>
      </c>
      <c r="G811" s="2" t="str">
        <f>IFERROR(INDEX(Movimientos!$L$2:$L$1993,MATCH(A811&amp;"ENTRADA",Movimientos!$R$2:$R$1993,0)),"-")</f>
        <v>-</v>
      </c>
      <c r="H811" s="17" t="str">
        <f>IFERROR(IF(INDEX(Movimientos!$M$2:$M$1993,MATCH(A811&amp;"ENTRADA",Movimientos!$R$2:$R$1993,0))=0,"S/D",INDEX(Movimientos!$M$2:$M$1993,MATCH(A811&amp;"ENTRADA",Movimientos!$R$2:$R$1993,0))),"S/D")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3118</v>
      </c>
      <c r="B812" s="2" t="str">
        <f>IFERROR(INDEX(Movimientos!$C$2:$C$1993,MATCH(A812&amp;"ENTRADA",Movimientos!$R$2:$R$1993,0)),"-")</f>
        <v>-</v>
      </c>
      <c r="C812" s="2" t="str">
        <f>IFERROR(INDEX(Movimientos!$D$2:$D$1993,MATCH(A812&amp;"ENTRADA",Movimientos!$R$2:$R$1993,0)),"-")</f>
        <v>-</v>
      </c>
      <c r="D812" s="2" t="str">
        <f>IFERROR(INDEX(Movimientos!$E$2:$E$1993,MATCH(A812&amp;"ENTRADA",Movimientos!$R$2:$R$1993,0)),"-")</f>
        <v>-</v>
      </c>
      <c r="E812" s="2" t="str">
        <f>IFERROR(INDEX(Movimientos!$F$2:$F$1993,MATCH(A812&amp;"ENTRADA",Movimientos!$R$2:$R$1993,0)),"-")</f>
        <v>-</v>
      </c>
      <c r="F812" s="2" t="str">
        <f>IFERROR(INDEX(Movimientos!$G$2:$G$1993,MATCH(A812&amp;"ENTRADA",Movimientos!$R$2:$R$1993,0)),"-")</f>
        <v>-</v>
      </c>
      <c r="G812" s="2" t="str">
        <f>IFERROR(INDEX(Movimientos!$L$2:$L$1993,MATCH(A812&amp;"ENTRADA",Movimientos!$R$2:$R$1993,0)),"-")</f>
        <v>-</v>
      </c>
      <c r="H812" s="17" t="str">
        <f>IFERROR(IF(INDEX(Movimientos!$M$2:$M$1993,MATCH(A812&amp;"ENTRADA",Movimientos!$R$2:$R$1993,0))=0,"S/D",INDEX(Movimientos!$M$2:$M$1993,MATCH(A812&amp;"ENTRADA",Movimientos!$R$2:$R$1993,0))),"S/D")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3119</v>
      </c>
      <c r="B813" s="2" t="str">
        <f>IFERROR(INDEX(Movimientos!$C$2:$C$1993,MATCH(A813&amp;"ENTRADA",Movimientos!$R$2:$R$1993,0)),"-")</f>
        <v>-</v>
      </c>
      <c r="C813" s="2" t="str">
        <f>IFERROR(INDEX(Movimientos!$D$2:$D$1993,MATCH(A813&amp;"ENTRADA",Movimientos!$R$2:$R$1993,0)),"-")</f>
        <v>-</v>
      </c>
      <c r="D813" s="2" t="str">
        <f>IFERROR(INDEX(Movimientos!$E$2:$E$1993,MATCH(A813&amp;"ENTRADA",Movimientos!$R$2:$R$1993,0)),"-")</f>
        <v>-</v>
      </c>
      <c r="E813" s="2" t="str">
        <f>IFERROR(INDEX(Movimientos!$F$2:$F$1993,MATCH(A813&amp;"ENTRADA",Movimientos!$R$2:$R$1993,0)),"-")</f>
        <v>-</v>
      </c>
      <c r="F813" s="2" t="str">
        <f>IFERROR(INDEX(Movimientos!$G$2:$G$1993,MATCH(A813&amp;"ENTRADA",Movimientos!$R$2:$R$1993,0)),"-")</f>
        <v>-</v>
      </c>
      <c r="G813" s="2" t="str">
        <f>IFERROR(INDEX(Movimientos!$L$2:$L$1993,MATCH(A813&amp;"ENTRADA",Movimientos!$R$2:$R$1993,0)),"-")</f>
        <v>-</v>
      </c>
      <c r="H813" s="17" t="str">
        <f>IFERROR(IF(INDEX(Movimientos!$M$2:$M$1993,MATCH(A813&amp;"ENTRADA",Movimientos!$R$2:$R$1993,0))=0,"S/D",INDEX(Movimientos!$M$2:$M$1993,MATCH(A813&amp;"ENTRADA",Movimientos!$R$2:$R$1993,0))),"S/D")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3120</v>
      </c>
      <c r="B814" s="2" t="str">
        <f>IFERROR(INDEX(Movimientos!$C$2:$C$1993,MATCH(A814&amp;"ENTRADA",Movimientos!$R$2:$R$1993,0)),"-")</f>
        <v>-</v>
      </c>
      <c r="C814" s="2" t="str">
        <f>IFERROR(INDEX(Movimientos!$D$2:$D$1993,MATCH(A814&amp;"ENTRADA",Movimientos!$R$2:$R$1993,0)),"-")</f>
        <v>-</v>
      </c>
      <c r="D814" s="2" t="str">
        <f>IFERROR(INDEX(Movimientos!$E$2:$E$1993,MATCH(A814&amp;"ENTRADA",Movimientos!$R$2:$R$1993,0)),"-")</f>
        <v>-</v>
      </c>
      <c r="E814" s="2" t="str">
        <f>IFERROR(INDEX(Movimientos!$F$2:$F$1993,MATCH(A814&amp;"ENTRADA",Movimientos!$R$2:$R$1993,0)),"-")</f>
        <v>-</v>
      </c>
      <c r="F814" s="2" t="str">
        <f>IFERROR(INDEX(Movimientos!$G$2:$G$1993,MATCH(A814&amp;"ENTRADA",Movimientos!$R$2:$R$1993,0)),"-")</f>
        <v>-</v>
      </c>
      <c r="G814" s="2" t="str">
        <f>IFERROR(INDEX(Movimientos!$L$2:$L$1993,MATCH(A814&amp;"ENTRADA",Movimientos!$R$2:$R$1993,0)),"-")</f>
        <v>-</v>
      </c>
      <c r="H814" s="17" t="str">
        <f>IFERROR(IF(INDEX(Movimientos!$M$2:$M$1993,MATCH(A814&amp;"ENTRADA",Movimientos!$R$2:$R$1993,0))=0,"S/D",INDEX(Movimientos!$M$2:$M$1993,MATCH(A814&amp;"ENTRADA",Movimientos!$R$2:$R$1993,0))),"S/D")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3121</v>
      </c>
      <c r="B815" s="2" t="str">
        <f>IFERROR(INDEX(Movimientos!$C$2:$C$1993,MATCH(A815&amp;"ENTRADA",Movimientos!$R$2:$R$1993,0)),"-")</f>
        <v>-</v>
      </c>
      <c r="C815" s="2" t="str">
        <f>IFERROR(INDEX(Movimientos!$D$2:$D$1993,MATCH(A815&amp;"ENTRADA",Movimientos!$R$2:$R$1993,0)),"-")</f>
        <v>-</v>
      </c>
      <c r="D815" s="2" t="str">
        <f>IFERROR(INDEX(Movimientos!$E$2:$E$1993,MATCH(A815&amp;"ENTRADA",Movimientos!$R$2:$R$1993,0)),"-")</f>
        <v>-</v>
      </c>
      <c r="E815" s="2" t="str">
        <f>IFERROR(INDEX(Movimientos!$F$2:$F$1993,MATCH(A815&amp;"ENTRADA",Movimientos!$R$2:$R$1993,0)),"-")</f>
        <v>-</v>
      </c>
      <c r="F815" s="2" t="str">
        <f>IFERROR(INDEX(Movimientos!$G$2:$G$1993,MATCH(A815&amp;"ENTRADA",Movimientos!$R$2:$R$1993,0)),"-")</f>
        <v>-</v>
      </c>
      <c r="G815" s="2" t="str">
        <f>IFERROR(INDEX(Movimientos!$L$2:$L$1993,MATCH(A815&amp;"ENTRADA",Movimientos!$R$2:$R$1993,0)),"-")</f>
        <v>-</v>
      </c>
      <c r="H815" s="17" t="str">
        <f>IFERROR(IF(INDEX(Movimientos!$M$2:$M$1993,MATCH(A815&amp;"ENTRADA",Movimientos!$R$2:$R$1993,0))=0,"S/D",INDEX(Movimientos!$M$2:$M$1993,MATCH(A815&amp;"ENTRADA",Movimientos!$R$2:$R$1993,0))),"S/D")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3122</v>
      </c>
      <c r="B816" s="2" t="str">
        <f>IFERROR(INDEX(Movimientos!$C$2:$C$1993,MATCH(A816&amp;"ENTRADA",Movimientos!$R$2:$R$1993,0)),"-")</f>
        <v>-</v>
      </c>
      <c r="C816" s="2" t="str">
        <f>IFERROR(INDEX(Movimientos!$D$2:$D$1993,MATCH(A816&amp;"ENTRADA",Movimientos!$R$2:$R$1993,0)),"-")</f>
        <v>-</v>
      </c>
      <c r="D816" s="2" t="str">
        <f>IFERROR(INDEX(Movimientos!$E$2:$E$1993,MATCH(A816&amp;"ENTRADA",Movimientos!$R$2:$R$1993,0)),"-")</f>
        <v>-</v>
      </c>
      <c r="E816" s="2" t="str">
        <f>IFERROR(INDEX(Movimientos!$F$2:$F$1993,MATCH(A816&amp;"ENTRADA",Movimientos!$R$2:$R$1993,0)),"-")</f>
        <v>-</v>
      </c>
      <c r="F816" s="2" t="str">
        <f>IFERROR(INDEX(Movimientos!$G$2:$G$1993,MATCH(A816&amp;"ENTRADA",Movimientos!$R$2:$R$1993,0)),"-")</f>
        <v>-</v>
      </c>
      <c r="G816" s="2" t="str">
        <f>IFERROR(INDEX(Movimientos!$L$2:$L$1993,MATCH(A816&amp;"ENTRADA",Movimientos!$R$2:$R$1993,0)),"-")</f>
        <v>-</v>
      </c>
      <c r="H816" s="17" t="str">
        <f>IFERROR(IF(INDEX(Movimientos!$M$2:$M$1993,MATCH(A816&amp;"ENTRADA",Movimientos!$R$2:$R$1993,0))=0,"S/D",INDEX(Movimientos!$M$2:$M$1993,MATCH(A816&amp;"ENTRADA",Movimientos!$R$2:$R$1993,0))),"S/D")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3123</v>
      </c>
      <c r="B817" s="2" t="str">
        <f>IFERROR(INDEX(Movimientos!$C$2:$C$1993,MATCH(A817&amp;"ENTRADA",Movimientos!$R$2:$R$1993,0)),"-")</f>
        <v>-</v>
      </c>
      <c r="C817" s="2" t="str">
        <f>IFERROR(INDEX(Movimientos!$D$2:$D$1993,MATCH(A817&amp;"ENTRADA",Movimientos!$R$2:$R$1993,0)),"-")</f>
        <v>-</v>
      </c>
      <c r="D817" s="2" t="str">
        <f>IFERROR(INDEX(Movimientos!$E$2:$E$1993,MATCH(A817&amp;"ENTRADA",Movimientos!$R$2:$R$1993,0)),"-")</f>
        <v>-</v>
      </c>
      <c r="E817" s="2" t="str">
        <f>IFERROR(INDEX(Movimientos!$F$2:$F$1993,MATCH(A817&amp;"ENTRADA",Movimientos!$R$2:$R$1993,0)),"-")</f>
        <v>-</v>
      </c>
      <c r="F817" s="2" t="str">
        <f>IFERROR(INDEX(Movimientos!$G$2:$G$1993,MATCH(A817&amp;"ENTRADA",Movimientos!$R$2:$R$1993,0)),"-")</f>
        <v>-</v>
      </c>
      <c r="G817" s="2" t="str">
        <f>IFERROR(INDEX(Movimientos!$L$2:$L$1993,MATCH(A817&amp;"ENTRADA",Movimientos!$R$2:$R$1993,0)),"-")</f>
        <v>-</v>
      </c>
      <c r="H817" s="17" t="str">
        <f>IFERROR(IF(INDEX(Movimientos!$M$2:$M$1993,MATCH(A817&amp;"ENTRADA",Movimientos!$R$2:$R$1993,0))=0,"S/D",INDEX(Movimientos!$M$2:$M$1993,MATCH(A817&amp;"ENTRADA",Movimientos!$R$2:$R$1993,0))),"S/D")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3124</v>
      </c>
      <c r="B818" s="2" t="str">
        <f>IFERROR(INDEX(Movimientos!$C$2:$C$1993,MATCH(A818&amp;"ENTRADA",Movimientos!$R$2:$R$1993,0)),"-")</f>
        <v>-</v>
      </c>
      <c r="C818" s="2" t="str">
        <f>IFERROR(INDEX(Movimientos!$D$2:$D$1993,MATCH(A818&amp;"ENTRADA",Movimientos!$R$2:$R$1993,0)),"-")</f>
        <v>-</v>
      </c>
      <c r="D818" s="2" t="str">
        <f>IFERROR(INDEX(Movimientos!$E$2:$E$1993,MATCH(A818&amp;"ENTRADA",Movimientos!$R$2:$R$1993,0)),"-")</f>
        <v>-</v>
      </c>
      <c r="E818" s="2" t="str">
        <f>IFERROR(INDEX(Movimientos!$F$2:$F$1993,MATCH(A818&amp;"ENTRADA",Movimientos!$R$2:$R$1993,0)),"-")</f>
        <v>-</v>
      </c>
      <c r="F818" s="2" t="str">
        <f>IFERROR(INDEX(Movimientos!$G$2:$G$1993,MATCH(A818&amp;"ENTRADA",Movimientos!$R$2:$R$1993,0)),"-")</f>
        <v>-</v>
      </c>
      <c r="G818" s="2" t="str">
        <f>IFERROR(INDEX(Movimientos!$L$2:$L$1993,MATCH(A818&amp;"ENTRADA",Movimientos!$R$2:$R$1993,0)),"-")</f>
        <v>-</v>
      </c>
      <c r="H818" s="17" t="str">
        <f>IFERROR(IF(INDEX(Movimientos!$M$2:$M$1993,MATCH(A818&amp;"ENTRADA",Movimientos!$R$2:$R$1993,0))=0,"S/D",INDEX(Movimientos!$M$2:$M$1993,MATCH(A818&amp;"ENTRADA",Movimientos!$R$2:$R$1993,0))),"S/D")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3125</v>
      </c>
      <c r="B819" s="2" t="str">
        <f>IFERROR(INDEX(Movimientos!$C$2:$C$1993,MATCH(A819&amp;"ENTRADA",Movimientos!$R$2:$R$1993,0)),"-")</f>
        <v>-</v>
      </c>
      <c r="C819" s="2" t="str">
        <f>IFERROR(INDEX(Movimientos!$D$2:$D$1993,MATCH(A819&amp;"ENTRADA",Movimientos!$R$2:$R$1993,0)),"-")</f>
        <v>-</v>
      </c>
      <c r="D819" s="2" t="str">
        <f>IFERROR(INDEX(Movimientos!$E$2:$E$1993,MATCH(A819&amp;"ENTRADA",Movimientos!$R$2:$R$1993,0)),"-")</f>
        <v>-</v>
      </c>
      <c r="E819" s="2" t="str">
        <f>IFERROR(INDEX(Movimientos!$F$2:$F$1993,MATCH(A819&amp;"ENTRADA",Movimientos!$R$2:$R$1993,0)),"-")</f>
        <v>-</v>
      </c>
      <c r="F819" s="2" t="str">
        <f>IFERROR(INDEX(Movimientos!$G$2:$G$1993,MATCH(A819&amp;"ENTRADA",Movimientos!$R$2:$R$1993,0)),"-")</f>
        <v>-</v>
      </c>
      <c r="G819" s="2" t="str">
        <f>IFERROR(INDEX(Movimientos!$L$2:$L$1993,MATCH(A819&amp;"ENTRADA",Movimientos!$R$2:$R$1993,0)),"-")</f>
        <v>-</v>
      </c>
      <c r="H819" s="17" t="str">
        <f>IFERROR(IF(INDEX(Movimientos!$M$2:$M$1993,MATCH(A819&amp;"ENTRADA",Movimientos!$R$2:$R$1993,0))=0,"S/D",INDEX(Movimientos!$M$2:$M$1993,MATCH(A819&amp;"ENTRADA",Movimientos!$R$2:$R$1993,0))),"S/D")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3126</v>
      </c>
      <c r="B820" s="2" t="str">
        <f>IFERROR(INDEX(Movimientos!$C$2:$C$1993,MATCH(A820&amp;"ENTRADA",Movimientos!$R$2:$R$1993,0)),"-")</f>
        <v>-</v>
      </c>
      <c r="C820" s="2" t="str">
        <f>IFERROR(INDEX(Movimientos!$D$2:$D$1993,MATCH(A820&amp;"ENTRADA",Movimientos!$R$2:$R$1993,0)),"-")</f>
        <v>-</v>
      </c>
      <c r="D820" s="2" t="str">
        <f>IFERROR(INDEX(Movimientos!$E$2:$E$1993,MATCH(A820&amp;"ENTRADA",Movimientos!$R$2:$R$1993,0)),"-")</f>
        <v>-</v>
      </c>
      <c r="E820" s="2" t="str">
        <f>IFERROR(INDEX(Movimientos!$F$2:$F$1993,MATCH(A820&amp;"ENTRADA",Movimientos!$R$2:$R$1993,0)),"-")</f>
        <v>-</v>
      </c>
      <c r="F820" s="2" t="str">
        <f>IFERROR(INDEX(Movimientos!$G$2:$G$1993,MATCH(A820&amp;"ENTRADA",Movimientos!$R$2:$R$1993,0)),"-")</f>
        <v>-</v>
      </c>
      <c r="G820" s="2" t="str">
        <f>IFERROR(INDEX(Movimientos!$L$2:$L$1993,MATCH(A820&amp;"ENTRADA",Movimientos!$R$2:$R$1993,0)),"-")</f>
        <v>-</v>
      </c>
      <c r="H820" s="17" t="str">
        <f>IFERROR(IF(INDEX(Movimientos!$M$2:$M$1993,MATCH(A820&amp;"ENTRADA",Movimientos!$R$2:$R$1993,0))=0,"S/D",INDEX(Movimientos!$M$2:$M$1993,MATCH(A820&amp;"ENTRADA",Movimientos!$R$2:$R$1993,0))),"S/D")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3127</v>
      </c>
      <c r="B821" s="2" t="str">
        <f>IFERROR(INDEX(Movimientos!$C$2:$C$1993,MATCH(A821&amp;"ENTRADA",Movimientos!$R$2:$R$1993,0)),"-")</f>
        <v>-</v>
      </c>
      <c r="C821" s="2" t="str">
        <f>IFERROR(INDEX(Movimientos!$D$2:$D$1993,MATCH(A821&amp;"ENTRADA",Movimientos!$R$2:$R$1993,0)),"-")</f>
        <v>-</v>
      </c>
      <c r="D821" s="2" t="str">
        <f>IFERROR(INDEX(Movimientos!$E$2:$E$1993,MATCH(A821&amp;"ENTRADA",Movimientos!$R$2:$R$1993,0)),"-")</f>
        <v>-</v>
      </c>
      <c r="E821" s="2" t="str">
        <f>IFERROR(INDEX(Movimientos!$F$2:$F$1993,MATCH(A821&amp;"ENTRADA",Movimientos!$R$2:$R$1993,0)),"-")</f>
        <v>-</v>
      </c>
      <c r="F821" s="2" t="str">
        <f>IFERROR(INDEX(Movimientos!$G$2:$G$1993,MATCH(A821&amp;"ENTRADA",Movimientos!$R$2:$R$1993,0)),"-")</f>
        <v>-</v>
      </c>
      <c r="G821" s="2" t="str">
        <f>IFERROR(INDEX(Movimientos!$L$2:$L$1993,MATCH(A821&amp;"ENTRADA",Movimientos!$R$2:$R$1993,0)),"-")</f>
        <v>-</v>
      </c>
      <c r="H821" s="17" t="str">
        <f>IFERROR(IF(INDEX(Movimientos!$M$2:$M$1993,MATCH(A821&amp;"ENTRADA",Movimientos!$R$2:$R$1993,0))=0,"S/D",INDEX(Movimientos!$M$2:$M$1993,MATCH(A821&amp;"ENTRADA",Movimientos!$R$2:$R$1993,0))),"S/D")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3128</v>
      </c>
      <c r="B822" s="2" t="str">
        <f>IFERROR(INDEX(Movimientos!$C$2:$C$1993,MATCH(A822&amp;"ENTRADA",Movimientos!$R$2:$R$1993,0)),"-")</f>
        <v>-</v>
      </c>
      <c r="C822" s="2" t="str">
        <f>IFERROR(INDEX(Movimientos!$D$2:$D$1993,MATCH(A822&amp;"ENTRADA",Movimientos!$R$2:$R$1993,0)),"-")</f>
        <v>-</v>
      </c>
      <c r="D822" s="2" t="str">
        <f>IFERROR(INDEX(Movimientos!$E$2:$E$1993,MATCH(A822&amp;"ENTRADA",Movimientos!$R$2:$R$1993,0)),"-")</f>
        <v>-</v>
      </c>
      <c r="E822" s="2" t="str">
        <f>IFERROR(INDEX(Movimientos!$F$2:$F$1993,MATCH(A822&amp;"ENTRADA",Movimientos!$R$2:$R$1993,0)),"-")</f>
        <v>-</v>
      </c>
      <c r="F822" s="2" t="str">
        <f>IFERROR(INDEX(Movimientos!$G$2:$G$1993,MATCH(A822&amp;"ENTRADA",Movimientos!$R$2:$R$1993,0)),"-")</f>
        <v>-</v>
      </c>
      <c r="G822" s="2" t="str">
        <f>IFERROR(INDEX(Movimientos!$L$2:$L$1993,MATCH(A822&amp;"ENTRADA",Movimientos!$R$2:$R$1993,0)),"-")</f>
        <v>-</v>
      </c>
      <c r="H822" s="17" t="str">
        <f>IFERROR(IF(INDEX(Movimientos!$M$2:$M$1993,MATCH(A822&amp;"ENTRADA",Movimientos!$R$2:$R$1993,0))=0,"S/D",INDEX(Movimientos!$M$2:$M$1993,MATCH(A822&amp;"ENTRADA",Movimientos!$R$2:$R$1993,0))),"S/D")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3129</v>
      </c>
      <c r="B823" s="2" t="str">
        <f>IFERROR(INDEX(Movimientos!$C$2:$C$1993,MATCH(A823&amp;"ENTRADA",Movimientos!$R$2:$R$1993,0)),"-")</f>
        <v>-</v>
      </c>
      <c r="C823" s="2" t="str">
        <f>IFERROR(INDEX(Movimientos!$D$2:$D$1993,MATCH(A823&amp;"ENTRADA",Movimientos!$R$2:$R$1993,0)),"-")</f>
        <v>-</v>
      </c>
      <c r="D823" s="2" t="str">
        <f>IFERROR(INDEX(Movimientos!$E$2:$E$1993,MATCH(A823&amp;"ENTRADA",Movimientos!$R$2:$R$1993,0)),"-")</f>
        <v>-</v>
      </c>
      <c r="E823" s="2" t="str">
        <f>IFERROR(INDEX(Movimientos!$F$2:$F$1993,MATCH(A823&amp;"ENTRADA",Movimientos!$R$2:$R$1993,0)),"-")</f>
        <v>-</v>
      </c>
      <c r="F823" s="2" t="str">
        <f>IFERROR(INDEX(Movimientos!$G$2:$G$1993,MATCH(A823&amp;"ENTRADA",Movimientos!$R$2:$R$1993,0)),"-")</f>
        <v>-</v>
      </c>
      <c r="G823" s="2" t="str">
        <f>IFERROR(INDEX(Movimientos!$L$2:$L$1993,MATCH(A823&amp;"ENTRADA",Movimientos!$R$2:$R$1993,0)),"-")</f>
        <v>-</v>
      </c>
      <c r="H823" s="17" t="str">
        <f>IFERROR(IF(INDEX(Movimientos!$M$2:$M$1993,MATCH(A823&amp;"ENTRADA",Movimientos!$R$2:$R$1993,0))=0,"S/D",INDEX(Movimientos!$M$2:$M$1993,MATCH(A823&amp;"ENTRADA",Movimientos!$R$2:$R$1993,0))),"S/D")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3130</v>
      </c>
      <c r="B824" s="2" t="str">
        <f>IFERROR(INDEX(Movimientos!$C$2:$C$1993,MATCH(A824&amp;"ENTRADA",Movimientos!$R$2:$R$1993,0)),"-")</f>
        <v>-</v>
      </c>
      <c r="C824" s="2" t="str">
        <f>IFERROR(INDEX(Movimientos!$D$2:$D$1993,MATCH(A824&amp;"ENTRADA",Movimientos!$R$2:$R$1993,0)),"-")</f>
        <v>-</v>
      </c>
      <c r="D824" s="2" t="str">
        <f>IFERROR(INDEX(Movimientos!$E$2:$E$1993,MATCH(A824&amp;"ENTRADA",Movimientos!$R$2:$R$1993,0)),"-")</f>
        <v>-</v>
      </c>
      <c r="E824" s="2" t="str">
        <f>IFERROR(INDEX(Movimientos!$F$2:$F$1993,MATCH(A824&amp;"ENTRADA",Movimientos!$R$2:$R$1993,0)),"-")</f>
        <v>-</v>
      </c>
      <c r="F824" s="2" t="str">
        <f>IFERROR(INDEX(Movimientos!$G$2:$G$1993,MATCH(A824&amp;"ENTRADA",Movimientos!$R$2:$R$1993,0)),"-")</f>
        <v>-</v>
      </c>
      <c r="G824" s="2" t="str">
        <f>IFERROR(INDEX(Movimientos!$L$2:$L$1993,MATCH(A824&amp;"ENTRADA",Movimientos!$R$2:$R$1993,0)),"-")</f>
        <v>-</v>
      </c>
      <c r="H824" s="17" t="str">
        <f>IFERROR(IF(INDEX(Movimientos!$M$2:$M$1993,MATCH(A824&amp;"ENTRADA",Movimientos!$R$2:$R$1993,0))=0,"S/D",INDEX(Movimientos!$M$2:$M$1993,MATCH(A824&amp;"ENTRADA",Movimientos!$R$2:$R$1993,0))),"S/D")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3131</v>
      </c>
      <c r="B825" s="2" t="str">
        <f>IFERROR(INDEX(Movimientos!$C$2:$C$1993,MATCH(A825&amp;"ENTRADA",Movimientos!$R$2:$R$1993,0)),"-")</f>
        <v>-</v>
      </c>
      <c r="C825" s="2" t="str">
        <f>IFERROR(INDEX(Movimientos!$D$2:$D$1993,MATCH(A825&amp;"ENTRADA",Movimientos!$R$2:$R$1993,0)),"-")</f>
        <v>-</v>
      </c>
      <c r="D825" s="2" t="str">
        <f>IFERROR(INDEX(Movimientos!$E$2:$E$1993,MATCH(A825&amp;"ENTRADA",Movimientos!$R$2:$R$1993,0)),"-")</f>
        <v>-</v>
      </c>
      <c r="E825" s="2" t="str">
        <f>IFERROR(INDEX(Movimientos!$F$2:$F$1993,MATCH(A825&amp;"ENTRADA",Movimientos!$R$2:$R$1993,0)),"-")</f>
        <v>-</v>
      </c>
      <c r="F825" s="2" t="str">
        <f>IFERROR(INDEX(Movimientos!$G$2:$G$1993,MATCH(A825&amp;"ENTRADA",Movimientos!$R$2:$R$1993,0)),"-")</f>
        <v>-</v>
      </c>
      <c r="G825" s="2" t="str">
        <f>IFERROR(INDEX(Movimientos!$L$2:$L$1993,MATCH(A825&amp;"ENTRADA",Movimientos!$R$2:$R$1993,0)),"-")</f>
        <v>-</v>
      </c>
      <c r="H825" s="17" t="str">
        <f>IFERROR(IF(INDEX(Movimientos!$M$2:$M$1993,MATCH(A825&amp;"ENTRADA",Movimientos!$R$2:$R$1993,0))=0,"S/D",INDEX(Movimientos!$M$2:$M$1993,MATCH(A825&amp;"ENTRADA",Movimientos!$R$2:$R$1993,0))),"S/D")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3132</v>
      </c>
      <c r="B826" s="2" t="str">
        <f>IFERROR(INDEX(Movimientos!$C$2:$C$1993,MATCH(A826&amp;"ENTRADA",Movimientos!$R$2:$R$1993,0)),"-")</f>
        <v>-</v>
      </c>
      <c r="C826" s="2" t="str">
        <f>IFERROR(INDEX(Movimientos!$D$2:$D$1993,MATCH(A826&amp;"ENTRADA",Movimientos!$R$2:$R$1993,0)),"-")</f>
        <v>-</v>
      </c>
      <c r="D826" s="2" t="str">
        <f>IFERROR(INDEX(Movimientos!$E$2:$E$1993,MATCH(A826&amp;"ENTRADA",Movimientos!$R$2:$R$1993,0)),"-")</f>
        <v>-</v>
      </c>
      <c r="E826" s="2" t="str">
        <f>IFERROR(INDEX(Movimientos!$F$2:$F$1993,MATCH(A826&amp;"ENTRADA",Movimientos!$R$2:$R$1993,0)),"-")</f>
        <v>-</v>
      </c>
      <c r="F826" s="2" t="str">
        <f>IFERROR(INDEX(Movimientos!$G$2:$G$1993,MATCH(A826&amp;"ENTRADA",Movimientos!$R$2:$R$1993,0)),"-")</f>
        <v>-</v>
      </c>
      <c r="G826" s="2" t="str">
        <f>IFERROR(INDEX(Movimientos!$L$2:$L$1993,MATCH(A826&amp;"ENTRADA",Movimientos!$R$2:$R$1993,0)),"-")</f>
        <v>-</v>
      </c>
      <c r="H826" s="17" t="str">
        <f>IFERROR(IF(INDEX(Movimientos!$M$2:$M$1993,MATCH(A826&amp;"ENTRADA",Movimientos!$R$2:$R$1993,0))=0,"S/D",INDEX(Movimientos!$M$2:$M$1993,MATCH(A826&amp;"ENTRADA",Movimientos!$R$2:$R$1993,0))),"S/D")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3133</v>
      </c>
      <c r="B827" s="2" t="str">
        <f>IFERROR(INDEX(Movimientos!$C$2:$C$1993,MATCH(A827&amp;"ENTRADA",Movimientos!$R$2:$R$1993,0)),"-")</f>
        <v>-</v>
      </c>
      <c r="C827" s="2" t="str">
        <f>IFERROR(INDEX(Movimientos!$D$2:$D$1993,MATCH(A827&amp;"ENTRADA",Movimientos!$R$2:$R$1993,0)),"-")</f>
        <v>-</v>
      </c>
      <c r="D827" s="2" t="str">
        <f>IFERROR(INDEX(Movimientos!$E$2:$E$1993,MATCH(A827&amp;"ENTRADA",Movimientos!$R$2:$R$1993,0)),"-")</f>
        <v>-</v>
      </c>
      <c r="E827" s="2" t="str">
        <f>IFERROR(INDEX(Movimientos!$F$2:$F$1993,MATCH(A827&amp;"ENTRADA",Movimientos!$R$2:$R$1993,0)),"-")</f>
        <v>-</v>
      </c>
      <c r="F827" s="2" t="str">
        <f>IFERROR(INDEX(Movimientos!$G$2:$G$1993,MATCH(A827&amp;"ENTRADA",Movimientos!$R$2:$R$1993,0)),"-")</f>
        <v>-</v>
      </c>
      <c r="G827" s="2" t="str">
        <f>IFERROR(INDEX(Movimientos!$L$2:$L$1993,MATCH(A827&amp;"ENTRADA",Movimientos!$R$2:$R$1993,0)),"-")</f>
        <v>-</v>
      </c>
      <c r="H827" s="17" t="str">
        <f>IFERROR(IF(INDEX(Movimientos!$M$2:$M$1993,MATCH(A827&amp;"ENTRADA",Movimientos!$R$2:$R$1993,0))=0,"S/D",INDEX(Movimientos!$M$2:$M$1993,MATCH(A827&amp;"ENTRADA",Movimientos!$R$2:$R$1993,0))),"S/D")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3134</v>
      </c>
      <c r="B828" s="2" t="str">
        <f>IFERROR(INDEX(Movimientos!$C$2:$C$1993,MATCH(A828&amp;"ENTRADA",Movimientos!$R$2:$R$1993,0)),"-")</f>
        <v>-</v>
      </c>
      <c r="C828" s="2" t="str">
        <f>IFERROR(INDEX(Movimientos!$D$2:$D$1993,MATCH(A828&amp;"ENTRADA",Movimientos!$R$2:$R$1993,0)),"-")</f>
        <v>-</v>
      </c>
      <c r="D828" s="2" t="str">
        <f>IFERROR(INDEX(Movimientos!$E$2:$E$1993,MATCH(A828&amp;"ENTRADA",Movimientos!$R$2:$R$1993,0)),"-")</f>
        <v>-</v>
      </c>
      <c r="E828" s="2" t="str">
        <f>IFERROR(INDEX(Movimientos!$F$2:$F$1993,MATCH(A828&amp;"ENTRADA",Movimientos!$R$2:$R$1993,0)),"-")</f>
        <v>-</v>
      </c>
      <c r="F828" s="2" t="str">
        <f>IFERROR(INDEX(Movimientos!$G$2:$G$1993,MATCH(A828&amp;"ENTRADA",Movimientos!$R$2:$R$1993,0)),"-")</f>
        <v>-</v>
      </c>
      <c r="G828" s="2" t="str">
        <f>IFERROR(INDEX(Movimientos!$L$2:$L$1993,MATCH(A828&amp;"ENTRADA",Movimientos!$R$2:$R$1993,0)),"-")</f>
        <v>-</v>
      </c>
      <c r="H828" s="17" t="str">
        <f>IFERROR(IF(INDEX(Movimientos!$M$2:$M$1993,MATCH(A828&amp;"ENTRADA",Movimientos!$R$2:$R$1993,0))=0,"S/D",INDEX(Movimientos!$M$2:$M$1993,MATCH(A828&amp;"ENTRADA",Movimientos!$R$2:$R$1993,0))),"S/D")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3135</v>
      </c>
      <c r="B829" s="2" t="str">
        <f>IFERROR(INDEX(Movimientos!$C$2:$C$1993,MATCH(A829&amp;"ENTRADA",Movimientos!$R$2:$R$1993,0)),"-")</f>
        <v>-</v>
      </c>
      <c r="C829" s="2" t="str">
        <f>IFERROR(INDEX(Movimientos!$D$2:$D$1993,MATCH(A829&amp;"ENTRADA",Movimientos!$R$2:$R$1993,0)),"-")</f>
        <v>-</v>
      </c>
      <c r="D829" s="2" t="str">
        <f>IFERROR(INDEX(Movimientos!$E$2:$E$1993,MATCH(A829&amp;"ENTRADA",Movimientos!$R$2:$R$1993,0)),"-")</f>
        <v>-</v>
      </c>
      <c r="E829" s="2" t="str">
        <f>IFERROR(INDEX(Movimientos!$F$2:$F$1993,MATCH(A829&amp;"ENTRADA",Movimientos!$R$2:$R$1993,0)),"-")</f>
        <v>-</v>
      </c>
      <c r="F829" s="2" t="str">
        <f>IFERROR(INDEX(Movimientos!$G$2:$G$1993,MATCH(A829&amp;"ENTRADA",Movimientos!$R$2:$R$1993,0)),"-")</f>
        <v>-</v>
      </c>
      <c r="G829" s="2" t="str">
        <f>IFERROR(INDEX(Movimientos!$L$2:$L$1993,MATCH(A829&amp;"ENTRADA",Movimientos!$R$2:$R$1993,0)),"-")</f>
        <v>-</v>
      </c>
      <c r="H829" s="17" t="str">
        <f>IFERROR(IF(INDEX(Movimientos!$M$2:$M$1993,MATCH(A829&amp;"ENTRADA",Movimientos!$R$2:$R$1993,0))=0,"S/D",INDEX(Movimientos!$M$2:$M$1993,MATCH(A829&amp;"ENTRADA",Movimientos!$R$2:$R$1993,0))),"S/D")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3136</v>
      </c>
      <c r="B830" s="2" t="str">
        <f>IFERROR(INDEX(Movimientos!$C$2:$C$1993,MATCH(A830&amp;"ENTRADA",Movimientos!$R$2:$R$1993,0)),"-")</f>
        <v>-</v>
      </c>
      <c r="C830" s="2" t="str">
        <f>IFERROR(INDEX(Movimientos!$D$2:$D$1993,MATCH(A830&amp;"ENTRADA",Movimientos!$R$2:$R$1993,0)),"-")</f>
        <v>-</v>
      </c>
      <c r="D830" s="2" t="str">
        <f>IFERROR(INDEX(Movimientos!$E$2:$E$1993,MATCH(A830&amp;"ENTRADA",Movimientos!$R$2:$R$1993,0)),"-")</f>
        <v>-</v>
      </c>
      <c r="E830" s="2" t="str">
        <f>IFERROR(INDEX(Movimientos!$F$2:$F$1993,MATCH(A830&amp;"ENTRADA",Movimientos!$R$2:$R$1993,0)),"-")</f>
        <v>-</v>
      </c>
      <c r="F830" s="2" t="str">
        <f>IFERROR(INDEX(Movimientos!$G$2:$G$1993,MATCH(A830&amp;"ENTRADA",Movimientos!$R$2:$R$1993,0)),"-")</f>
        <v>-</v>
      </c>
      <c r="G830" s="2" t="str">
        <f>IFERROR(INDEX(Movimientos!$L$2:$L$1993,MATCH(A830&amp;"ENTRADA",Movimientos!$R$2:$R$1993,0)),"-")</f>
        <v>-</v>
      </c>
      <c r="H830" s="17" t="str">
        <f>IFERROR(IF(INDEX(Movimientos!$M$2:$M$1993,MATCH(A830&amp;"ENTRADA",Movimientos!$R$2:$R$1993,0))=0,"S/D",INDEX(Movimientos!$M$2:$M$1993,MATCH(A830&amp;"ENTRADA",Movimientos!$R$2:$R$1993,0))),"S/D")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3137</v>
      </c>
      <c r="B831" s="2" t="str">
        <f>IFERROR(INDEX(Movimientos!$C$2:$C$1993,MATCH(A831&amp;"ENTRADA",Movimientos!$R$2:$R$1993,0)),"-")</f>
        <v>-</v>
      </c>
      <c r="C831" s="2" t="str">
        <f>IFERROR(INDEX(Movimientos!$D$2:$D$1993,MATCH(A831&amp;"ENTRADA",Movimientos!$R$2:$R$1993,0)),"-")</f>
        <v>-</v>
      </c>
      <c r="D831" s="2" t="str">
        <f>IFERROR(INDEX(Movimientos!$E$2:$E$1993,MATCH(A831&amp;"ENTRADA",Movimientos!$R$2:$R$1993,0)),"-")</f>
        <v>-</v>
      </c>
      <c r="E831" s="2" t="str">
        <f>IFERROR(INDEX(Movimientos!$F$2:$F$1993,MATCH(A831&amp;"ENTRADA",Movimientos!$R$2:$R$1993,0)),"-")</f>
        <v>-</v>
      </c>
      <c r="F831" s="2" t="str">
        <f>IFERROR(INDEX(Movimientos!$G$2:$G$1993,MATCH(A831&amp;"ENTRADA",Movimientos!$R$2:$R$1993,0)),"-")</f>
        <v>-</v>
      </c>
      <c r="G831" s="2" t="str">
        <f>IFERROR(INDEX(Movimientos!$L$2:$L$1993,MATCH(A831&amp;"ENTRADA",Movimientos!$R$2:$R$1993,0)),"-")</f>
        <v>-</v>
      </c>
      <c r="H831" s="17" t="str">
        <f>IFERROR(IF(INDEX(Movimientos!$M$2:$M$1993,MATCH(A831&amp;"ENTRADA",Movimientos!$R$2:$R$1993,0))=0,"S/D",INDEX(Movimientos!$M$2:$M$1993,MATCH(A831&amp;"ENTRADA",Movimientos!$R$2:$R$1993,0))),"S/D")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3138</v>
      </c>
      <c r="B832" s="2" t="str">
        <f>IFERROR(INDEX(Movimientos!$C$2:$C$1993,MATCH(A832&amp;"ENTRADA",Movimientos!$R$2:$R$1993,0)),"-")</f>
        <v>-</v>
      </c>
      <c r="C832" s="2" t="str">
        <f>IFERROR(INDEX(Movimientos!$D$2:$D$1993,MATCH(A832&amp;"ENTRADA",Movimientos!$R$2:$R$1993,0)),"-")</f>
        <v>-</v>
      </c>
      <c r="D832" s="2" t="str">
        <f>IFERROR(INDEX(Movimientos!$E$2:$E$1993,MATCH(A832&amp;"ENTRADA",Movimientos!$R$2:$R$1993,0)),"-")</f>
        <v>-</v>
      </c>
      <c r="E832" s="2" t="str">
        <f>IFERROR(INDEX(Movimientos!$F$2:$F$1993,MATCH(A832&amp;"ENTRADA",Movimientos!$R$2:$R$1993,0)),"-")</f>
        <v>-</v>
      </c>
      <c r="F832" s="2" t="str">
        <f>IFERROR(INDEX(Movimientos!$G$2:$G$1993,MATCH(A832&amp;"ENTRADA",Movimientos!$R$2:$R$1993,0)),"-")</f>
        <v>-</v>
      </c>
      <c r="G832" s="2" t="str">
        <f>IFERROR(INDEX(Movimientos!$L$2:$L$1993,MATCH(A832&amp;"ENTRADA",Movimientos!$R$2:$R$1993,0)),"-")</f>
        <v>-</v>
      </c>
      <c r="H832" s="17" t="str">
        <f>IFERROR(IF(INDEX(Movimientos!$M$2:$M$1993,MATCH(A832&amp;"ENTRADA",Movimientos!$R$2:$R$1993,0))=0,"S/D",INDEX(Movimientos!$M$2:$M$1993,MATCH(A832&amp;"ENTRADA",Movimientos!$R$2:$R$1993,0))),"S/D")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3139</v>
      </c>
      <c r="B833" s="2" t="str">
        <f>IFERROR(INDEX(Movimientos!$C$2:$C$1993,MATCH(A833&amp;"ENTRADA",Movimientos!$R$2:$R$1993,0)),"-")</f>
        <v>-</v>
      </c>
      <c r="C833" s="2" t="str">
        <f>IFERROR(INDEX(Movimientos!$D$2:$D$1993,MATCH(A833&amp;"ENTRADA",Movimientos!$R$2:$R$1993,0)),"-")</f>
        <v>-</v>
      </c>
      <c r="D833" s="2" t="str">
        <f>IFERROR(INDEX(Movimientos!$E$2:$E$1993,MATCH(A833&amp;"ENTRADA",Movimientos!$R$2:$R$1993,0)),"-")</f>
        <v>-</v>
      </c>
      <c r="E833" s="2" t="str">
        <f>IFERROR(INDEX(Movimientos!$F$2:$F$1993,MATCH(A833&amp;"ENTRADA",Movimientos!$R$2:$R$1993,0)),"-")</f>
        <v>-</v>
      </c>
      <c r="F833" s="2" t="str">
        <f>IFERROR(INDEX(Movimientos!$G$2:$G$1993,MATCH(A833&amp;"ENTRADA",Movimientos!$R$2:$R$1993,0)),"-")</f>
        <v>-</v>
      </c>
      <c r="G833" s="2" t="str">
        <f>IFERROR(INDEX(Movimientos!$L$2:$L$1993,MATCH(A833&amp;"ENTRADA",Movimientos!$R$2:$R$1993,0)),"-")</f>
        <v>-</v>
      </c>
      <c r="H833" s="17" t="str">
        <f>IFERROR(IF(INDEX(Movimientos!$M$2:$M$1993,MATCH(A833&amp;"ENTRADA",Movimientos!$R$2:$R$1993,0))=0,"S/D",INDEX(Movimientos!$M$2:$M$1993,MATCH(A833&amp;"ENTRADA",Movimientos!$R$2:$R$1993,0))),"S/D")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3140</v>
      </c>
      <c r="B834" s="2" t="str">
        <f>IFERROR(INDEX(Movimientos!$C$2:$C$1993,MATCH(A834&amp;"ENTRADA",Movimientos!$R$2:$R$1993,0)),"-")</f>
        <v>-</v>
      </c>
      <c r="C834" s="2" t="str">
        <f>IFERROR(INDEX(Movimientos!$D$2:$D$1993,MATCH(A834&amp;"ENTRADA",Movimientos!$R$2:$R$1993,0)),"-")</f>
        <v>-</v>
      </c>
      <c r="D834" s="2" t="str">
        <f>IFERROR(INDEX(Movimientos!$E$2:$E$1993,MATCH(A834&amp;"ENTRADA",Movimientos!$R$2:$R$1993,0)),"-")</f>
        <v>-</v>
      </c>
      <c r="E834" s="2" t="str">
        <f>IFERROR(INDEX(Movimientos!$F$2:$F$1993,MATCH(A834&amp;"ENTRADA",Movimientos!$R$2:$R$1993,0)),"-")</f>
        <v>-</v>
      </c>
      <c r="F834" s="2" t="str">
        <f>IFERROR(INDEX(Movimientos!$G$2:$G$1993,MATCH(A834&amp;"ENTRADA",Movimientos!$R$2:$R$1993,0)),"-")</f>
        <v>-</v>
      </c>
      <c r="G834" s="2" t="str">
        <f>IFERROR(INDEX(Movimientos!$L$2:$L$1993,MATCH(A834&amp;"ENTRADA",Movimientos!$R$2:$R$1993,0)),"-")</f>
        <v>-</v>
      </c>
      <c r="H834" s="17" t="str">
        <f>IFERROR(IF(INDEX(Movimientos!$M$2:$M$1993,MATCH(A834&amp;"ENTRADA",Movimientos!$R$2:$R$1993,0))=0,"S/D",INDEX(Movimientos!$M$2:$M$1993,MATCH(A834&amp;"ENTRADA",Movimientos!$R$2:$R$1993,0))),"S/D")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3141</v>
      </c>
      <c r="B835" s="2" t="str">
        <f>IFERROR(INDEX(Movimientos!$C$2:$C$1993,MATCH(A835&amp;"ENTRADA",Movimientos!$R$2:$R$1993,0)),"-")</f>
        <v>-</v>
      </c>
      <c r="C835" s="2" t="str">
        <f>IFERROR(INDEX(Movimientos!$D$2:$D$1993,MATCH(A835&amp;"ENTRADA",Movimientos!$R$2:$R$1993,0)),"-")</f>
        <v>-</v>
      </c>
      <c r="D835" s="2" t="str">
        <f>IFERROR(INDEX(Movimientos!$E$2:$E$1993,MATCH(A835&amp;"ENTRADA",Movimientos!$R$2:$R$1993,0)),"-")</f>
        <v>-</v>
      </c>
      <c r="E835" s="2" t="str">
        <f>IFERROR(INDEX(Movimientos!$F$2:$F$1993,MATCH(A835&amp;"ENTRADA",Movimientos!$R$2:$R$1993,0)),"-")</f>
        <v>-</v>
      </c>
      <c r="F835" s="2" t="str">
        <f>IFERROR(INDEX(Movimientos!$G$2:$G$1993,MATCH(A835&amp;"ENTRADA",Movimientos!$R$2:$R$1993,0)),"-")</f>
        <v>-</v>
      </c>
      <c r="G835" s="2" t="str">
        <f>IFERROR(INDEX(Movimientos!$L$2:$L$1993,MATCH(A835&amp;"ENTRADA",Movimientos!$R$2:$R$1993,0)),"-")</f>
        <v>-</v>
      </c>
      <c r="H835" s="17" t="str">
        <f>IFERROR(IF(INDEX(Movimientos!$M$2:$M$1993,MATCH(A835&amp;"ENTRADA",Movimientos!$R$2:$R$1993,0))=0,"S/D",INDEX(Movimientos!$M$2:$M$1993,MATCH(A835&amp;"ENTRADA",Movimientos!$R$2:$R$1993,0))),"S/D")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3142</v>
      </c>
      <c r="B836" s="2" t="str">
        <f>IFERROR(INDEX(Movimientos!$C$2:$C$1993,MATCH(A836&amp;"ENTRADA",Movimientos!$R$2:$R$1993,0)),"-")</f>
        <v>-</v>
      </c>
      <c r="C836" s="2" t="str">
        <f>IFERROR(INDEX(Movimientos!$D$2:$D$1993,MATCH(A836&amp;"ENTRADA",Movimientos!$R$2:$R$1993,0)),"-")</f>
        <v>-</v>
      </c>
      <c r="D836" s="2" t="str">
        <f>IFERROR(INDEX(Movimientos!$E$2:$E$1993,MATCH(A836&amp;"ENTRADA",Movimientos!$R$2:$R$1993,0)),"-")</f>
        <v>-</v>
      </c>
      <c r="E836" s="2" t="str">
        <f>IFERROR(INDEX(Movimientos!$F$2:$F$1993,MATCH(A836&amp;"ENTRADA",Movimientos!$R$2:$R$1993,0)),"-")</f>
        <v>-</v>
      </c>
      <c r="F836" s="2" t="str">
        <f>IFERROR(INDEX(Movimientos!$G$2:$G$1993,MATCH(A836&amp;"ENTRADA",Movimientos!$R$2:$R$1993,0)),"-")</f>
        <v>-</v>
      </c>
      <c r="G836" s="2" t="str">
        <f>IFERROR(INDEX(Movimientos!$L$2:$L$1993,MATCH(A836&amp;"ENTRADA",Movimientos!$R$2:$R$1993,0)),"-")</f>
        <v>-</v>
      </c>
      <c r="H836" s="17" t="str">
        <f>IFERROR(IF(INDEX(Movimientos!$M$2:$M$1993,MATCH(A836&amp;"ENTRADA",Movimientos!$R$2:$R$1993,0))=0,"S/D",INDEX(Movimientos!$M$2:$M$1993,MATCH(A836&amp;"ENTRADA",Movimientos!$R$2:$R$1993,0))),"S/D")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3143</v>
      </c>
      <c r="B837" s="2" t="str">
        <f>IFERROR(INDEX(Movimientos!$C$2:$C$1993,MATCH(A837&amp;"ENTRADA",Movimientos!$R$2:$R$1993,0)),"-")</f>
        <v>-</v>
      </c>
      <c r="C837" s="2" t="str">
        <f>IFERROR(INDEX(Movimientos!$D$2:$D$1993,MATCH(A837&amp;"ENTRADA",Movimientos!$R$2:$R$1993,0)),"-")</f>
        <v>-</v>
      </c>
      <c r="D837" s="2" t="str">
        <f>IFERROR(INDEX(Movimientos!$E$2:$E$1993,MATCH(A837&amp;"ENTRADA",Movimientos!$R$2:$R$1993,0)),"-")</f>
        <v>-</v>
      </c>
      <c r="E837" s="2" t="str">
        <f>IFERROR(INDEX(Movimientos!$F$2:$F$1993,MATCH(A837&amp;"ENTRADA",Movimientos!$R$2:$R$1993,0)),"-")</f>
        <v>-</v>
      </c>
      <c r="F837" s="2" t="str">
        <f>IFERROR(INDEX(Movimientos!$G$2:$G$1993,MATCH(A837&amp;"ENTRADA",Movimientos!$R$2:$R$1993,0)),"-")</f>
        <v>-</v>
      </c>
      <c r="G837" s="2" t="str">
        <f>IFERROR(INDEX(Movimientos!$L$2:$L$1993,MATCH(A837&amp;"ENTRADA",Movimientos!$R$2:$R$1993,0)),"-")</f>
        <v>-</v>
      </c>
      <c r="H837" s="17" t="str">
        <f>IFERROR(IF(INDEX(Movimientos!$M$2:$M$1993,MATCH(A837&amp;"ENTRADA",Movimientos!$R$2:$R$1993,0))=0,"S/D",INDEX(Movimientos!$M$2:$M$1993,MATCH(A837&amp;"ENTRADA",Movimientos!$R$2:$R$1993,0))),"S/D")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3144</v>
      </c>
      <c r="B838" s="2" t="str">
        <f>IFERROR(INDEX(Movimientos!$C$2:$C$1993,MATCH(A838&amp;"ENTRADA",Movimientos!$R$2:$R$1993,0)),"-")</f>
        <v>-</v>
      </c>
      <c r="C838" s="2" t="str">
        <f>IFERROR(INDEX(Movimientos!$D$2:$D$1993,MATCH(A838&amp;"ENTRADA",Movimientos!$R$2:$R$1993,0)),"-")</f>
        <v>-</v>
      </c>
      <c r="D838" s="2" t="str">
        <f>IFERROR(INDEX(Movimientos!$E$2:$E$1993,MATCH(A838&amp;"ENTRADA",Movimientos!$R$2:$R$1993,0)),"-")</f>
        <v>-</v>
      </c>
      <c r="E838" s="2" t="str">
        <f>IFERROR(INDEX(Movimientos!$F$2:$F$1993,MATCH(A838&amp;"ENTRADA",Movimientos!$R$2:$R$1993,0)),"-")</f>
        <v>-</v>
      </c>
      <c r="F838" s="2" t="str">
        <f>IFERROR(INDEX(Movimientos!$G$2:$G$1993,MATCH(A838&amp;"ENTRADA",Movimientos!$R$2:$R$1993,0)),"-")</f>
        <v>-</v>
      </c>
      <c r="G838" s="2" t="str">
        <f>IFERROR(INDEX(Movimientos!$L$2:$L$1993,MATCH(A838&amp;"ENTRADA",Movimientos!$R$2:$R$1993,0)),"-")</f>
        <v>-</v>
      </c>
      <c r="H838" s="17" t="str">
        <f>IFERROR(IF(INDEX(Movimientos!$M$2:$M$1993,MATCH(A838&amp;"ENTRADA",Movimientos!$R$2:$R$1993,0))=0,"S/D",INDEX(Movimientos!$M$2:$M$1993,MATCH(A838&amp;"ENTRADA",Movimientos!$R$2:$R$1993,0))),"S/D")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3145</v>
      </c>
      <c r="B839" s="2" t="str">
        <f>IFERROR(INDEX(Movimientos!$C$2:$C$1993,MATCH(A839&amp;"ENTRADA",Movimientos!$R$2:$R$1993,0)),"-")</f>
        <v>-</v>
      </c>
      <c r="C839" s="2" t="str">
        <f>IFERROR(INDEX(Movimientos!$D$2:$D$1993,MATCH(A839&amp;"ENTRADA",Movimientos!$R$2:$R$1993,0)),"-")</f>
        <v>-</v>
      </c>
      <c r="D839" s="2" t="str">
        <f>IFERROR(INDEX(Movimientos!$E$2:$E$1993,MATCH(A839&amp;"ENTRADA",Movimientos!$R$2:$R$1993,0)),"-")</f>
        <v>-</v>
      </c>
      <c r="E839" s="2" t="str">
        <f>IFERROR(INDEX(Movimientos!$F$2:$F$1993,MATCH(A839&amp;"ENTRADA",Movimientos!$R$2:$R$1993,0)),"-")</f>
        <v>-</v>
      </c>
      <c r="F839" s="2" t="str">
        <f>IFERROR(INDEX(Movimientos!$G$2:$G$1993,MATCH(A839&amp;"ENTRADA",Movimientos!$R$2:$R$1993,0)),"-")</f>
        <v>-</v>
      </c>
      <c r="G839" s="2" t="str">
        <f>IFERROR(INDEX(Movimientos!$L$2:$L$1993,MATCH(A839&amp;"ENTRADA",Movimientos!$R$2:$R$1993,0)),"-")</f>
        <v>-</v>
      </c>
      <c r="H839" s="17" t="str">
        <f>IFERROR(IF(INDEX(Movimientos!$M$2:$M$1993,MATCH(A839&amp;"ENTRADA",Movimientos!$R$2:$R$1993,0))=0,"S/D",INDEX(Movimientos!$M$2:$M$1993,MATCH(A839&amp;"ENTRADA",Movimientos!$R$2:$R$1993,0))),"S/D")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3146</v>
      </c>
      <c r="B840" s="2" t="str">
        <f>IFERROR(INDEX(Movimientos!$C$2:$C$1993,MATCH(A840&amp;"ENTRADA",Movimientos!$R$2:$R$1993,0)),"-")</f>
        <v>-</v>
      </c>
      <c r="C840" s="2" t="str">
        <f>IFERROR(INDEX(Movimientos!$D$2:$D$1993,MATCH(A840&amp;"ENTRADA",Movimientos!$R$2:$R$1993,0)),"-")</f>
        <v>-</v>
      </c>
      <c r="D840" s="2" t="str">
        <f>IFERROR(INDEX(Movimientos!$E$2:$E$1993,MATCH(A840&amp;"ENTRADA",Movimientos!$R$2:$R$1993,0)),"-")</f>
        <v>-</v>
      </c>
      <c r="E840" s="2" t="str">
        <f>IFERROR(INDEX(Movimientos!$F$2:$F$1993,MATCH(A840&amp;"ENTRADA",Movimientos!$R$2:$R$1993,0)),"-")</f>
        <v>-</v>
      </c>
      <c r="F840" s="2" t="str">
        <f>IFERROR(INDEX(Movimientos!$G$2:$G$1993,MATCH(A840&amp;"ENTRADA",Movimientos!$R$2:$R$1993,0)),"-")</f>
        <v>-</v>
      </c>
      <c r="G840" s="2" t="str">
        <f>IFERROR(INDEX(Movimientos!$L$2:$L$1993,MATCH(A840&amp;"ENTRADA",Movimientos!$R$2:$R$1993,0)),"-")</f>
        <v>-</v>
      </c>
      <c r="H840" s="17" t="str">
        <f>IFERROR(IF(INDEX(Movimientos!$M$2:$M$1993,MATCH(A840&amp;"ENTRADA",Movimientos!$R$2:$R$1993,0))=0,"S/D",INDEX(Movimientos!$M$2:$M$1993,MATCH(A840&amp;"ENTRADA",Movimientos!$R$2:$R$1993,0))),"S/D")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3147</v>
      </c>
      <c r="B841" s="2" t="str">
        <f>IFERROR(INDEX(Movimientos!$C$2:$C$1993,MATCH(A841&amp;"ENTRADA",Movimientos!$R$2:$R$1993,0)),"-")</f>
        <v>-</v>
      </c>
      <c r="C841" s="2" t="str">
        <f>IFERROR(INDEX(Movimientos!$D$2:$D$1993,MATCH(A841&amp;"ENTRADA",Movimientos!$R$2:$R$1993,0)),"-")</f>
        <v>-</v>
      </c>
      <c r="D841" s="2" t="str">
        <f>IFERROR(INDEX(Movimientos!$E$2:$E$1993,MATCH(A841&amp;"ENTRADA",Movimientos!$R$2:$R$1993,0)),"-")</f>
        <v>-</v>
      </c>
      <c r="E841" s="2" t="str">
        <f>IFERROR(INDEX(Movimientos!$F$2:$F$1993,MATCH(A841&amp;"ENTRADA",Movimientos!$R$2:$R$1993,0)),"-")</f>
        <v>-</v>
      </c>
      <c r="F841" s="2" t="str">
        <f>IFERROR(INDEX(Movimientos!$G$2:$G$1993,MATCH(A841&amp;"ENTRADA",Movimientos!$R$2:$R$1993,0)),"-")</f>
        <v>-</v>
      </c>
      <c r="G841" s="2" t="str">
        <f>IFERROR(INDEX(Movimientos!$L$2:$L$1993,MATCH(A841&amp;"ENTRADA",Movimientos!$R$2:$R$1993,0)),"-")</f>
        <v>-</v>
      </c>
      <c r="H841" s="17" t="str">
        <f>IFERROR(IF(INDEX(Movimientos!$M$2:$M$1993,MATCH(A841&amp;"ENTRADA",Movimientos!$R$2:$R$1993,0))=0,"S/D",INDEX(Movimientos!$M$2:$M$1993,MATCH(A841&amp;"ENTRADA",Movimientos!$R$2:$R$1993,0))),"S/D")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3148</v>
      </c>
      <c r="B842" s="2" t="str">
        <f>IFERROR(INDEX(Movimientos!$C$2:$C$1993,MATCH(A842&amp;"ENTRADA",Movimientos!$R$2:$R$1993,0)),"-")</f>
        <v>-</v>
      </c>
      <c r="C842" s="2" t="str">
        <f>IFERROR(INDEX(Movimientos!$D$2:$D$1993,MATCH(A842&amp;"ENTRADA",Movimientos!$R$2:$R$1993,0)),"-")</f>
        <v>-</v>
      </c>
      <c r="D842" s="2" t="str">
        <f>IFERROR(INDEX(Movimientos!$E$2:$E$1993,MATCH(A842&amp;"ENTRADA",Movimientos!$R$2:$R$1993,0)),"-")</f>
        <v>-</v>
      </c>
      <c r="E842" s="2" t="str">
        <f>IFERROR(INDEX(Movimientos!$F$2:$F$1993,MATCH(A842&amp;"ENTRADA",Movimientos!$R$2:$R$1993,0)),"-")</f>
        <v>-</v>
      </c>
      <c r="F842" s="2" t="str">
        <f>IFERROR(INDEX(Movimientos!$G$2:$G$1993,MATCH(A842&amp;"ENTRADA",Movimientos!$R$2:$R$1993,0)),"-")</f>
        <v>-</v>
      </c>
      <c r="G842" s="2" t="str">
        <f>IFERROR(INDEX(Movimientos!$L$2:$L$1993,MATCH(A842&amp;"ENTRADA",Movimientos!$R$2:$R$1993,0)),"-")</f>
        <v>-</v>
      </c>
      <c r="H842" s="17" t="str">
        <f>IFERROR(IF(INDEX(Movimientos!$M$2:$M$1993,MATCH(A842&amp;"ENTRADA",Movimientos!$R$2:$R$1993,0))=0,"S/D",INDEX(Movimientos!$M$2:$M$1993,MATCH(A842&amp;"ENTRADA",Movimientos!$R$2:$R$1993,0))),"S/D")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3149</v>
      </c>
      <c r="B843" s="2" t="str">
        <f>IFERROR(INDEX(Movimientos!$C$2:$C$1993,MATCH(A843&amp;"ENTRADA",Movimientos!$R$2:$R$1993,0)),"-")</f>
        <v>-</v>
      </c>
      <c r="C843" s="2" t="str">
        <f>IFERROR(INDEX(Movimientos!$D$2:$D$1993,MATCH(A843&amp;"ENTRADA",Movimientos!$R$2:$R$1993,0)),"-")</f>
        <v>-</v>
      </c>
      <c r="D843" s="2" t="str">
        <f>IFERROR(INDEX(Movimientos!$E$2:$E$1993,MATCH(A843&amp;"ENTRADA",Movimientos!$R$2:$R$1993,0)),"-")</f>
        <v>-</v>
      </c>
      <c r="E843" s="2" t="str">
        <f>IFERROR(INDEX(Movimientos!$F$2:$F$1993,MATCH(A843&amp;"ENTRADA",Movimientos!$R$2:$R$1993,0)),"-")</f>
        <v>-</v>
      </c>
      <c r="F843" s="2" t="str">
        <f>IFERROR(INDEX(Movimientos!$G$2:$G$1993,MATCH(A843&amp;"ENTRADA",Movimientos!$R$2:$R$1993,0)),"-")</f>
        <v>-</v>
      </c>
      <c r="G843" s="2" t="str">
        <f>IFERROR(INDEX(Movimientos!$L$2:$L$1993,MATCH(A843&amp;"ENTRADA",Movimientos!$R$2:$R$1993,0)),"-")</f>
        <v>-</v>
      </c>
      <c r="H843" s="17" t="str">
        <f>IFERROR(IF(INDEX(Movimientos!$M$2:$M$1993,MATCH(A843&amp;"ENTRADA",Movimientos!$R$2:$R$1993,0))=0,"S/D",INDEX(Movimientos!$M$2:$M$1993,MATCH(A843&amp;"ENTRADA",Movimientos!$R$2:$R$1993,0))),"S/D")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3150</v>
      </c>
      <c r="B844" s="2" t="str">
        <f>IFERROR(INDEX(Movimientos!$C$2:$C$1993,MATCH(A844&amp;"ENTRADA",Movimientos!$R$2:$R$1993,0)),"-")</f>
        <v>-</v>
      </c>
      <c r="C844" s="2" t="str">
        <f>IFERROR(INDEX(Movimientos!$D$2:$D$1993,MATCH(A844&amp;"ENTRADA",Movimientos!$R$2:$R$1993,0)),"-")</f>
        <v>-</v>
      </c>
      <c r="D844" s="2" t="str">
        <f>IFERROR(INDEX(Movimientos!$E$2:$E$1993,MATCH(A844&amp;"ENTRADA",Movimientos!$R$2:$R$1993,0)),"-")</f>
        <v>-</v>
      </c>
      <c r="E844" s="2" t="str">
        <f>IFERROR(INDEX(Movimientos!$F$2:$F$1993,MATCH(A844&amp;"ENTRADA",Movimientos!$R$2:$R$1993,0)),"-")</f>
        <v>-</v>
      </c>
      <c r="F844" s="2" t="str">
        <f>IFERROR(INDEX(Movimientos!$G$2:$G$1993,MATCH(A844&amp;"ENTRADA",Movimientos!$R$2:$R$1993,0)),"-")</f>
        <v>-</v>
      </c>
      <c r="G844" s="2" t="str">
        <f>IFERROR(INDEX(Movimientos!$L$2:$L$1993,MATCH(A844&amp;"ENTRADA",Movimientos!$R$2:$R$1993,0)),"-")</f>
        <v>-</v>
      </c>
      <c r="H844" s="17" t="str">
        <f>IFERROR(IF(INDEX(Movimientos!$M$2:$M$1993,MATCH(A844&amp;"ENTRADA",Movimientos!$R$2:$R$1993,0))=0,"S/D",INDEX(Movimientos!$M$2:$M$1993,MATCH(A844&amp;"ENTRADA",Movimientos!$R$2:$R$1993,0))),"S/D")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3151</v>
      </c>
      <c r="B845" s="2" t="str">
        <f>IFERROR(INDEX(Movimientos!$C$2:$C$1993,MATCH(A845&amp;"ENTRADA",Movimientos!$R$2:$R$1993,0)),"-")</f>
        <v>-</v>
      </c>
      <c r="C845" s="2" t="str">
        <f>IFERROR(INDEX(Movimientos!$D$2:$D$1993,MATCH(A845&amp;"ENTRADA",Movimientos!$R$2:$R$1993,0)),"-")</f>
        <v>-</v>
      </c>
      <c r="D845" s="2" t="str">
        <f>IFERROR(INDEX(Movimientos!$E$2:$E$1993,MATCH(A845&amp;"ENTRADA",Movimientos!$R$2:$R$1993,0)),"-")</f>
        <v>-</v>
      </c>
      <c r="E845" s="2" t="str">
        <f>IFERROR(INDEX(Movimientos!$F$2:$F$1993,MATCH(A845&amp;"ENTRADA",Movimientos!$R$2:$R$1993,0)),"-")</f>
        <v>-</v>
      </c>
      <c r="F845" s="2" t="str">
        <f>IFERROR(INDEX(Movimientos!$G$2:$G$1993,MATCH(A845&amp;"ENTRADA",Movimientos!$R$2:$R$1993,0)),"-")</f>
        <v>-</v>
      </c>
      <c r="G845" s="2" t="str">
        <f>IFERROR(INDEX(Movimientos!$L$2:$L$1993,MATCH(A845&amp;"ENTRADA",Movimientos!$R$2:$R$1993,0)),"-")</f>
        <v>-</v>
      </c>
      <c r="H845" s="17" t="str">
        <f>IFERROR(IF(INDEX(Movimientos!$M$2:$M$1993,MATCH(A845&amp;"ENTRADA",Movimientos!$R$2:$R$1993,0))=0,"S/D",INDEX(Movimientos!$M$2:$M$1993,MATCH(A845&amp;"ENTRADA",Movimientos!$R$2:$R$1993,0))),"S/D")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3152</v>
      </c>
      <c r="B846" s="2" t="str">
        <f>IFERROR(INDEX(Movimientos!$C$2:$C$1993,MATCH(A846&amp;"ENTRADA",Movimientos!$R$2:$R$1993,0)),"-")</f>
        <v>-</v>
      </c>
      <c r="C846" s="2" t="str">
        <f>IFERROR(INDEX(Movimientos!$D$2:$D$1993,MATCH(A846&amp;"ENTRADA",Movimientos!$R$2:$R$1993,0)),"-")</f>
        <v>-</v>
      </c>
      <c r="D846" s="2" t="str">
        <f>IFERROR(INDEX(Movimientos!$E$2:$E$1993,MATCH(A846&amp;"ENTRADA",Movimientos!$R$2:$R$1993,0)),"-")</f>
        <v>-</v>
      </c>
      <c r="E846" s="2" t="str">
        <f>IFERROR(INDEX(Movimientos!$F$2:$F$1993,MATCH(A846&amp;"ENTRADA",Movimientos!$R$2:$R$1993,0)),"-")</f>
        <v>-</v>
      </c>
      <c r="F846" s="2" t="str">
        <f>IFERROR(INDEX(Movimientos!$G$2:$G$1993,MATCH(A846&amp;"ENTRADA",Movimientos!$R$2:$R$1993,0)),"-")</f>
        <v>-</v>
      </c>
      <c r="G846" s="2" t="str">
        <f>IFERROR(INDEX(Movimientos!$L$2:$L$1993,MATCH(A846&amp;"ENTRADA",Movimientos!$R$2:$R$1993,0)),"-")</f>
        <v>-</v>
      </c>
      <c r="H846" s="17" t="str">
        <f>IFERROR(IF(INDEX(Movimientos!$M$2:$M$1993,MATCH(A846&amp;"ENTRADA",Movimientos!$R$2:$R$1993,0))=0,"S/D",INDEX(Movimientos!$M$2:$M$1993,MATCH(A846&amp;"ENTRADA",Movimientos!$R$2:$R$1993,0))),"S/D")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3153</v>
      </c>
      <c r="B847" s="2" t="str">
        <f>IFERROR(INDEX(Movimientos!$C$2:$C$1993,MATCH(A847&amp;"ENTRADA",Movimientos!$R$2:$R$1993,0)),"-")</f>
        <v>-</v>
      </c>
      <c r="C847" s="2" t="str">
        <f>IFERROR(INDEX(Movimientos!$D$2:$D$1993,MATCH(A847&amp;"ENTRADA",Movimientos!$R$2:$R$1993,0)),"-")</f>
        <v>-</v>
      </c>
      <c r="D847" s="2" t="str">
        <f>IFERROR(INDEX(Movimientos!$E$2:$E$1993,MATCH(A847&amp;"ENTRADA",Movimientos!$R$2:$R$1993,0)),"-")</f>
        <v>-</v>
      </c>
      <c r="E847" s="2" t="str">
        <f>IFERROR(INDEX(Movimientos!$F$2:$F$1993,MATCH(A847&amp;"ENTRADA",Movimientos!$R$2:$R$1993,0)),"-")</f>
        <v>-</v>
      </c>
      <c r="F847" s="2" t="str">
        <f>IFERROR(INDEX(Movimientos!$G$2:$G$1993,MATCH(A847&amp;"ENTRADA",Movimientos!$R$2:$R$1993,0)),"-")</f>
        <v>-</v>
      </c>
      <c r="G847" s="2" t="str">
        <f>IFERROR(INDEX(Movimientos!$L$2:$L$1993,MATCH(A847&amp;"ENTRADA",Movimientos!$R$2:$R$1993,0)),"-")</f>
        <v>-</v>
      </c>
      <c r="H847" s="17" t="str">
        <f>IFERROR(IF(INDEX(Movimientos!$M$2:$M$1993,MATCH(A847&amp;"ENTRADA",Movimientos!$R$2:$R$1993,0))=0,"S/D",INDEX(Movimientos!$M$2:$M$1993,MATCH(A847&amp;"ENTRADA",Movimientos!$R$2:$R$1993,0))),"S/D")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3154</v>
      </c>
      <c r="B848" s="2" t="str">
        <f>IFERROR(INDEX(Movimientos!$C$2:$C$1993,MATCH(A848&amp;"ENTRADA",Movimientos!$R$2:$R$1993,0)),"-")</f>
        <v>-</v>
      </c>
      <c r="C848" s="2" t="str">
        <f>IFERROR(INDEX(Movimientos!$D$2:$D$1993,MATCH(A848&amp;"ENTRADA",Movimientos!$R$2:$R$1993,0)),"-")</f>
        <v>-</v>
      </c>
      <c r="D848" s="2" t="str">
        <f>IFERROR(INDEX(Movimientos!$E$2:$E$1993,MATCH(A848&amp;"ENTRADA",Movimientos!$R$2:$R$1993,0)),"-")</f>
        <v>-</v>
      </c>
      <c r="E848" s="2" t="str">
        <f>IFERROR(INDEX(Movimientos!$F$2:$F$1993,MATCH(A848&amp;"ENTRADA",Movimientos!$R$2:$R$1993,0)),"-")</f>
        <v>-</v>
      </c>
      <c r="F848" s="2" t="str">
        <f>IFERROR(INDEX(Movimientos!$G$2:$G$1993,MATCH(A848&amp;"ENTRADA",Movimientos!$R$2:$R$1993,0)),"-")</f>
        <v>-</v>
      </c>
      <c r="G848" s="2" t="str">
        <f>IFERROR(INDEX(Movimientos!$L$2:$L$1993,MATCH(A848&amp;"ENTRADA",Movimientos!$R$2:$R$1993,0)),"-")</f>
        <v>-</v>
      </c>
      <c r="H848" s="17" t="str">
        <f>IFERROR(IF(INDEX(Movimientos!$M$2:$M$1993,MATCH(A848&amp;"ENTRADA",Movimientos!$R$2:$R$1993,0))=0,"S/D",INDEX(Movimientos!$M$2:$M$1993,MATCH(A848&amp;"ENTRADA",Movimientos!$R$2:$R$1993,0))),"S/D")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3155</v>
      </c>
      <c r="B849" s="2" t="str">
        <f>IFERROR(INDEX(Movimientos!$C$2:$C$1993,MATCH(A849&amp;"ENTRADA",Movimientos!$R$2:$R$1993,0)),"-")</f>
        <v>-</v>
      </c>
      <c r="C849" s="2" t="str">
        <f>IFERROR(INDEX(Movimientos!$D$2:$D$1993,MATCH(A849&amp;"ENTRADA",Movimientos!$R$2:$R$1993,0)),"-")</f>
        <v>-</v>
      </c>
      <c r="D849" s="2" t="str">
        <f>IFERROR(INDEX(Movimientos!$E$2:$E$1993,MATCH(A849&amp;"ENTRADA",Movimientos!$R$2:$R$1993,0)),"-")</f>
        <v>-</v>
      </c>
      <c r="E849" s="2" t="str">
        <f>IFERROR(INDEX(Movimientos!$F$2:$F$1993,MATCH(A849&amp;"ENTRADA",Movimientos!$R$2:$R$1993,0)),"-")</f>
        <v>-</v>
      </c>
      <c r="F849" s="2" t="str">
        <f>IFERROR(INDEX(Movimientos!$G$2:$G$1993,MATCH(A849&amp;"ENTRADA",Movimientos!$R$2:$R$1993,0)),"-")</f>
        <v>-</v>
      </c>
      <c r="G849" s="2" t="str">
        <f>IFERROR(INDEX(Movimientos!$L$2:$L$1993,MATCH(A849&amp;"ENTRADA",Movimientos!$R$2:$R$1993,0)),"-")</f>
        <v>-</v>
      </c>
      <c r="H849" s="17" t="str">
        <f>IFERROR(IF(INDEX(Movimientos!$M$2:$M$1993,MATCH(A849&amp;"ENTRADA",Movimientos!$R$2:$R$1993,0))=0,"S/D",INDEX(Movimientos!$M$2:$M$1993,MATCH(A849&amp;"ENTRADA",Movimientos!$R$2:$R$1993,0))),"S/D")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3156</v>
      </c>
      <c r="B850" s="2" t="str">
        <f>IFERROR(INDEX(Movimientos!$C$2:$C$1993,MATCH(A850&amp;"ENTRADA",Movimientos!$R$2:$R$1993,0)),"-")</f>
        <v>-</v>
      </c>
      <c r="C850" s="2" t="str">
        <f>IFERROR(INDEX(Movimientos!$D$2:$D$1993,MATCH(A850&amp;"ENTRADA",Movimientos!$R$2:$R$1993,0)),"-")</f>
        <v>-</v>
      </c>
      <c r="D850" s="2" t="str">
        <f>IFERROR(INDEX(Movimientos!$E$2:$E$1993,MATCH(A850&amp;"ENTRADA",Movimientos!$R$2:$R$1993,0)),"-")</f>
        <v>-</v>
      </c>
      <c r="E850" s="2" t="str">
        <f>IFERROR(INDEX(Movimientos!$F$2:$F$1993,MATCH(A850&amp;"ENTRADA",Movimientos!$R$2:$R$1993,0)),"-")</f>
        <v>-</v>
      </c>
      <c r="F850" s="2" t="str">
        <f>IFERROR(INDEX(Movimientos!$G$2:$G$1993,MATCH(A850&amp;"ENTRADA",Movimientos!$R$2:$R$1993,0)),"-")</f>
        <v>-</v>
      </c>
      <c r="G850" s="2" t="str">
        <f>IFERROR(INDEX(Movimientos!$L$2:$L$1993,MATCH(A850&amp;"ENTRADA",Movimientos!$R$2:$R$1993,0)),"-")</f>
        <v>-</v>
      </c>
      <c r="H850" s="17" t="str">
        <f>IFERROR(IF(INDEX(Movimientos!$M$2:$M$1993,MATCH(A850&amp;"ENTRADA",Movimientos!$R$2:$R$1993,0))=0,"S/D",INDEX(Movimientos!$M$2:$M$1993,MATCH(A850&amp;"ENTRADA",Movimientos!$R$2:$R$1993,0))),"S/D")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3157</v>
      </c>
      <c r="B851" s="2" t="str">
        <f>IFERROR(INDEX(Movimientos!$C$2:$C$1993,MATCH(A851&amp;"ENTRADA",Movimientos!$R$2:$R$1993,0)),"-")</f>
        <v>-</v>
      </c>
      <c r="C851" s="2" t="str">
        <f>IFERROR(INDEX(Movimientos!$D$2:$D$1993,MATCH(A851&amp;"ENTRADA",Movimientos!$R$2:$R$1993,0)),"-")</f>
        <v>-</v>
      </c>
      <c r="D851" s="2" t="str">
        <f>IFERROR(INDEX(Movimientos!$E$2:$E$1993,MATCH(A851&amp;"ENTRADA",Movimientos!$R$2:$R$1993,0)),"-")</f>
        <v>-</v>
      </c>
      <c r="E851" s="2" t="str">
        <f>IFERROR(INDEX(Movimientos!$F$2:$F$1993,MATCH(A851&amp;"ENTRADA",Movimientos!$R$2:$R$1993,0)),"-")</f>
        <v>-</v>
      </c>
      <c r="F851" s="2" t="str">
        <f>IFERROR(INDEX(Movimientos!$G$2:$G$1993,MATCH(A851&amp;"ENTRADA",Movimientos!$R$2:$R$1993,0)),"-")</f>
        <v>-</v>
      </c>
      <c r="G851" s="2" t="str">
        <f>IFERROR(INDEX(Movimientos!$L$2:$L$1993,MATCH(A851&amp;"ENTRADA",Movimientos!$R$2:$R$1993,0)),"-")</f>
        <v>-</v>
      </c>
      <c r="H851" s="17" t="str">
        <f>IFERROR(IF(INDEX(Movimientos!$M$2:$M$1993,MATCH(A851&amp;"ENTRADA",Movimientos!$R$2:$R$1993,0))=0,"S/D",INDEX(Movimientos!$M$2:$M$1993,MATCH(A851&amp;"ENTRADA",Movimientos!$R$2:$R$1993,0))),"S/D")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3158</v>
      </c>
      <c r="B852" s="2" t="str">
        <f>IFERROR(INDEX(Movimientos!$C$2:$C$1993,MATCH(A852&amp;"ENTRADA",Movimientos!$R$2:$R$1993,0)),"-")</f>
        <v>-</v>
      </c>
      <c r="C852" s="2" t="str">
        <f>IFERROR(INDEX(Movimientos!$D$2:$D$1993,MATCH(A852&amp;"ENTRADA",Movimientos!$R$2:$R$1993,0)),"-")</f>
        <v>-</v>
      </c>
      <c r="D852" s="2" t="str">
        <f>IFERROR(INDEX(Movimientos!$E$2:$E$1993,MATCH(A852&amp;"ENTRADA",Movimientos!$R$2:$R$1993,0)),"-")</f>
        <v>-</v>
      </c>
      <c r="E852" s="2" t="str">
        <f>IFERROR(INDEX(Movimientos!$F$2:$F$1993,MATCH(A852&amp;"ENTRADA",Movimientos!$R$2:$R$1993,0)),"-")</f>
        <v>-</v>
      </c>
      <c r="F852" s="2" t="str">
        <f>IFERROR(INDEX(Movimientos!$G$2:$G$1993,MATCH(A852&amp;"ENTRADA",Movimientos!$R$2:$R$1993,0)),"-")</f>
        <v>-</v>
      </c>
      <c r="G852" s="2" t="str">
        <f>IFERROR(INDEX(Movimientos!$L$2:$L$1993,MATCH(A852&amp;"ENTRADA",Movimientos!$R$2:$R$1993,0)),"-")</f>
        <v>-</v>
      </c>
      <c r="H852" s="17" t="str">
        <f>IFERROR(IF(INDEX(Movimientos!$M$2:$M$1993,MATCH(A852&amp;"ENTRADA",Movimientos!$R$2:$R$1993,0))=0,"S/D",INDEX(Movimientos!$M$2:$M$1993,MATCH(A852&amp;"ENTRADA",Movimientos!$R$2:$R$1993,0))),"S/D")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3159</v>
      </c>
      <c r="B853" s="2" t="str">
        <f>IFERROR(INDEX(Movimientos!$C$2:$C$1993,MATCH(A853&amp;"ENTRADA",Movimientos!$R$2:$R$1993,0)),"-")</f>
        <v>-</v>
      </c>
      <c r="C853" s="2" t="str">
        <f>IFERROR(INDEX(Movimientos!$D$2:$D$1993,MATCH(A853&amp;"ENTRADA",Movimientos!$R$2:$R$1993,0)),"-")</f>
        <v>-</v>
      </c>
      <c r="D853" s="2" t="str">
        <f>IFERROR(INDEX(Movimientos!$E$2:$E$1993,MATCH(A853&amp;"ENTRADA",Movimientos!$R$2:$R$1993,0)),"-")</f>
        <v>-</v>
      </c>
      <c r="E853" s="2" t="str">
        <f>IFERROR(INDEX(Movimientos!$F$2:$F$1993,MATCH(A853&amp;"ENTRADA",Movimientos!$R$2:$R$1993,0)),"-")</f>
        <v>-</v>
      </c>
      <c r="F853" s="2" t="str">
        <f>IFERROR(INDEX(Movimientos!$G$2:$G$1993,MATCH(A853&amp;"ENTRADA",Movimientos!$R$2:$R$1993,0)),"-")</f>
        <v>-</v>
      </c>
      <c r="G853" s="2" t="str">
        <f>IFERROR(INDEX(Movimientos!$L$2:$L$1993,MATCH(A853&amp;"ENTRADA",Movimientos!$R$2:$R$1993,0)),"-")</f>
        <v>-</v>
      </c>
      <c r="H853" s="17" t="str">
        <f>IFERROR(IF(INDEX(Movimientos!$M$2:$M$1993,MATCH(A853&amp;"ENTRADA",Movimientos!$R$2:$R$1993,0))=0,"S/D",INDEX(Movimientos!$M$2:$M$1993,MATCH(A853&amp;"ENTRADA",Movimientos!$R$2:$R$1993,0))),"S/D")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3160</v>
      </c>
      <c r="B854" s="2" t="str">
        <f>IFERROR(INDEX(Movimientos!$C$2:$C$1993,MATCH(A854&amp;"ENTRADA",Movimientos!$R$2:$R$1993,0)),"-")</f>
        <v>-</v>
      </c>
      <c r="C854" s="2" t="str">
        <f>IFERROR(INDEX(Movimientos!$D$2:$D$1993,MATCH(A854&amp;"ENTRADA",Movimientos!$R$2:$R$1993,0)),"-")</f>
        <v>-</v>
      </c>
      <c r="D854" s="2" t="str">
        <f>IFERROR(INDEX(Movimientos!$E$2:$E$1993,MATCH(A854&amp;"ENTRADA",Movimientos!$R$2:$R$1993,0)),"-")</f>
        <v>-</v>
      </c>
      <c r="E854" s="2" t="str">
        <f>IFERROR(INDEX(Movimientos!$F$2:$F$1993,MATCH(A854&amp;"ENTRADA",Movimientos!$R$2:$R$1993,0)),"-")</f>
        <v>-</v>
      </c>
      <c r="F854" s="2" t="str">
        <f>IFERROR(INDEX(Movimientos!$G$2:$G$1993,MATCH(A854&amp;"ENTRADA",Movimientos!$R$2:$R$1993,0)),"-")</f>
        <v>-</v>
      </c>
      <c r="G854" s="2" t="str">
        <f>IFERROR(INDEX(Movimientos!$L$2:$L$1993,MATCH(A854&amp;"ENTRADA",Movimientos!$R$2:$R$1993,0)),"-")</f>
        <v>-</v>
      </c>
      <c r="H854" s="17" t="str">
        <f>IFERROR(IF(INDEX(Movimientos!$M$2:$M$1993,MATCH(A854&amp;"ENTRADA",Movimientos!$R$2:$R$1993,0))=0,"S/D",INDEX(Movimientos!$M$2:$M$1993,MATCH(A854&amp;"ENTRADA",Movimientos!$R$2:$R$1993,0))),"S/D")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3161</v>
      </c>
      <c r="B855" s="2" t="str">
        <f>IFERROR(INDEX(Movimientos!$C$2:$C$1993,MATCH(A855&amp;"ENTRADA",Movimientos!$R$2:$R$1993,0)),"-")</f>
        <v>-</v>
      </c>
      <c r="C855" s="2" t="str">
        <f>IFERROR(INDEX(Movimientos!$D$2:$D$1993,MATCH(A855&amp;"ENTRADA",Movimientos!$R$2:$R$1993,0)),"-")</f>
        <v>-</v>
      </c>
      <c r="D855" s="2" t="str">
        <f>IFERROR(INDEX(Movimientos!$E$2:$E$1993,MATCH(A855&amp;"ENTRADA",Movimientos!$R$2:$R$1993,0)),"-")</f>
        <v>-</v>
      </c>
      <c r="E855" s="2" t="str">
        <f>IFERROR(INDEX(Movimientos!$F$2:$F$1993,MATCH(A855&amp;"ENTRADA",Movimientos!$R$2:$R$1993,0)),"-")</f>
        <v>-</v>
      </c>
      <c r="F855" s="2" t="str">
        <f>IFERROR(INDEX(Movimientos!$G$2:$G$1993,MATCH(A855&amp;"ENTRADA",Movimientos!$R$2:$R$1993,0)),"-")</f>
        <v>-</v>
      </c>
      <c r="G855" s="2" t="str">
        <f>IFERROR(INDEX(Movimientos!$L$2:$L$1993,MATCH(A855&amp;"ENTRADA",Movimientos!$R$2:$R$1993,0)),"-")</f>
        <v>-</v>
      </c>
      <c r="H855" s="17" t="str">
        <f>IFERROR(IF(INDEX(Movimientos!$M$2:$M$1993,MATCH(A855&amp;"ENTRADA",Movimientos!$R$2:$R$1993,0))=0,"S/D",INDEX(Movimientos!$M$2:$M$1993,MATCH(A855&amp;"ENTRADA",Movimientos!$R$2:$R$1993,0))),"S/D")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3162</v>
      </c>
      <c r="B856" s="2" t="str">
        <f>IFERROR(INDEX(Movimientos!$C$2:$C$1993,MATCH(A856&amp;"ENTRADA",Movimientos!$R$2:$R$1993,0)),"-")</f>
        <v>-</v>
      </c>
      <c r="C856" s="2" t="str">
        <f>IFERROR(INDEX(Movimientos!$D$2:$D$1993,MATCH(A856&amp;"ENTRADA",Movimientos!$R$2:$R$1993,0)),"-")</f>
        <v>-</v>
      </c>
      <c r="D856" s="2" t="str">
        <f>IFERROR(INDEX(Movimientos!$E$2:$E$1993,MATCH(A856&amp;"ENTRADA",Movimientos!$R$2:$R$1993,0)),"-")</f>
        <v>-</v>
      </c>
      <c r="E856" s="2" t="str">
        <f>IFERROR(INDEX(Movimientos!$F$2:$F$1993,MATCH(A856&amp;"ENTRADA",Movimientos!$R$2:$R$1993,0)),"-")</f>
        <v>-</v>
      </c>
      <c r="F856" s="2" t="str">
        <f>IFERROR(INDEX(Movimientos!$G$2:$G$1993,MATCH(A856&amp;"ENTRADA",Movimientos!$R$2:$R$1993,0)),"-")</f>
        <v>-</v>
      </c>
      <c r="G856" s="2" t="str">
        <f>IFERROR(INDEX(Movimientos!$L$2:$L$1993,MATCH(A856&amp;"ENTRADA",Movimientos!$R$2:$R$1993,0)),"-")</f>
        <v>-</v>
      </c>
      <c r="H856" s="17" t="str">
        <f>IFERROR(IF(INDEX(Movimientos!$M$2:$M$1993,MATCH(A856&amp;"ENTRADA",Movimientos!$R$2:$R$1993,0))=0,"S/D",INDEX(Movimientos!$M$2:$M$1993,MATCH(A856&amp;"ENTRADA",Movimientos!$R$2:$R$1993,0))),"S/D")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3163</v>
      </c>
      <c r="B857" s="2" t="str">
        <f>IFERROR(INDEX(Movimientos!$C$2:$C$1993,MATCH(A857&amp;"ENTRADA",Movimientos!$R$2:$R$1993,0)),"-")</f>
        <v>-</v>
      </c>
      <c r="C857" s="2" t="str">
        <f>IFERROR(INDEX(Movimientos!$D$2:$D$1993,MATCH(A857&amp;"ENTRADA",Movimientos!$R$2:$R$1993,0)),"-")</f>
        <v>-</v>
      </c>
      <c r="D857" s="2" t="str">
        <f>IFERROR(INDEX(Movimientos!$E$2:$E$1993,MATCH(A857&amp;"ENTRADA",Movimientos!$R$2:$R$1993,0)),"-")</f>
        <v>-</v>
      </c>
      <c r="E857" s="2" t="str">
        <f>IFERROR(INDEX(Movimientos!$F$2:$F$1993,MATCH(A857&amp;"ENTRADA",Movimientos!$R$2:$R$1993,0)),"-")</f>
        <v>-</v>
      </c>
      <c r="F857" s="2" t="str">
        <f>IFERROR(INDEX(Movimientos!$G$2:$G$1993,MATCH(A857&amp;"ENTRADA",Movimientos!$R$2:$R$1993,0)),"-")</f>
        <v>-</v>
      </c>
      <c r="G857" s="2" t="str">
        <f>IFERROR(INDEX(Movimientos!$L$2:$L$1993,MATCH(A857&amp;"ENTRADA",Movimientos!$R$2:$R$1993,0)),"-")</f>
        <v>-</v>
      </c>
      <c r="H857" s="17" t="str">
        <f>IFERROR(IF(INDEX(Movimientos!$M$2:$M$1993,MATCH(A857&amp;"ENTRADA",Movimientos!$R$2:$R$1993,0))=0,"S/D",INDEX(Movimientos!$M$2:$M$1993,MATCH(A857&amp;"ENTRADA",Movimientos!$R$2:$R$1993,0))),"S/D")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3164</v>
      </c>
      <c r="B858" s="2" t="str">
        <f>IFERROR(INDEX(Movimientos!$C$2:$C$1993,MATCH(A858&amp;"ENTRADA",Movimientos!$R$2:$R$1993,0)),"-")</f>
        <v>-</v>
      </c>
      <c r="C858" s="2" t="str">
        <f>IFERROR(INDEX(Movimientos!$D$2:$D$1993,MATCH(A858&amp;"ENTRADA",Movimientos!$R$2:$R$1993,0)),"-")</f>
        <v>-</v>
      </c>
      <c r="D858" s="2" t="str">
        <f>IFERROR(INDEX(Movimientos!$E$2:$E$1993,MATCH(A858&amp;"ENTRADA",Movimientos!$R$2:$R$1993,0)),"-")</f>
        <v>-</v>
      </c>
      <c r="E858" s="2" t="str">
        <f>IFERROR(INDEX(Movimientos!$F$2:$F$1993,MATCH(A858&amp;"ENTRADA",Movimientos!$R$2:$R$1993,0)),"-")</f>
        <v>-</v>
      </c>
      <c r="F858" s="2" t="str">
        <f>IFERROR(INDEX(Movimientos!$G$2:$G$1993,MATCH(A858&amp;"ENTRADA",Movimientos!$R$2:$R$1993,0)),"-")</f>
        <v>-</v>
      </c>
      <c r="G858" s="2" t="str">
        <f>IFERROR(INDEX(Movimientos!$L$2:$L$1993,MATCH(A858&amp;"ENTRADA",Movimientos!$R$2:$R$1993,0)),"-")</f>
        <v>-</v>
      </c>
      <c r="H858" s="17" t="str">
        <f>IFERROR(IF(INDEX(Movimientos!$M$2:$M$1993,MATCH(A858&amp;"ENTRADA",Movimientos!$R$2:$R$1993,0))=0,"S/D",INDEX(Movimientos!$M$2:$M$1993,MATCH(A858&amp;"ENTRADA",Movimientos!$R$2:$R$1993,0))),"S/D")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3165</v>
      </c>
      <c r="B859" s="2" t="str">
        <f>IFERROR(INDEX(Movimientos!$C$2:$C$1993,MATCH(A859&amp;"ENTRADA",Movimientos!$R$2:$R$1993,0)),"-")</f>
        <v>-</v>
      </c>
      <c r="C859" s="2" t="str">
        <f>IFERROR(INDEX(Movimientos!$D$2:$D$1993,MATCH(A859&amp;"ENTRADA",Movimientos!$R$2:$R$1993,0)),"-")</f>
        <v>-</v>
      </c>
      <c r="D859" s="2" t="str">
        <f>IFERROR(INDEX(Movimientos!$E$2:$E$1993,MATCH(A859&amp;"ENTRADA",Movimientos!$R$2:$R$1993,0)),"-")</f>
        <v>-</v>
      </c>
      <c r="E859" s="2" t="str">
        <f>IFERROR(INDEX(Movimientos!$F$2:$F$1993,MATCH(A859&amp;"ENTRADA",Movimientos!$R$2:$R$1993,0)),"-")</f>
        <v>-</v>
      </c>
      <c r="F859" s="2" t="str">
        <f>IFERROR(INDEX(Movimientos!$G$2:$G$1993,MATCH(A859&amp;"ENTRADA",Movimientos!$R$2:$R$1993,0)),"-")</f>
        <v>-</v>
      </c>
      <c r="G859" s="2" t="str">
        <f>IFERROR(INDEX(Movimientos!$L$2:$L$1993,MATCH(A859&amp;"ENTRADA",Movimientos!$R$2:$R$1993,0)),"-")</f>
        <v>-</v>
      </c>
      <c r="H859" s="17" t="str">
        <f>IFERROR(IF(INDEX(Movimientos!$M$2:$M$1993,MATCH(A859&amp;"ENTRADA",Movimientos!$R$2:$R$1993,0))=0,"S/D",INDEX(Movimientos!$M$2:$M$1993,MATCH(A859&amp;"ENTRADA",Movimientos!$R$2:$R$1993,0))),"S/D")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3166</v>
      </c>
      <c r="B860" s="2" t="str">
        <f>IFERROR(INDEX(Movimientos!$C$2:$C$1993,MATCH(A860&amp;"ENTRADA",Movimientos!$R$2:$R$1993,0)),"-")</f>
        <v>-</v>
      </c>
      <c r="C860" s="2" t="str">
        <f>IFERROR(INDEX(Movimientos!$D$2:$D$1993,MATCH(A860&amp;"ENTRADA",Movimientos!$R$2:$R$1993,0)),"-")</f>
        <v>-</v>
      </c>
      <c r="D860" s="2" t="str">
        <f>IFERROR(INDEX(Movimientos!$E$2:$E$1993,MATCH(A860&amp;"ENTRADA",Movimientos!$R$2:$R$1993,0)),"-")</f>
        <v>-</v>
      </c>
      <c r="E860" s="2" t="str">
        <f>IFERROR(INDEX(Movimientos!$F$2:$F$1993,MATCH(A860&amp;"ENTRADA",Movimientos!$R$2:$R$1993,0)),"-")</f>
        <v>-</v>
      </c>
      <c r="F860" s="2" t="str">
        <f>IFERROR(INDEX(Movimientos!$G$2:$G$1993,MATCH(A860&amp;"ENTRADA",Movimientos!$R$2:$R$1993,0)),"-")</f>
        <v>-</v>
      </c>
      <c r="G860" s="2" t="str">
        <f>IFERROR(INDEX(Movimientos!$L$2:$L$1993,MATCH(A860&amp;"ENTRADA",Movimientos!$R$2:$R$1993,0)),"-")</f>
        <v>-</v>
      </c>
      <c r="H860" s="17" t="str">
        <f>IFERROR(IF(INDEX(Movimientos!$M$2:$M$1993,MATCH(A860&amp;"ENTRADA",Movimientos!$R$2:$R$1993,0))=0,"S/D",INDEX(Movimientos!$M$2:$M$1993,MATCH(A860&amp;"ENTRADA",Movimientos!$R$2:$R$1993,0))),"S/D")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3167</v>
      </c>
      <c r="B861" s="2" t="str">
        <f>IFERROR(INDEX(Movimientos!$C$2:$C$1993,MATCH(A861&amp;"ENTRADA",Movimientos!$R$2:$R$1993,0)),"-")</f>
        <v>-</v>
      </c>
      <c r="C861" s="2" t="str">
        <f>IFERROR(INDEX(Movimientos!$D$2:$D$1993,MATCH(A861&amp;"ENTRADA",Movimientos!$R$2:$R$1993,0)),"-")</f>
        <v>-</v>
      </c>
      <c r="D861" s="2" t="str">
        <f>IFERROR(INDEX(Movimientos!$E$2:$E$1993,MATCH(A861&amp;"ENTRADA",Movimientos!$R$2:$R$1993,0)),"-")</f>
        <v>-</v>
      </c>
      <c r="E861" s="2" t="str">
        <f>IFERROR(INDEX(Movimientos!$F$2:$F$1993,MATCH(A861&amp;"ENTRADA",Movimientos!$R$2:$R$1993,0)),"-")</f>
        <v>-</v>
      </c>
      <c r="F861" s="2" t="str">
        <f>IFERROR(INDEX(Movimientos!$G$2:$G$1993,MATCH(A861&amp;"ENTRADA",Movimientos!$R$2:$R$1993,0)),"-")</f>
        <v>-</v>
      </c>
      <c r="G861" s="2" t="str">
        <f>IFERROR(INDEX(Movimientos!$L$2:$L$1993,MATCH(A861&amp;"ENTRADA",Movimientos!$R$2:$R$1993,0)),"-")</f>
        <v>-</v>
      </c>
      <c r="H861" s="17" t="str">
        <f>IFERROR(IF(INDEX(Movimientos!$M$2:$M$1993,MATCH(A861&amp;"ENTRADA",Movimientos!$R$2:$R$1993,0))=0,"S/D",INDEX(Movimientos!$M$2:$M$1993,MATCH(A861&amp;"ENTRADA",Movimientos!$R$2:$R$1993,0))),"S/D")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3168</v>
      </c>
      <c r="B862" s="2" t="str">
        <f>IFERROR(INDEX(Movimientos!$C$2:$C$1993,MATCH(A862&amp;"ENTRADA",Movimientos!$R$2:$R$1993,0)),"-")</f>
        <v>-</v>
      </c>
      <c r="C862" s="2" t="str">
        <f>IFERROR(INDEX(Movimientos!$D$2:$D$1993,MATCH(A862&amp;"ENTRADA",Movimientos!$R$2:$R$1993,0)),"-")</f>
        <v>-</v>
      </c>
      <c r="D862" s="2" t="str">
        <f>IFERROR(INDEX(Movimientos!$E$2:$E$1993,MATCH(A862&amp;"ENTRADA",Movimientos!$R$2:$R$1993,0)),"-")</f>
        <v>-</v>
      </c>
      <c r="E862" s="2" t="str">
        <f>IFERROR(INDEX(Movimientos!$F$2:$F$1993,MATCH(A862&amp;"ENTRADA",Movimientos!$R$2:$R$1993,0)),"-")</f>
        <v>-</v>
      </c>
      <c r="F862" s="2" t="str">
        <f>IFERROR(INDEX(Movimientos!$G$2:$G$1993,MATCH(A862&amp;"ENTRADA",Movimientos!$R$2:$R$1993,0)),"-")</f>
        <v>-</v>
      </c>
      <c r="G862" s="2" t="str">
        <f>IFERROR(INDEX(Movimientos!$L$2:$L$1993,MATCH(A862&amp;"ENTRADA",Movimientos!$R$2:$R$1993,0)),"-")</f>
        <v>-</v>
      </c>
      <c r="H862" s="17" t="str">
        <f>IFERROR(IF(INDEX(Movimientos!$M$2:$M$1993,MATCH(A862&amp;"ENTRADA",Movimientos!$R$2:$R$1993,0))=0,"S/D",INDEX(Movimientos!$M$2:$M$1993,MATCH(A862&amp;"ENTRADA",Movimientos!$R$2:$R$1993,0))),"S/D")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3169</v>
      </c>
      <c r="B863" s="2" t="str">
        <f>IFERROR(INDEX(Movimientos!$C$2:$C$1993,MATCH(A863&amp;"ENTRADA",Movimientos!$R$2:$R$1993,0)),"-")</f>
        <v>-</v>
      </c>
      <c r="C863" s="2" t="str">
        <f>IFERROR(INDEX(Movimientos!$D$2:$D$1993,MATCH(A863&amp;"ENTRADA",Movimientos!$R$2:$R$1993,0)),"-")</f>
        <v>-</v>
      </c>
      <c r="D863" s="2" t="str">
        <f>IFERROR(INDEX(Movimientos!$E$2:$E$1993,MATCH(A863&amp;"ENTRADA",Movimientos!$R$2:$R$1993,0)),"-")</f>
        <v>-</v>
      </c>
      <c r="E863" s="2" t="str">
        <f>IFERROR(INDEX(Movimientos!$F$2:$F$1993,MATCH(A863&amp;"ENTRADA",Movimientos!$R$2:$R$1993,0)),"-")</f>
        <v>-</v>
      </c>
      <c r="F863" s="2" t="str">
        <f>IFERROR(INDEX(Movimientos!$G$2:$G$1993,MATCH(A863&amp;"ENTRADA",Movimientos!$R$2:$R$1993,0)),"-")</f>
        <v>-</v>
      </c>
      <c r="G863" s="2" t="str">
        <f>IFERROR(INDEX(Movimientos!$L$2:$L$1993,MATCH(A863&amp;"ENTRADA",Movimientos!$R$2:$R$1993,0)),"-")</f>
        <v>-</v>
      </c>
      <c r="H863" s="17" t="str">
        <f>IFERROR(IF(INDEX(Movimientos!$M$2:$M$1993,MATCH(A863&amp;"ENTRADA",Movimientos!$R$2:$R$1993,0))=0,"S/D",INDEX(Movimientos!$M$2:$M$1993,MATCH(A863&amp;"ENTRADA",Movimientos!$R$2:$R$1993,0))),"S/D")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3170</v>
      </c>
      <c r="B864" s="2" t="str">
        <f>IFERROR(INDEX(Movimientos!$C$2:$C$1993,MATCH(A864&amp;"ENTRADA",Movimientos!$R$2:$R$1993,0)),"-")</f>
        <v>-</v>
      </c>
      <c r="C864" s="2" t="str">
        <f>IFERROR(INDEX(Movimientos!$D$2:$D$1993,MATCH(A864&amp;"ENTRADA",Movimientos!$R$2:$R$1993,0)),"-")</f>
        <v>-</v>
      </c>
      <c r="D864" s="2" t="str">
        <f>IFERROR(INDEX(Movimientos!$E$2:$E$1993,MATCH(A864&amp;"ENTRADA",Movimientos!$R$2:$R$1993,0)),"-")</f>
        <v>-</v>
      </c>
      <c r="E864" s="2" t="str">
        <f>IFERROR(INDEX(Movimientos!$F$2:$F$1993,MATCH(A864&amp;"ENTRADA",Movimientos!$R$2:$R$1993,0)),"-")</f>
        <v>-</v>
      </c>
      <c r="F864" s="2" t="str">
        <f>IFERROR(INDEX(Movimientos!$G$2:$G$1993,MATCH(A864&amp;"ENTRADA",Movimientos!$R$2:$R$1993,0)),"-")</f>
        <v>-</v>
      </c>
      <c r="G864" s="2" t="str">
        <f>IFERROR(INDEX(Movimientos!$L$2:$L$1993,MATCH(A864&amp;"ENTRADA",Movimientos!$R$2:$R$1993,0)),"-")</f>
        <v>-</v>
      </c>
      <c r="H864" s="17" t="str">
        <f>IFERROR(IF(INDEX(Movimientos!$M$2:$M$1993,MATCH(A864&amp;"ENTRADA",Movimientos!$R$2:$R$1993,0))=0,"S/D",INDEX(Movimientos!$M$2:$M$1993,MATCH(A864&amp;"ENTRADA",Movimientos!$R$2:$R$1993,0))),"S/D")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3171</v>
      </c>
      <c r="B865" s="2" t="str">
        <f>IFERROR(INDEX(Movimientos!$C$2:$C$1993,MATCH(A865&amp;"ENTRADA",Movimientos!$R$2:$R$1993,0)),"-")</f>
        <v>-</v>
      </c>
      <c r="C865" s="2" t="str">
        <f>IFERROR(INDEX(Movimientos!$D$2:$D$1993,MATCH(A865&amp;"ENTRADA",Movimientos!$R$2:$R$1993,0)),"-")</f>
        <v>-</v>
      </c>
      <c r="D865" s="2" t="str">
        <f>IFERROR(INDEX(Movimientos!$E$2:$E$1993,MATCH(A865&amp;"ENTRADA",Movimientos!$R$2:$R$1993,0)),"-")</f>
        <v>-</v>
      </c>
      <c r="E865" s="2" t="str">
        <f>IFERROR(INDEX(Movimientos!$F$2:$F$1993,MATCH(A865&amp;"ENTRADA",Movimientos!$R$2:$R$1993,0)),"-")</f>
        <v>-</v>
      </c>
      <c r="F865" s="2" t="str">
        <f>IFERROR(INDEX(Movimientos!$G$2:$G$1993,MATCH(A865&amp;"ENTRADA",Movimientos!$R$2:$R$1993,0)),"-")</f>
        <v>-</v>
      </c>
      <c r="G865" s="2" t="str">
        <f>IFERROR(INDEX(Movimientos!$L$2:$L$1993,MATCH(A865&amp;"ENTRADA",Movimientos!$R$2:$R$1993,0)),"-")</f>
        <v>-</v>
      </c>
      <c r="H865" s="17" t="str">
        <f>IFERROR(IF(INDEX(Movimientos!$M$2:$M$1993,MATCH(A865&amp;"ENTRADA",Movimientos!$R$2:$R$1993,0))=0,"S/D",INDEX(Movimientos!$M$2:$M$1993,MATCH(A865&amp;"ENTRADA",Movimientos!$R$2:$R$1993,0))),"S/D")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3172</v>
      </c>
      <c r="B866" s="2" t="str">
        <f>IFERROR(INDEX(Movimientos!$C$2:$C$1993,MATCH(A866&amp;"ENTRADA",Movimientos!$R$2:$R$1993,0)),"-")</f>
        <v>-</v>
      </c>
      <c r="C866" s="2" t="str">
        <f>IFERROR(INDEX(Movimientos!$D$2:$D$1993,MATCH(A866&amp;"ENTRADA",Movimientos!$R$2:$R$1993,0)),"-")</f>
        <v>-</v>
      </c>
      <c r="D866" s="2" t="str">
        <f>IFERROR(INDEX(Movimientos!$E$2:$E$1993,MATCH(A866&amp;"ENTRADA",Movimientos!$R$2:$R$1993,0)),"-")</f>
        <v>-</v>
      </c>
      <c r="E866" s="2" t="str">
        <f>IFERROR(INDEX(Movimientos!$F$2:$F$1993,MATCH(A866&amp;"ENTRADA",Movimientos!$R$2:$R$1993,0)),"-")</f>
        <v>-</v>
      </c>
      <c r="F866" s="2" t="str">
        <f>IFERROR(INDEX(Movimientos!$G$2:$G$1993,MATCH(A866&amp;"ENTRADA",Movimientos!$R$2:$R$1993,0)),"-")</f>
        <v>-</v>
      </c>
      <c r="G866" s="2" t="str">
        <f>IFERROR(INDEX(Movimientos!$L$2:$L$1993,MATCH(A866&amp;"ENTRADA",Movimientos!$R$2:$R$1993,0)),"-")</f>
        <v>-</v>
      </c>
      <c r="H866" s="17" t="str">
        <f>IFERROR(IF(INDEX(Movimientos!$M$2:$M$1993,MATCH(A866&amp;"ENTRADA",Movimientos!$R$2:$R$1993,0))=0,"S/D",INDEX(Movimientos!$M$2:$M$1993,MATCH(A866&amp;"ENTRADA",Movimientos!$R$2:$R$1993,0))),"S/D")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3173</v>
      </c>
      <c r="B867" s="2" t="str">
        <f>IFERROR(INDEX(Movimientos!$C$2:$C$1993,MATCH(A867&amp;"ENTRADA",Movimientos!$R$2:$R$1993,0)),"-")</f>
        <v>-</v>
      </c>
      <c r="C867" s="2" t="str">
        <f>IFERROR(INDEX(Movimientos!$D$2:$D$1993,MATCH(A867&amp;"ENTRADA",Movimientos!$R$2:$R$1993,0)),"-")</f>
        <v>-</v>
      </c>
      <c r="D867" s="2" t="str">
        <f>IFERROR(INDEX(Movimientos!$E$2:$E$1993,MATCH(A867&amp;"ENTRADA",Movimientos!$R$2:$R$1993,0)),"-")</f>
        <v>-</v>
      </c>
      <c r="E867" s="2" t="str">
        <f>IFERROR(INDEX(Movimientos!$F$2:$F$1993,MATCH(A867&amp;"ENTRADA",Movimientos!$R$2:$R$1993,0)),"-")</f>
        <v>-</v>
      </c>
      <c r="F867" s="2" t="str">
        <f>IFERROR(INDEX(Movimientos!$G$2:$G$1993,MATCH(A867&amp;"ENTRADA",Movimientos!$R$2:$R$1993,0)),"-")</f>
        <v>-</v>
      </c>
      <c r="G867" s="2" t="str">
        <f>IFERROR(INDEX(Movimientos!$L$2:$L$1993,MATCH(A867&amp;"ENTRADA",Movimientos!$R$2:$R$1993,0)),"-")</f>
        <v>-</v>
      </c>
      <c r="H867" s="17" t="str">
        <f>IFERROR(IF(INDEX(Movimientos!$M$2:$M$1993,MATCH(A867&amp;"ENTRADA",Movimientos!$R$2:$R$1993,0))=0,"S/D",INDEX(Movimientos!$M$2:$M$1993,MATCH(A867&amp;"ENTRADA",Movimientos!$R$2:$R$1993,0))),"S/D")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3174</v>
      </c>
      <c r="B868" s="2" t="str">
        <f>IFERROR(INDEX(Movimientos!$C$2:$C$1993,MATCH(A868&amp;"ENTRADA",Movimientos!$R$2:$R$1993,0)),"-")</f>
        <v>-</v>
      </c>
      <c r="C868" s="2" t="str">
        <f>IFERROR(INDEX(Movimientos!$D$2:$D$1993,MATCH(A868&amp;"ENTRADA",Movimientos!$R$2:$R$1993,0)),"-")</f>
        <v>-</v>
      </c>
      <c r="D868" s="2" t="str">
        <f>IFERROR(INDEX(Movimientos!$E$2:$E$1993,MATCH(A868&amp;"ENTRADA",Movimientos!$R$2:$R$1993,0)),"-")</f>
        <v>-</v>
      </c>
      <c r="E868" s="2" t="str">
        <f>IFERROR(INDEX(Movimientos!$F$2:$F$1993,MATCH(A868&amp;"ENTRADA",Movimientos!$R$2:$R$1993,0)),"-")</f>
        <v>-</v>
      </c>
      <c r="F868" s="2" t="str">
        <f>IFERROR(INDEX(Movimientos!$G$2:$G$1993,MATCH(A868&amp;"ENTRADA",Movimientos!$R$2:$R$1993,0)),"-")</f>
        <v>-</v>
      </c>
      <c r="G868" s="2" t="str">
        <f>IFERROR(INDEX(Movimientos!$L$2:$L$1993,MATCH(A868&amp;"ENTRADA",Movimientos!$R$2:$R$1993,0)),"-")</f>
        <v>-</v>
      </c>
      <c r="H868" s="17" t="str">
        <f>IFERROR(IF(INDEX(Movimientos!$M$2:$M$1993,MATCH(A868&amp;"ENTRADA",Movimientos!$R$2:$R$1993,0))=0,"S/D",INDEX(Movimientos!$M$2:$M$1993,MATCH(A868&amp;"ENTRADA",Movimientos!$R$2:$R$1993,0))),"S/D")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3175</v>
      </c>
      <c r="B869" s="2" t="str">
        <f>IFERROR(INDEX(Movimientos!$C$2:$C$1993,MATCH(A869&amp;"ENTRADA",Movimientos!$R$2:$R$1993,0)),"-")</f>
        <v>-</v>
      </c>
      <c r="C869" s="2" t="str">
        <f>IFERROR(INDEX(Movimientos!$D$2:$D$1993,MATCH(A869&amp;"ENTRADA",Movimientos!$R$2:$R$1993,0)),"-")</f>
        <v>-</v>
      </c>
      <c r="D869" s="2" t="str">
        <f>IFERROR(INDEX(Movimientos!$E$2:$E$1993,MATCH(A869&amp;"ENTRADA",Movimientos!$R$2:$R$1993,0)),"-")</f>
        <v>-</v>
      </c>
      <c r="E869" s="2" t="str">
        <f>IFERROR(INDEX(Movimientos!$F$2:$F$1993,MATCH(A869&amp;"ENTRADA",Movimientos!$R$2:$R$1993,0)),"-")</f>
        <v>-</v>
      </c>
      <c r="F869" s="2" t="str">
        <f>IFERROR(INDEX(Movimientos!$G$2:$G$1993,MATCH(A869&amp;"ENTRADA",Movimientos!$R$2:$R$1993,0)),"-")</f>
        <v>-</v>
      </c>
      <c r="G869" s="2" t="str">
        <f>IFERROR(INDEX(Movimientos!$L$2:$L$1993,MATCH(A869&amp;"ENTRADA",Movimientos!$R$2:$R$1993,0)),"-")</f>
        <v>-</v>
      </c>
      <c r="H869" s="17" t="str">
        <f>IFERROR(IF(INDEX(Movimientos!$M$2:$M$1993,MATCH(A869&amp;"ENTRADA",Movimientos!$R$2:$R$1993,0))=0,"S/D",INDEX(Movimientos!$M$2:$M$1993,MATCH(A869&amp;"ENTRADA",Movimientos!$R$2:$R$1993,0))),"S/D")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3176</v>
      </c>
      <c r="B870" s="2" t="str">
        <f>IFERROR(INDEX(Movimientos!$C$2:$C$1993,MATCH(A870&amp;"ENTRADA",Movimientos!$R$2:$R$1993,0)),"-")</f>
        <v>-</v>
      </c>
      <c r="C870" s="2" t="str">
        <f>IFERROR(INDEX(Movimientos!$D$2:$D$1993,MATCH(A870&amp;"ENTRADA",Movimientos!$R$2:$R$1993,0)),"-")</f>
        <v>-</v>
      </c>
      <c r="D870" s="2" t="str">
        <f>IFERROR(INDEX(Movimientos!$E$2:$E$1993,MATCH(A870&amp;"ENTRADA",Movimientos!$R$2:$R$1993,0)),"-")</f>
        <v>-</v>
      </c>
      <c r="E870" s="2" t="str">
        <f>IFERROR(INDEX(Movimientos!$F$2:$F$1993,MATCH(A870&amp;"ENTRADA",Movimientos!$R$2:$R$1993,0)),"-")</f>
        <v>-</v>
      </c>
      <c r="F870" s="2" t="str">
        <f>IFERROR(INDEX(Movimientos!$G$2:$G$1993,MATCH(A870&amp;"ENTRADA",Movimientos!$R$2:$R$1993,0)),"-")</f>
        <v>-</v>
      </c>
      <c r="G870" s="2" t="str">
        <f>IFERROR(INDEX(Movimientos!$L$2:$L$1993,MATCH(A870&amp;"ENTRADA",Movimientos!$R$2:$R$1993,0)),"-")</f>
        <v>-</v>
      </c>
      <c r="H870" s="17" t="str">
        <f>IFERROR(IF(INDEX(Movimientos!$M$2:$M$1993,MATCH(A870&amp;"ENTRADA",Movimientos!$R$2:$R$1993,0))=0,"S/D",INDEX(Movimientos!$M$2:$M$1993,MATCH(A870&amp;"ENTRADA",Movimientos!$R$2:$R$1993,0))),"S/D")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3177</v>
      </c>
      <c r="B871" s="2" t="str">
        <f>IFERROR(INDEX(Movimientos!$C$2:$C$1993,MATCH(A871&amp;"ENTRADA",Movimientos!$R$2:$R$1993,0)),"-")</f>
        <v>-</v>
      </c>
      <c r="C871" s="2" t="str">
        <f>IFERROR(INDEX(Movimientos!$D$2:$D$1993,MATCH(A871&amp;"ENTRADA",Movimientos!$R$2:$R$1993,0)),"-")</f>
        <v>-</v>
      </c>
      <c r="D871" s="2" t="str">
        <f>IFERROR(INDEX(Movimientos!$E$2:$E$1993,MATCH(A871&amp;"ENTRADA",Movimientos!$R$2:$R$1993,0)),"-")</f>
        <v>-</v>
      </c>
      <c r="E871" s="2" t="str">
        <f>IFERROR(INDEX(Movimientos!$F$2:$F$1993,MATCH(A871&amp;"ENTRADA",Movimientos!$R$2:$R$1993,0)),"-")</f>
        <v>-</v>
      </c>
      <c r="F871" s="2" t="str">
        <f>IFERROR(INDEX(Movimientos!$G$2:$G$1993,MATCH(A871&amp;"ENTRADA",Movimientos!$R$2:$R$1993,0)),"-")</f>
        <v>-</v>
      </c>
      <c r="G871" s="2" t="str">
        <f>IFERROR(INDEX(Movimientos!$L$2:$L$1993,MATCH(A871&amp;"ENTRADA",Movimientos!$R$2:$R$1993,0)),"-")</f>
        <v>-</v>
      </c>
      <c r="H871" s="17" t="str">
        <f>IFERROR(IF(INDEX(Movimientos!$M$2:$M$1993,MATCH(A871&amp;"ENTRADA",Movimientos!$R$2:$R$1993,0))=0,"S/D",INDEX(Movimientos!$M$2:$M$1993,MATCH(A871&amp;"ENTRADA",Movimientos!$R$2:$R$1993,0))),"S/D")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3178</v>
      </c>
      <c r="B872" s="2" t="str">
        <f>IFERROR(INDEX(Movimientos!$C$2:$C$1993,MATCH(A872&amp;"ENTRADA",Movimientos!$R$2:$R$1993,0)),"-")</f>
        <v>-</v>
      </c>
      <c r="C872" s="2" t="str">
        <f>IFERROR(INDEX(Movimientos!$D$2:$D$1993,MATCH(A872&amp;"ENTRADA",Movimientos!$R$2:$R$1993,0)),"-")</f>
        <v>-</v>
      </c>
      <c r="D872" s="2" t="str">
        <f>IFERROR(INDEX(Movimientos!$E$2:$E$1993,MATCH(A872&amp;"ENTRADA",Movimientos!$R$2:$R$1993,0)),"-")</f>
        <v>-</v>
      </c>
      <c r="E872" s="2" t="str">
        <f>IFERROR(INDEX(Movimientos!$F$2:$F$1993,MATCH(A872&amp;"ENTRADA",Movimientos!$R$2:$R$1993,0)),"-")</f>
        <v>-</v>
      </c>
      <c r="F872" s="2" t="str">
        <f>IFERROR(INDEX(Movimientos!$G$2:$G$1993,MATCH(A872&amp;"ENTRADA",Movimientos!$R$2:$R$1993,0)),"-")</f>
        <v>-</v>
      </c>
      <c r="G872" s="2" t="str">
        <f>IFERROR(INDEX(Movimientos!$L$2:$L$1993,MATCH(A872&amp;"ENTRADA",Movimientos!$R$2:$R$1993,0)),"-")</f>
        <v>-</v>
      </c>
      <c r="H872" s="17" t="str">
        <f>IFERROR(IF(INDEX(Movimientos!$M$2:$M$1993,MATCH(A872&amp;"ENTRADA",Movimientos!$R$2:$R$1993,0))=0,"S/D",INDEX(Movimientos!$M$2:$M$1993,MATCH(A872&amp;"ENTRADA",Movimientos!$R$2:$R$1993,0))),"S/D")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3179</v>
      </c>
      <c r="B873" s="2" t="str">
        <f>IFERROR(INDEX(Movimientos!$C$2:$C$1993,MATCH(A873&amp;"ENTRADA",Movimientos!$R$2:$R$1993,0)),"-")</f>
        <v>-</v>
      </c>
      <c r="C873" s="2" t="str">
        <f>IFERROR(INDEX(Movimientos!$D$2:$D$1993,MATCH(A873&amp;"ENTRADA",Movimientos!$R$2:$R$1993,0)),"-")</f>
        <v>-</v>
      </c>
      <c r="D873" s="2" t="str">
        <f>IFERROR(INDEX(Movimientos!$E$2:$E$1993,MATCH(A873&amp;"ENTRADA",Movimientos!$R$2:$R$1993,0)),"-")</f>
        <v>-</v>
      </c>
      <c r="E873" s="2" t="str">
        <f>IFERROR(INDEX(Movimientos!$F$2:$F$1993,MATCH(A873&amp;"ENTRADA",Movimientos!$R$2:$R$1993,0)),"-")</f>
        <v>-</v>
      </c>
      <c r="F873" s="2" t="str">
        <f>IFERROR(INDEX(Movimientos!$G$2:$G$1993,MATCH(A873&amp;"ENTRADA",Movimientos!$R$2:$R$1993,0)),"-")</f>
        <v>-</v>
      </c>
      <c r="G873" s="2" t="str">
        <f>IFERROR(INDEX(Movimientos!$L$2:$L$1993,MATCH(A873&amp;"ENTRADA",Movimientos!$R$2:$R$1993,0)),"-")</f>
        <v>-</v>
      </c>
      <c r="H873" s="17" t="str">
        <f>IFERROR(IF(INDEX(Movimientos!$M$2:$M$1993,MATCH(A873&amp;"ENTRADA",Movimientos!$R$2:$R$1993,0))=0,"S/D",INDEX(Movimientos!$M$2:$M$1993,MATCH(A873&amp;"ENTRADA",Movimientos!$R$2:$R$1993,0))),"S/D")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3180</v>
      </c>
      <c r="B874" s="2" t="str">
        <f>IFERROR(INDEX(Movimientos!$C$2:$C$1993,MATCH(A874&amp;"ENTRADA",Movimientos!$R$2:$R$1993,0)),"-")</f>
        <v>-</v>
      </c>
      <c r="C874" s="2" t="str">
        <f>IFERROR(INDEX(Movimientos!$D$2:$D$1993,MATCH(A874&amp;"ENTRADA",Movimientos!$R$2:$R$1993,0)),"-")</f>
        <v>-</v>
      </c>
      <c r="D874" s="2" t="str">
        <f>IFERROR(INDEX(Movimientos!$E$2:$E$1993,MATCH(A874&amp;"ENTRADA",Movimientos!$R$2:$R$1993,0)),"-")</f>
        <v>-</v>
      </c>
      <c r="E874" s="2" t="str">
        <f>IFERROR(INDEX(Movimientos!$F$2:$F$1993,MATCH(A874&amp;"ENTRADA",Movimientos!$R$2:$R$1993,0)),"-")</f>
        <v>-</v>
      </c>
      <c r="F874" s="2" t="str">
        <f>IFERROR(INDEX(Movimientos!$G$2:$G$1993,MATCH(A874&amp;"ENTRADA",Movimientos!$R$2:$R$1993,0)),"-")</f>
        <v>-</v>
      </c>
      <c r="G874" s="2" t="str">
        <f>IFERROR(INDEX(Movimientos!$L$2:$L$1993,MATCH(A874&amp;"ENTRADA",Movimientos!$R$2:$R$1993,0)),"-")</f>
        <v>-</v>
      </c>
      <c r="H874" s="17" t="str">
        <f>IFERROR(IF(INDEX(Movimientos!$M$2:$M$1993,MATCH(A874&amp;"ENTRADA",Movimientos!$R$2:$R$1993,0))=0,"S/D",INDEX(Movimientos!$M$2:$M$1993,MATCH(A874&amp;"ENTRADA",Movimientos!$R$2:$R$1993,0))),"S/D")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3181</v>
      </c>
      <c r="B875" s="2" t="str">
        <f>IFERROR(INDEX(Movimientos!$C$2:$C$1993,MATCH(A875&amp;"ENTRADA",Movimientos!$R$2:$R$1993,0)),"-")</f>
        <v>-</v>
      </c>
      <c r="C875" s="2" t="str">
        <f>IFERROR(INDEX(Movimientos!$D$2:$D$1993,MATCH(A875&amp;"ENTRADA",Movimientos!$R$2:$R$1993,0)),"-")</f>
        <v>-</v>
      </c>
      <c r="D875" s="2" t="str">
        <f>IFERROR(INDEX(Movimientos!$E$2:$E$1993,MATCH(A875&amp;"ENTRADA",Movimientos!$R$2:$R$1993,0)),"-")</f>
        <v>-</v>
      </c>
      <c r="E875" s="2" t="str">
        <f>IFERROR(INDEX(Movimientos!$F$2:$F$1993,MATCH(A875&amp;"ENTRADA",Movimientos!$R$2:$R$1993,0)),"-")</f>
        <v>-</v>
      </c>
      <c r="F875" s="2" t="str">
        <f>IFERROR(INDEX(Movimientos!$G$2:$G$1993,MATCH(A875&amp;"ENTRADA",Movimientos!$R$2:$R$1993,0)),"-")</f>
        <v>-</v>
      </c>
      <c r="G875" s="2" t="str">
        <f>IFERROR(INDEX(Movimientos!$L$2:$L$1993,MATCH(A875&amp;"ENTRADA",Movimientos!$R$2:$R$1993,0)),"-")</f>
        <v>-</v>
      </c>
      <c r="H875" s="17" t="str">
        <f>IFERROR(IF(INDEX(Movimientos!$M$2:$M$1993,MATCH(A875&amp;"ENTRADA",Movimientos!$R$2:$R$1993,0))=0,"S/D",INDEX(Movimientos!$M$2:$M$1993,MATCH(A875&amp;"ENTRADA",Movimientos!$R$2:$R$1993,0))),"S/D")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3182</v>
      </c>
      <c r="B876" s="2" t="str">
        <f>IFERROR(INDEX(Movimientos!$C$2:$C$1993,MATCH(A876&amp;"ENTRADA",Movimientos!$R$2:$R$1993,0)),"-")</f>
        <v>-</v>
      </c>
      <c r="C876" s="2" t="str">
        <f>IFERROR(INDEX(Movimientos!$D$2:$D$1993,MATCH(A876&amp;"ENTRADA",Movimientos!$R$2:$R$1993,0)),"-")</f>
        <v>-</v>
      </c>
      <c r="D876" s="2" t="str">
        <f>IFERROR(INDEX(Movimientos!$E$2:$E$1993,MATCH(A876&amp;"ENTRADA",Movimientos!$R$2:$R$1993,0)),"-")</f>
        <v>-</v>
      </c>
      <c r="E876" s="2" t="str">
        <f>IFERROR(INDEX(Movimientos!$F$2:$F$1993,MATCH(A876&amp;"ENTRADA",Movimientos!$R$2:$R$1993,0)),"-")</f>
        <v>-</v>
      </c>
      <c r="F876" s="2" t="str">
        <f>IFERROR(INDEX(Movimientos!$G$2:$G$1993,MATCH(A876&amp;"ENTRADA",Movimientos!$R$2:$R$1993,0)),"-")</f>
        <v>-</v>
      </c>
      <c r="G876" s="2" t="str">
        <f>IFERROR(INDEX(Movimientos!$L$2:$L$1993,MATCH(A876&amp;"ENTRADA",Movimientos!$R$2:$R$1993,0)),"-")</f>
        <v>-</v>
      </c>
      <c r="H876" s="17" t="str">
        <f>IFERROR(IF(INDEX(Movimientos!$M$2:$M$1993,MATCH(A876&amp;"ENTRADA",Movimientos!$R$2:$R$1993,0))=0,"S/D",INDEX(Movimientos!$M$2:$M$1993,MATCH(A876&amp;"ENTRADA",Movimientos!$R$2:$R$1993,0))),"S/D")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3183</v>
      </c>
      <c r="B877" s="2" t="str">
        <f>IFERROR(INDEX(Movimientos!$C$2:$C$1993,MATCH(A877&amp;"ENTRADA",Movimientos!$R$2:$R$1993,0)),"-")</f>
        <v>-</v>
      </c>
      <c r="C877" s="2" t="str">
        <f>IFERROR(INDEX(Movimientos!$D$2:$D$1993,MATCH(A877&amp;"ENTRADA",Movimientos!$R$2:$R$1993,0)),"-")</f>
        <v>-</v>
      </c>
      <c r="D877" s="2" t="str">
        <f>IFERROR(INDEX(Movimientos!$E$2:$E$1993,MATCH(A877&amp;"ENTRADA",Movimientos!$R$2:$R$1993,0)),"-")</f>
        <v>-</v>
      </c>
      <c r="E877" s="2" t="str">
        <f>IFERROR(INDEX(Movimientos!$F$2:$F$1993,MATCH(A877&amp;"ENTRADA",Movimientos!$R$2:$R$1993,0)),"-")</f>
        <v>-</v>
      </c>
      <c r="F877" s="2" t="str">
        <f>IFERROR(INDEX(Movimientos!$G$2:$G$1993,MATCH(A877&amp;"ENTRADA",Movimientos!$R$2:$R$1993,0)),"-")</f>
        <v>-</v>
      </c>
      <c r="G877" s="2" t="str">
        <f>IFERROR(INDEX(Movimientos!$L$2:$L$1993,MATCH(A877&amp;"ENTRADA",Movimientos!$R$2:$R$1993,0)),"-")</f>
        <v>-</v>
      </c>
      <c r="H877" s="17" t="str">
        <f>IFERROR(IF(INDEX(Movimientos!$M$2:$M$1993,MATCH(A877&amp;"ENTRADA",Movimientos!$R$2:$R$1993,0))=0,"S/D",INDEX(Movimientos!$M$2:$M$1993,MATCH(A877&amp;"ENTRADA",Movimientos!$R$2:$R$1993,0))),"S/D")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3184</v>
      </c>
      <c r="B878" s="2" t="str">
        <f>IFERROR(INDEX(Movimientos!$C$2:$C$1993,MATCH(A878&amp;"ENTRADA",Movimientos!$R$2:$R$1993,0)),"-")</f>
        <v>-</v>
      </c>
      <c r="C878" s="2" t="str">
        <f>IFERROR(INDEX(Movimientos!$D$2:$D$1993,MATCH(A878&amp;"ENTRADA",Movimientos!$R$2:$R$1993,0)),"-")</f>
        <v>-</v>
      </c>
      <c r="D878" s="2" t="str">
        <f>IFERROR(INDEX(Movimientos!$E$2:$E$1993,MATCH(A878&amp;"ENTRADA",Movimientos!$R$2:$R$1993,0)),"-")</f>
        <v>-</v>
      </c>
      <c r="E878" s="2" t="str">
        <f>IFERROR(INDEX(Movimientos!$F$2:$F$1993,MATCH(A878&amp;"ENTRADA",Movimientos!$R$2:$R$1993,0)),"-")</f>
        <v>-</v>
      </c>
      <c r="F878" s="2" t="str">
        <f>IFERROR(INDEX(Movimientos!$G$2:$G$1993,MATCH(A878&amp;"ENTRADA",Movimientos!$R$2:$R$1993,0)),"-")</f>
        <v>-</v>
      </c>
      <c r="G878" s="2" t="str">
        <f>IFERROR(INDEX(Movimientos!$L$2:$L$1993,MATCH(A878&amp;"ENTRADA",Movimientos!$R$2:$R$1993,0)),"-")</f>
        <v>-</v>
      </c>
      <c r="H878" s="17" t="str">
        <f>IFERROR(IF(INDEX(Movimientos!$M$2:$M$1993,MATCH(A878&amp;"ENTRADA",Movimientos!$R$2:$R$1993,0))=0,"S/D",INDEX(Movimientos!$M$2:$M$1993,MATCH(A878&amp;"ENTRADA",Movimientos!$R$2:$R$1993,0))),"S/D")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3185</v>
      </c>
      <c r="B879" s="2" t="str">
        <f>IFERROR(INDEX(Movimientos!$C$2:$C$1993,MATCH(A879&amp;"ENTRADA",Movimientos!$R$2:$R$1993,0)),"-")</f>
        <v>-</v>
      </c>
      <c r="C879" s="2" t="str">
        <f>IFERROR(INDEX(Movimientos!$D$2:$D$1993,MATCH(A879&amp;"ENTRADA",Movimientos!$R$2:$R$1993,0)),"-")</f>
        <v>-</v>
      </c>
      <c r="D879" s="2" t="str">
        <f>IFERROR(INDEX(Movimientos!$E$2:$E$1993,MATCH(A879&amp;"ENTRADA",Movimientos!$R$2:$R$1993,0)),"-")</f>
        <v>-</v>
      </c>
      <c r="E879" s="2" t="str">
        <f>IFERROR(INDEX(Movimientos!$F$2:$F$1993,MATCH(A879&amp;"ENTRADA",Movimientos!$R$2:$R$1993,0)),"-")</f>
        <v>-</v>
      </c>
      <c r="F879" s="2" t="str">
        <f>IFERROR(INDEX(Movimientos!$G$2:$G$1993,MATCH(A879&amp;"ENTRADA",Movimientos!$R$2:$R$1993,0)),"-")</f>
        <v>-</v>
      </c>
      <c r="G879" s="2" t="str">
        <f>IFERROR(INDEX(Movimientos!$L$2:$L$1993,MATCH(A879&amp;"ENTRADA",Movimientos!$R$2:$R$1993,0)),"-")</f>
        <v>-</v>
      </c>
      <c r="H879" s="17" t="str">
        <f>IFERROR(IF(INDEX(Movimientos!$M$2:$M$1993,MATCH(A879&amp;"ENTRADA",Movimientos!$R$2:$R$1993,0))=0,"S/D",INDEX(Movimientos!$M$2:$M$1993,MATCH(A879&amp;"ENTRADA",Movimientos!$R$2:$R$1993,0))),"S/D")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3186</v>
      </c>
      <c r="B880" s="2" t="str">
        <f>IFERROR(INDEX(Movimientos!$C$2:$C$1993,MATCH(A880&amp;"ENTRADA",Movimientos!$R$2:$R$1993,0)),"-")</f>
        <v>-</v>
      </c>
      <c r="C880" s="2" t="str">
        <f>IFERROR(INDEX(Movimientos!$D$2:$D$1993,MATCH(A880&amp;"ENTRADA",Movimientos!$R$2:$R$1993,0)),"-")</f>
        <v>-</v>
      </c>
      <c r="D880" s="2" t="str">
        <f>IFERROR(INDEX(Movimientos!$E$2:$E$1993,MATCH(A880&amp;"ENTRADA",Movimientos!$R$2:$R$1993,0)),"-")</f>
        <v>-</v>
      </c>
      <c r="E880" s="2" t="str">
        <f>IFERROR(INDEX(Movimientos!$F$2:$F$1993,MATCH(A880&amp;"ENTRADA",Movimientos!$R$2:$R$1993,0)),"-")</f>
        <v>-</v>
      </c>
      <c r="F880" s="2" t="str">
        <f>IFERROR(INDEX(Movimientos!$G$2:$G$1993,MATCH(A880&amp;"ENTRADA",Movimientos!$R$2:$R$1993,0)),"-")</f>
        <v>-</v>
      </c>
      <c r="G880" s="2" t="str">
        <f>IFERROR(INDEX(Movimientos!$L$2:$L$1993,MATCH(A880&amp;"ENTRADA",Movimientos!$R$2:$R$1993,0)),"-")</f>
        <v>-</v>
      </c>
      <c r="H880" s="17" t="str">
        <f>IFERROR(IF(INDEX(Movimientos!$M$2:$M$1993,MATCH(A880&amp;"ENTRADA",Movimientos!$R$2:$R$1993,0))=0,"S/D",INDEX(Movimientos!$M$2:$M$1993,MATCH(A880&amp;"ENTRADA",Movimientos!$R$2:$R$1993,0))),"S/D")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3187</v>
      </c>
      <c r="B881" s="2" t="str">
        <f>IFERROR(INDEX(Movimientos!$C$2:$C$1993,MATCH(A881&amp;"ENTRADA",Movimientos!$R$2:$R$1993,0)),"-")</f>
        <v>-</v>
      </c>
      <c r="C881" s="2" t="str">
        <f>IFERROR(INDEX(Movimientos!$D$2:$D$1993,MATCH(A881&amp;"ENTRADA",Movimientos!$R$2:$R$1993,0)),"-")</f>
        <v>-</v>
      </c>
      <c r="D881" s="2" t="str">
        <f>IFERROR(INDEX(Movimientos!$E$2:$E$1993,MATCH(A881&amp;"ENTRADA",Movimientos!$R$2:$R$1993,0)),"-")</f>
        <v>-</v>
      </c>
      <c r="E881" s="2" t="str">
        <f>IFERROR(INDEX(Movimientos!$F$2:$F$1993,MATCH(A881&amp;"ENTRADA",Movimientos!$R$2:$R$1993,0)),"-")</f>
        <v>-</v>
      </c>
      <c r="F881" s="2" t="str">
        <f>IFERROR(INDEX(Movimientos!$G$2:$G$1993,MATCH(A881&amp;"ENTRADA",Movimientos!$R$2:$R$1993,0)),"-")</f>
        <v>-</v>
      </c>
      <c r="G881" s="2" t="str">
        <f>IFERROR(INDEX(Movimientos!$L$2:$L$1993,MATCH(A881&amp;"ENTRADA",Movimientos!$R$2:$R$1993,0)),"-")</f>
        <v>-</v>
      </c>
      <c r="H881" s="17" t="str">
        <f>IFERROR(IF(INDEX(Movimientos!$M$2:$M$1993,MATCH(A881&amp;"ENTRADA",Movimientos!$R$2:$R$1993,0))=0,"S/D",INDEX(Movimientos!$M$2:$M$1993,MATCH(A881&amp;"ENTRADA",Movimientos!$R$2:$R$1993,0))),"S/D")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3188</v>
      </c>
      <c r="B882" s="2" t="str">
        <f>IFERROR(INDEX(Movimientos!$C$2:$C$1993,MATCH(A882&amp;"ENTRADA",Movimientos!$R$2:$R$1993,0)),"-")</f>
        <v>-</v>
      </c>
      <c r="C882" s="2" t="str">
        <f>IFERROR(INDEX(Movimientos!$D$2:$D$1993,MATCH(A882&amp;"ENTRADA",Movimientos!$R$2:$R$1993,0)),"-")</f>
        <v>-</v>
      </c>
      <c r="D882" s="2" t="str">
        <f>IFERROR(INDEX(Movimientos!$E$2:$E$1993,MATCH(A882&amp;"ENTRADA",Movimientos!$R$2:$R$1993,0)),"-")</f>
        <v>-</v>
      </c>
      <c r="E882" s="2" t="str">
        <f>IFERROR(INDEX(Movimientos!$F$2:$F$1993,MATCH(A882&amp;"ENTRADA",Movimientos!$R$2:$R$1993,0)),"-")</f>
        <v>-</v>
      </c>
      <c r="F882" s="2" t="str">
        <f>IFERROR(INDEX(Movimientos!$G$2:$G$1993,MATCH(A882&amp;"ENTRADA",Movimientos!$R$2:$R$1993,0)),"-")</f>
        <v>-</v>
      </c>
      <c r="G882" s="2" t="str">
        <f>IFERROR(INDEX(Movimientos!$L$2:$L$1993,MATCH(A882&amp;"ENTRADA",Movimientos!$R$2:$R$1993,0)),"-")</f>
        <v>-</v>
      </c>
      <c r="H882" s="17" t="str">
        <f>IFERROR(IF(INDEX(Movimientos!$M$2:$M$1993,MATCH(A882&amp;"ENTRADA",Movimientos!$R$2:$R$1993,0))=0,"S/D",INDEX(Movimientos!$M$2:$M$1993,MATCH(A882&amp;"ENTRADA",Movimientos!$R$2:$R$1993,0))),"S/D")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3189</v>
      </c>
      <c r="B883" s="2" t="str">
        <f>IFERROR(INDEX(Movimientos!$C$2:$C$1993,MATCH(A883&amp;"ENTRADA",Movimientos!$R$2:$R$1993,0)),"-")</f>
        <v>-</v>
      </c>
      <c r="C883" s="2" t="str">
        <f>IFERROR(INDEX(Movimientos!$D$2:$D$1993,MATCH(A883&amp;"ENTRADA",Movimientos!$R$2:$R$1993,0)),"-")</f>
        <v>-</v>
      </c>
      <c r="D883" s="2" t="str">
        <f>IFERROR(INDEX(Movimientos!$E$2:$E$1993,MATCH(A883&amp;"ENTRADA",Movimientos!$R$2:$R$1993,0)),"-")</f>
        <v>-</v>
      </c>
      <c r="E883" s="2" t="str">
        <f>IFERROR(INDEX(Movimientos!$F$2:$F$1993,MATCH(A883&amp;"ENTRADA",Movimientos!$R$2:$R$1993,0)),"-")</f>
        <v>-</v>
      </c>
      <c r="F883" s="2" t="str">
        <f>IFERROR(INDEX(Movimientos!$G$2:$G$1993,MATCH(A883&amp;"ENTRADA",Movimientos!$R$2:$R$1993,0)),"-")</f>
        <v>-</v>
      </c>
      <c r="G883" s="2" t="str">
        <f>IFERROR(INDEX(Movimientos!$L$2:$L$1993,MATCH(A883&amp;"ENTRADA",Movimientos!$R$2:$R$1993,0)),"-")</f>
        <v>-</v>
      </c>
      <c r="H883" s="17" t="str">
        <f>IFERROR(IF(INDEX(Movimientos!$M$2:$M$1993,MATCH(A883&amp;"ENTRADA",Movimientos!$R$2:$R$1993,0))=0,"S/D",INDEX(Movimientos!$M$2:$M$1993,MATCH(A883&amp;"ENTRADA",Movimientos!$R$2:$R$1993,0))),"S/D")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3190</v>
      </c>
      <c r="B884" s="2" t="str">
        <f>IFERROR(INDEX(Movimientos!$C$2:$C$1993,MATCH(A884&amp;"ENTRADA",Movimientos!$R$2:$R$1993,0)),"-")</f>
        <v>-</v>
      </c>
      <c r="C884" s="2" t="str">
        <f>IFERROR(INDEX(Movimientos!$D$2:$D$1993,MATCH(A884&amp;"ENTRADA",Movimientos!$R$2:$R$1993,0)),"-")</f>
        <v>-</v>
      </c>
      <c r="D884" s="2" t="str">
        <f>IFERROR(INDEX(Movimientos!$E$2:$E$1993,MATCH(A884&amp;"ENTRADA",Movimientos!$R$2:$R$1993,0)),"-")</f>
        <v>-</v>
      </c>
      <c r="E884" s="2" t="str">
        <f>IFERROR(INDEX(Movimientos!$F$2:$F$1993,MATCH(A884&amp;"ENTRADA",Movimientos!$R$2:$R$1993,0)),"-")</f>
        <v>-</v>
      </c>
      <c r="F884" s="2" t="str">
        <f>IFERROR(INDEX(Movimientos!$G$2:$G$1993,MATCH(A884&amp;"ENTRADA",Movimientos!$R$2:$R$1993,0)),"-")</f>
        <v>-</v>
      </c>
      <c r="G884" s="2" t="str">
        <f>IFERROR(INDEX(Movimientos!$L$2:$L$1993,MATCH(A884&amp;"ENTRADA",Movimientos!$R$2:$R$1993,0)),"-")</f>
        <v>-</v>
      </c>
      <c r="H884" s="17" t="str">
        <f>IFERROR(IF(INDEX(Movimientos!$M$2:$M$1993,MATCH(A884&amp;"ENTRADA",Movimientos!$R$2:$R$1993,0))=0,"S/D",INDEX(Movimientos!$M$2:$M$1993,MATCH(A884&amp;"ENTRADA",Movimientos!$R$2:$R$1993,0))),"S/D")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3191</v>
      </c>
      <c r="B885" s="2" t="str">
        <f>IFERROR(INDEX(Movimientos!$C$2:$C$1993,MATCH(A885&amp;"ENTRADA",Movimientos!$R$2:$R$1993,0)),"-")</f>
        <v>-</v>
      </c>
      <c r="C885" s="2" t="str">
        <f>IFERROR(INDEX(Movimientos!$D$2:$D$1993,MATCH(A885&amp;"ENTRADA",Movimientos!$R$2:$R$1993,0)),"-")</f>
        <v>-</v>
      </c>
      <c r="D885" s="2" t="str">
        <f>IFERROR(INDEX(Movimientos!$E$2:$E$1993,MATCH(A885&amp;"ENTRADA",Movimientos!$R$2:$R$1993,0)),"-")</f>
        <v>-</v>
      </c>
      <c r="E885" s="2" t="str">
        <f>IFERROR(INDEX(Movimientos!$F$2:$F$1993,MATCH(A885&amp;"ENTRADA",Movimientos!$R$2:$R$1993,0)),"-")</f>
        <v>-</v>
      </c>
      <c r="F885" s="2" t="str">
        <f>IFERROR(INDEX(Movimientos!$G$2:$G$1993,MATCH(A885&amp;"ENTRADA",Movimientos!$R$2:$R$1993,0)),"-")</f>
        <v>-</v>
      </c>
      <c r="G885" s="2" t="str">
        <f>IFERROR(INDEX(Movimientos!$L$2:$L$1993,MATCH(A885&amp;"ENTRADA",Movimientos!$R$2:$R$1993,0)),"-")</f>
        <v>-</v>
      </c>
      <c r="H885" s="17" t="str">
        <f>IFERROR(IF(INDEX(Movimientos!$M$2:$M$1993,MATCH(A885&amp;"ENTRADA",Movimientos!$R$2:$R$1993,0))=0,"S/D",INDEX(Movimientos!$M$2:$M$1993,MATCH(A885&amp;"ENTRADA",Movimientos!$R$2:$R$1993,0))),"S/D")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3192</v>
      </c>
      <c r="B886" s="2" t="str">
        <f>IFERROR(INDEX(Movimientos!$C$2:$C$1993,MATCH(A886&amp;"ENTRADA",Movimientos!$R$2:$R$1993,0)),"-")</f>
        <v>-</v>
      </c>
      <c r="C886" s="2" t="str">
        <f>IFERROR(INDEX(Movimientos!$D$2:$D$1993,MATCH(A886&amp;"ENTRADA",Movimientos!$R$2:$R$1993,0)),"-")</f>
        <v>-</v>
      </c>
      <c r="D886" s="2" t="str">
        <f>IFERROR(INDEX(Movimientos!$E$2:$E$1993,MATCH(A886&amp;"ENTRADA",Movimientos!$R$2:$R$1993,0)),"-")</f>
        <v>-</v>
      </c>
      <c r="E886" s="2" t="str">
        <f>IFERROR(INDEX(Movimientos!$F$2:$F$1993,MATCH(A886&amp;"ENTRADA",Movimientos!$R$2:$R$1993,0)),"-")</f>
        <v>-</v>
      </c>
      <c r="F886" s="2" t="str">
        <f>IFERROR(INDEX(Movimientos!$G$2:$G$1993,MATCH(A886&amp;"ENTRADA",Movimientos!$R$2:$R$1993,0)),"-")</f>
        <v>-</v>
      </c>
      <c r="G886" s="2" t="str">
        <f>IFERROR(INDEX(Movimientos!$L$2:$L$1993,MATCH(A886&amp;"ENTRADA",Movimientos!$R$2:$R$1993,0)),"-")</f>
        <v>-</v>
      </c>
      <c r="H886" s="17" t="str">
        <f>IFERROR(IF(INDEX(Movimientos!$M$2:$M$1993,MATCH(A886&amp;"ENTRADA",Movimientos!$R$2:$R$1993,0))=0,"S/D",INDEX(Movimientos!$M$2:$M$1993,MATCH(A886&amp;"ENTRADA",Movimientos!$R$2:$R$1993,0))),"S/D")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3193</v>
      </c>
      <c r="B887" s="2" t="str">
        <f>IFERROR(INDEX(Movimientos!$C$2:$C$1993,MATCH(A887&amp;"ENTRADA",Movimientos!$R$2:$R$1993,0)),"-")</f>
        <v>-</v>
      </c>
      <c r="C887" s="2" t="str">
        <f>IFERROR(INDEX(Movimientos!$D$2:$D$1993,MATCH(A887&amp;"ENTRADA",Movimientos!$R$2:$R$1993,0)),"-")</f>
        <v>-</v>
      </c>
      <c r="D887" s="2" t="str">
        <f>IFERROR(INDEX(Movimientos!$E$2:$E$1993,MATCH(A887&amp;"ENTRADA",Movimientos!$R$2:$R$1993,0)),"-")</f>
        <v>-</v>
      </c>
      <c r="E887" s="2" t="str">
        <f>IFERROR(INDEX(Movimientos!$F$2:$F$1993,MATCH(A887&amp;"ENTRADA",Movimientos!$R$2:$R$1993,0)),"-")</f>
        <v>-</v>
      </c>
      <c r="F887" s="2" t="str">
        <f>IFERROR(INDEX(Movimientos!$G$2:$G$1993,MATCH(A887&amp;"ENTRADA",Movimientos!$R$2:$R$1993,0)),"-")</f>
        <v>-</v>
      </c>
      <c r="G887" s="2" t="str">
        <f>IFERROR(INDEX(Movimientos!$L$2:$L$1993,MATCH(A887&amp;"ENTRADA",Movimientos!$R$2:$R$1993,0)),"-")</f>
        <v>-</v>
      </c>
      <c r="H887" s="17" t="str">
        <f>IFERROR(IF(INDEX(Movimientos!$M$2:$M$1993,MATCH(A887&amp;"ENTRADA",Movimientos!$R$2:$R$1993,0))=0,"S/D",INDEX(Movimientos!$M$2:$M$1993,MATCH(A887&amp;"ENTRADA",Movimientos!$R$2:$R$1993,0))),"S/D")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3194</v>
      </c>
      <c r="B888" s="2" t="str">
        <f>IFERROR(INDEX(Movimientos!$C$2:$C$1993,MATCH(A888&amp;"ENTRADA",Movimientos!$R$2:$R$1993,0)),"-")</f>
        <v>-</v>
      </c>
      <c r="C888" s="2" t="str">
        <f>IFERROR(INDEX(Movimientos!$D$2:$D$1993,MATCH(A888&amp;"ENTRADA",Movimientos!$R$2:$R$1993,0)),"-")</f>
        <v>-</v>
      </c>
      <c r="D888" s="2" t="str">
        <f>IFERROR(INDEX(Movimientos!$E$2:$E$1993,MATCH(A888&amp;"ENTRADA",Movimientos!$R$2:$R$1993,0)),"-")</f>
        <v>-</v>
      </c>
      <c r="E888" s="2" t="str">
        <f>IFERROR(INDEX(Movimientos!$F$2:$F$1993,MATCH(A888&amp;"ENTRADA",Movimientos!$R$2:$R$1993,0)),"-")</f>
        <v>-</v>
      </c>
      <c r="F888" s="2" t="str">
        <f>IFERROR(INDEX(Movimientos!$G$2:$G$1993,MATCH(A888&amp;"ENTRADA",Movimientos!$R$2:$R$1993,0)),"-")</f>
        <v>-</v>
      </c>
      <c r="G888" s="2" t="str">
        <f>IFERROR(INDEX(Movimientos!$L$2:$L$1993,MATCH(A888&amp;"ENTRADA",Movimientos!$R$2:$R$1993,0)),"-")</f>
        <v>-</v>
      </c>
      <c r="H888" s="17" t="str">
        <f>IFERROR(IF(INDEX(Movimientos!$M$2:$M$1993,MATCH(A888&amp;"ENTRADA",Movimientos!$R$2:$R$1993,0))=0,"S/D",INDEX(Movimientos!$M$2:$M$1993,MATCH(A888&amp;"ENTRADA",Movimientos!$R$2:$R$1993,0))),"S/D")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3195</v>
      </c>
      <c r="B889" s="2" t="str">
        <f>IFERROR(INDEX(Movimientos!$C$2:$C$1993,MATCH(A889&amp;"ENTRADA",Movimientos!$R$2:$R$1993,0)),"-")</f>
        <v>-</v>
      </c>
      <c r="C889" s="2" t="str">
        <f>IFERROR(INDEX(Movimientos!$D$2:$D$1993,MATCH(A889&amp;"ENTRADA",Movimientos!$R$2:$R$1993,0)),"-")</f>
        <v>-</v>
      </c>
      <c r="D889" s="2" t="str">
        <f>IFERROR(INDEX(Movimientos!$E$2:$E$1993,MATCH(A889&amp;"ENTRADA",Movimientos!$R$2:$R$1993,0)),"-")</f>
        <v>-</v>
      </c>
      <c r="E889" s="2" t="str">
        <f>IFERROR(INDEX(Movimientos!$F$2:$F$1993,MATCH(A889&amp;"ENTRADA",Movimientos!$R$2:$R$1993,0)),"-")</f>
        <v>-</v>
      </c>
      <c r="F889" s="2" t="str">
        <f>IFERROR(INDEX(Movimientos!$G$2:$G$1993,MATCH(A889&amp;"ENTRADA",Movimientos!$R$2:$R$1993,0)),"-")</f>
        <v>-</v>
      </c>
      <c r="G889" s="2" t="str">
        <f>IFERROR(INDEX(Movimientos!$L$2:$L$1993,MATCH(A889&amp;"ENTRADA",Movimientos!$R$2:$R$1993,0)),"-")</f>
        <v>-</v>
      </c>
      <c r="H889" s="17" t="str">
        <f>IFERROR(IF(INDEX(Movimientos!$M$2:$M$1993,MATCH(A889&amp;"ENTRADA",Movimientos!$R$2:$R$1993,0))=0,"S/D",INDEX(Movimientos!$M$2:$M$1993,MATCH(A889&amp;"ENTRADA",Movimientos!$R$2:$R$1993,0))),"S/D")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3196</v>
      </c>
      <c r="B890" s="2" t="str">
        <f>IFERROR(INDEX(Movimientos!$C$2:$C$1993,MATCH(A890&amp;"ENTRADA",Movimientos!$R$2:$R$1993,0)),"-")</f>
        <v>-</v>
      </c>
      <c r="C890" s="2" t="str">
        <f>IFERROR(INDEX(Movimientos!$D$2:$D$1993,MATCH(A890&amp;"ENTRADA",Movimientos!$R$2:$R$1993,0)),"-")</f>
        <v>-</v>
      </c>
      <c r="D890" s="2" t="str">
        <f>IFERROR(INDEX(Movimientos!$E$2:$E$1993,MATCH(A890&amp;"ENTRADA",Movimientos!$R$2:$R$1993,0)),"-")</f>
        <v>-</v>
      </c>
      <c r="E890" s="2" t="str">
        <f>IFERROR(INDEX(Movimientos!$F$2:$F$1993,MATCH(A890&amp;"ENTRADA",Movimientos!$R$2:$R$1993,0)),"-")</f>
        <v>-</v>
      </c>
      <c r="F890" s="2" t="str">
        <f>IFERROR(INDEX(Movimientos!$G$2:$G$1993,MATCH(A890&amp;"ENTRADA",Movimientos!$R$2:$R$1993,0)),"-")</f>
        <v>-</v>
      </c>
      <c r="G890" s="2" t="str">
        <f>IFERROR(INDEX(Movimientos!$L$2:$L$1993,MATCH(A890&amp;"ENTRADA",Movimientos!$R$2:$R$1993,0)),"-")</f>
        <v>-</v>
      </c>
      <c r="H890" s="17" t="str">
        <f>IFERROR(IF(INDEX(Movimientos!$M$2:$M$1993,MATCH(A890&amp;"ENTRADA",Movimientos!$R$2:$R$1993,0))=0,"S/D",INDEX(Movimientos!$M$2:$M$1993,MATCH(A890&amp;"ENTRADA",Movimientos!$R$2:$R$1993,0))),"S/D")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3197</v>
      </c>
      <c r="B891" s="2" t="str">
        <f>IFERROR(INDEX(Movimientos!$C$2:$C$1993,MATCH(A891&amp;"ENTRADA",Movimientos!$R$2:$R$1993,0)),"-")</f>
        <v>-</v>
      </c>
      <c r="C891" s="2" t="str">
        <f>IFERROR(INDEX(Movimientos!$D$2:$D$1993,MATCH(A891&amp;"ENTRADA",Movimientos!$R$2:$R$1993,0)),"-")</f>
        <v>-</v>
      </c>
      <c r="D891" s="2" t="str">
        <f>IFERROR(INDEX(Movimientos!$E$2:$E$1993,MATCH(A891&amp;"ENTRADA",Movimientos!$R$2:$R$1993,0)),"-")</f>
        <v>-</v>
      </c>
      <c r="E891" s="2" t="str">
        <f>IFERROR(INDEX(Movimientos!$F$2:$F$1993,MATCH(A891&amp;"ENTRADA",Movimientos!$R$2:$R$1993,0)),"-")</f>
        <v>-</v>
      </c>
      <c r="F891" s="2" t="str">
        <f>IFERROR(INDEX(Movimientos!$G$2:$G$1993,MATCH(A891&amp;"ENTRADA",Movimientos!$R$2:$R$1993,0)),"-")</f>
        <v>-</v>
      </c>
      <c r="G891" s="2" t="str">
        <f>IFERROR(INDEX(Movimientos!$L$2:$L$1993,MATCH(A891&amp;"ENTRADA",Movimientos!$R$2:$R$1993,0)),"-")</f>
        <v>-</v>
      </c>
      <c r="H891" s="17" t="str">
        <f>IFERROR(IF(INDEX(Movimientos!$M$2:$M$1993,MATCH(A891&amp;"ENTRADA",Movimientos!$R$2:$R$1993,0))=0,"S/D",INDEX(Movimientos!$M$2:$M$1993,MATCH(A891&amp;"ENTRADA",Movimientos!$R$2:$R$1993,0))),"S/D")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3198</v>
      </c>
      <c r="B892" s="2" t="str">
        <f>IFERROR(INDEX(Movimientos!$C$2:$C$1993,MATCH(A892&amp;"ENTRADA",Movimientos!$R$2:$R$1993,0)),"-")</f>
        <v>-</v>
      </c>
      <c r="C892" s="2" t="str">
        <f>IFERROR(INDEX(Movimientos!$D$2:$D$1993,MATCH(A892&amp;"ENTRADA",Movimientos!$R$2:$R$1993,0)),"-")</f>
        <v>-</v>
      </c>
      <c r="D892" s="2" t="str">
        <f>IFERROR(INDEX(Movimientos!$E$2:$E$1993,MATCH(A892&amp;"ENTRADA",Movimientos!$R$2:$R$1993,0)),"-")</f>
        <v>-</v>
      </c>
      <c r="E892" s="2" t="str">
        <f>IFERROR(INDEX(Movimientos!$F$2:$F$1993,MATCH(A892&amp;"ENTRADA",Movimientos!$R$2:$R$1993,0)),"-")</f>
        <v>-</v>
      </c>
      <c r="F892" s="2" t="str">
        <f>IFERROR(INDEX(Movimientos!$G$2:$G$1993,MATCH(A892&amp;"ENTRADA",Movimientos!$R$2:$R$1993,0)),"-")</f>
        <v>-</v>
      </c>
      <c r="G892" s="2" t="str">
        <f>IFERROR(INDEX(Movimientos!$L$2:$L$1993,MATCH(A892&amp;"ENTRADA",Movimientos!$R$2:$R$1993,0)),"-")</f>
        <v>-</v>
      </c>
      <c r="H892" s="17" t="str">
        <f>IFERROR(IF(INDEX(Movimientos!$M$2:$M$1993,MATCH(A892&amp;"ENTRADA",Movimientos!$R$2:$R$1993,0))=0,"S/D",INDEX(Movimientos!$M$2:$M$1993,MATCH(A892&amp;"ENTRADA",Movimientos!$R$2:$R$1993,0))),"S/D")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3199</v>
      </c>
      <c r="B893" s="2" t="str">
        <f>IFERROR(INDEX(Movimientos!$C$2:$C$1993,MATCH(A893&amp;"ENTRADA",Movimientos!$R$2:$R$1993,0)),"-")</f>
        <v>-</v>
      </c>
      <c r="C893" s="2" t="str">
        <f>IFERROR(INDEX(Movimientos!$D$2:$D$1993,MATCH(A893&amp;"ENTRADA",Movimientos!$R$2:$R$1993,0)),"-")</f>
        <v>-</v>
      </c>
      <c r="D893" s="2" t="str">
        <f>IFERROR(INDEX(Movimientos!$E$2:$E$1993,MATCH(A893&amp;"ENTRADA",Movimientos!$R$2:$R$1993,0)),"-")</f>
        <v>-</v>
      </c>
      <c r="E893" s="2" t="str">
        <f>IFERROR(INDEX(Movimientos!$F$2:$F$1993,MATCH(A893&amp;"ENTRADA",Movimientos!$R$2:$R$1993,0)),"-")</f>
        <v>-</v>
      </c>
      <c r="F893" s="2" t="str">
        <f>IFERROR(INDEX(Movimientos!$G$2:$G$1993,MATCH(A893&amp;"ENTRADA",Movimientos!$R$2:$R$1993,0)),"-")</f>
        <v>-</v>
      </c>
      <c r="G893" s="2" t="str">
        <f>IFERROR(INDEX(Movimientos!$L$2:$L$1993,MATCH(A893&amp;"ENTRADA",Movimientos!$R$2:$R$1993,0)),"-")</f>
        <v>-</v>
      </c>
      <c r="H893" s="17" t="str">
        <f>IFERROR(IF(INDEX(Movimientos!$M$2:$M$1993,MATCH(A893&amp;"ENTRADA",Movimientos!$R$2:$R$1993,0))=0,"S/D",INDEX(Movimientos!$M$2:$M$1993,MATCH(A893&amp;"ENTRADA",Movimientos!$R$2:$R$1993,0))),"S/D")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3200</v>
      </c>
      <c r="B894" s="2" t="str">
        <f>IFERROR(INDEX(Movimientos!$C$2:$C$1993,MATCH(A894&amp;"ENTRADA",Movimientos!$R$2:$R$1993,0)),"-")</f>
        <v>-</v>
      </c>
      <c r="C894" s="2" t="str">
        <f>IFERROR(INDEX(Movimientos!$D$2:$D$1993,MATCH(A894&amp;"ENTRADA",Movimientos!$R$2:$R$1993,0)),"-")</f>
        <v>-</v>
      </c>
      <c r="D894" s="2" t="str">
        <f>IFERROR(INDEX(Movimientos!$E$2:$E$1993,MATCH(A894&amp;"ENTRADA",Movimientos!$R$2:$R$1993,0)),"-")</f>
        <v>-</v>
      </c>
      <c r="E894" s="2" t="str">
        <f>IFERROR(INDEX(Movimientos!$F$2:$F$1993,MATCH(A894&amp;"ENTRADA",Movimientos!$R$2:$R$1993,0)),"-")</f>
        <v>-</v>
      </c>
      <c r="F894" s="2" t="str">
        <f>IFERROR(INDEX(Movimientos!$G$2:$G$1993,MATCH(A894&amp;"ENTRADA",Movimientos!$R$2:$R$1993,0)),"-")</f>
        <v>-</v>
      </c>
      <c r="G894" s="2" t="str">
        <f>IFERROR(INDEX(Movimientos!$L$2:$L$1993,MATCH(A894&amp;"ENTRADA",Movimientos!$R$2:$R$1993,0)),"-")</f>
        <v>-</v>
      </c>
      <c r="H894" s="17" t="str">
        <f>IFERROR(IF(INDEX(Movimientos!$M$2:$M$1993,MATCH(A894&amp;"ENTRADA",Movimientos!$R$2:$R$1993,0))=0,"S/D",INDEX(Movimientos!$M$2:$M$1993,MATCH(A894&amp;"ENTRADA",Movimientos!$R$2:$R$1993,0))),"S/D")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3201</v>
      </c>
      <c r="B895" s="2" t="str">
        <f>IFERROR(INDEX(Movimientos!$C$2:$C$1993,MATCH(A895&amp;"ENTRADA",Movimientos!$R$2:$R$1993,0)),"-")</f>
        <v>-</v>
      </c>
      <c r="C895" s="2" t="str">
        <f>IFERROR(INDEX(Movimientos!$D$2:$D$1993,MATCH(A895&amp;"ENTRADA",Movimientos!$R$2:$R$1993,0)),"-")</f>
        <v>-</v>
      </c>
      <c r="D895" s="2" t="str">
        <f>IFERROR(INDEX(Movimientos!$E$2:$E$1993,MATCH(A895&amp;"ENTRADA",Movimientos!$R$2:$R$1993,0)),"-")</f>
        <v>-</v>
      </c>
      <c r="E895" s="2" t="str">
        <f>IFERROR(INDEX(Movimientos!$F$2:$F$1993,MATCH(A895&amp;"ENTRADA",Movimientos!$R$2:$R$1993,0)),"-")</f>
        <v>-</v>
      </c>
      <c r="F895" s="2" t="str">
        <f>IFERROR(INDEX(Movimientos!$G$2:$G$1993,MATCH(A895&amp;"ENTRADA",Movimientos!$R$2:$R$1993,0)),"-")</f>
        <v>-</v>
      </c>
      <c r="G895" s="2" t="str">
        <f>IFERROR(INDEX(Movimientos!$L$2:$L$1993,MATCH(A895&amp;"ENTRADA",Movimientos!$R$2:$R$1993,0)),"-")</f>
        <v>-</v>
      </c>
      <c r="H895" s="17" t="str">
        <f>IFERROR(IF(INDEX(Movimientos!$M$2:$M$1993,MATCH(A895&amp;"ENTRADA",Movimientos!$R$2:$R$1993,0))=0,"S/D",INDEX(Movimientos!$M$2:$M$1993,MATCH(A895&amp;"ENTRADA",Movimientos!$R$2:$R$1993,0))),"S/D")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3202</v>
      </c>
      <c r="B896" s="2" t="str">
        <f>IFERROR(INDEX(Movimientos!$C$2:$C$1993,MATCH(A896&amp;"ENTRADA",Movimientos!$R$2:$R$1993,0)),"-")</f>
        <v>-</v>
      </c>
      <c r="C896" s="2" t="str">
        <f>IFERROR(INDEX(Movimientos!$D$2:$D$1993,MATCH(A896&amp;"ENTRADA",Movimientos!$R$2:$R$1993,0)),"-")</f>
        <v>-</v>
      </c>
      <c r="D896" s="2" t="str">
        <f>IFERROR(INDEX(Movimientos!$E$2:$E$1993,MATCH(A896&amp;"ENTRADA",Movimientos!$R$2:$R$1993,0)),"-")</f>
        <v>-</v>
      </c>
      <c r="E896" s="2" t="str">
        <f>IFERROR(INDEX(Movimientos!$F$2:$F$1993,MATCH(A896&amp;"ENTRADA",Movimientos!$R$2:$R$1993,0)),"-")</f>
        <v>-</v>
      </c>
      <c r="F896" s="2" t="str">
        <f>IFERROR(INDEX(Movimientos!$G$2:$G$1993,MATCH(A896&amp;"ENTRADA",Movimientos!$R$2:$R$1993,0)),"-")</f>
        <v>-</v>
      </c>
      <c r="G896" s="2" t="str">
        <f>IFERROR(INDEX(Movimientos!$L$2:$L$1993,MATCH(A896&amp;"ENTRADA",Movimientos!$R$2:$R$1993,0)),"-")</f>
        <v>-</v>
      </c>
      <c r="H896" s="17" t="str">
        <f>IFERROR(IF(INDEX(Movimientos!$M$2:$M$1993,MATCH(A896&amp;"ENTRADA",Movimientos!$R$2:$R$1993,0))=0,"S/D",INDEX(Movimientos!$M$2:$M$1993,MATCH(A896&amp;"ENTRADA",Movimientos!$R$2:$R$1993,0))),"S/D")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3203</v>
      </c>
      <c r="B897" s="2" t="str">
        <f>IFERROR(INDEX(Movimientos!$C$2:$C$1993,MATCH(A897&amp;"ENTRADA",Movimientos!$R$2:$R$1993,0)),"-")</f>
        <v>-</v>
      </c>
      <c r="C897" s="2" t="str">
        <f>IFERROR(INDEX(Movimientos!$D$2:$D$1993,MATCH(A897&amp;"ENTRADA",Movimientos!$R$2:$R$1993,0)),"-")</f>
        <v>-</v>
      </c>
      <c r="D897" s="2" t="str">
        <f>IFERROR(INDEX(Movimientos!$E$2:$E$1993,MATCH(A897&amp;"ENTRADA",Movimientos!$R$2:$R$1993,0)),"-")</f>
        <v>-</v>
      </c>
      <c r="E897" s="2" t="str">
        <f>IFERROR(INDEX(Movimientos!$F$2:$F$1993,MATCH(A897&amp;"ENTRADA",Movimientos!$R$2:$R$1993,0)),"-")</f>
        <v>-</v>
      </c>
      <c r="F897" s="2" t="str">
        <f>IFERROR(INDEX(Movimientos!$G$2:$G$1993,MATCH(A897&amp;"ENTRADA",Movimientos!$R$2:$R$1993,0)),"-")</f>
        <v>-</v>
      </c>
      <c r="G897" s="2" t="str">
        <f>IFERROR(INDEX(Movimientos!$L$2:$L$1993,MATCH(A897&amp;"ENTRADA",Movimientos!$R$2:$R$1993,0)),"-")</f>
        <v>-</v>
      </c>
      <c r="H897" s="17" t="str">
        <f>IFERROR(IF(INDEX(Movimientos!$M$2:$M$1993,MATCH(A897&amp;"ENTRADA",Movimientos!$R$2:$R$1993,0))=0,"S/D",INDEX(Movimientos!$M$2:$M$1993,MATCH(A897&amp;"ENTRADA",Movimientos!$R$2:$R$1993,0))),"S/D")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3204</v>
      </c>
      <c r="B898" s="2" t="str">
        <f>IFERROR(INDEX(Movimientos!$C$2:$C$1993,MATCH(A898&amp;"ENTRADA",Movimientos!$R$2:$R$1993,0)),"-")</f>
        <v>-</v>
      </c>
      <c r="C898" s="2" t="str">
        <f>IFERROR(INDEX(Movimientos!$D$2:$D$1993,MATCH(A898&amp;"ENTRADA",Movimientos!$R$2:$R$1993,0)),"-")</f>
        <v>-</v>
      </c>
      <c r="D898" s="2" t="str">
        <f>IFERROR(INDEX(Movimientos!$E$2:$E$1993,MATCH(A898&amp;"ENTRADA",Movimientos!$R$2:$R$1993,0)),"-")</f>
        <v>-</v>
      </c>
      <c r="E898" s="2" t="str">
        <f>IFERROR(INDEX(Movimientos!$F$2:$F$1993,MATCH(A898&amp;"ENTRADA",Movimientos!$R$2:$R$1993,0)),"-")</f>
        <v>-</v>
      </c>
      <c r="F898" s="2" t="str">
        <f>IFERROR(INDEX(Movimientos!$G$2:$G$1993,MATCH(A898&amp;"ENTRADA",Movimientos!$R$2:$R$1993,0)),"-")</f>
        <v>-</v>
      </c>
      <c r="G898" s="2" t="str">
        <f>IFERROR(INDEX(Movimientos!$L$2:$L$1993,MATCH(A898&amp;"ENTRADA",Movimientos!$R$2:$R$1993,0)),"-")</f>
        <v>-</v>
      </c>
      <c r="H898" s="17" t="str">
        <f>IFERROR(IF(INDEX(Movimientos!$M$2:$M$1993,MATCH(A898&amp;"ENTRADA",Movimientos!$R$2:$R$1993,0))=0,"S/D",INDEX(Movimientos!$M$2:$M$1993,MATCH(A898&amp;"ENTRADA",Movimientos!$R$2:$R$1993,0))),"S/D")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3205</v>
      </c>
      <c r="B899" s="2" t="str">
        <f>IFERROR(INDEX(Movimientos!$C$2:$C$1993,MATCH(A899&amp;"ENTRADA",Movimientos!$R$2:$R$1993,0)),"-")</f>
        <v>-</v>
      </c>
      <c r="C899" s="2" t="str">
        <f>IFERROR(INDEX(Movimientos!$D$2:$D$1993,MATCH(A899&amp;"ENTRADA",Movimientos!$R$2:$R$1993,0)),"-")</f>
        <v>-</v>
      </c>
      <c r="D899" s="2" t="str">
        <f>IFERROR(INDEX(Movimientos!$E$2:$E$1993,MATCH(A899&amp;"ENTRADA",Movimientos!$R$2:$R$1993,0)),"-")</f>
        <v>-</v>
      </c>
      <c r="E899" s="2" t="str">
        <f>IFERROR(INDEX(Movimientos!$F$2:$F$1993,MATCH(A899&amp;"ENTRADA",Movimientos!$R$2:$R$1993,0)),"-")</f>
        <v>-</v>
      </c>
      <c r="F899" s="2" t="str">
        <f>IFERROR(INDEX(Movimientos!$G$2:$G$1993,MATCH(A899&amp;"ENTRADA",Movimientos!$R$2:$R$1993,0)),"-")</f>
        <v>-</v>
      </c>
      <c r="G899" s="2" t="str">
        <f>IFERROR(INDEX(Movimientos!$L$2:$L$1993,MATCH(A899&amp;"ENTRADA",Movimientos!$R$2:$R$1993,0)),"-")</f>
        <v>-</v>
      </c>
      <c r="H899" s="17" t="str">
        <f>IFERROR(IF(INDEX(Movimientos!$M$2:$M$1993,MATCH(A899&amp;"ENTRADA",Movimientos!$R$2:$R$1993,0))=0,"S/D",INDEX(Movimientos!$M$2:$M$1993,MATCH(A899&amp;"ENTRADA",Movimientos!$R$2:$R$1993,0))),"S/D")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3206</v>
      </c>
      <c r="B900" s="2" t="str">
        <f>IFERROR(INDEX(Movimientos!$C$2:$C$1993,MATCH(A900&amp;"ENTRADA",Movimientos!$R$2:$R$1993,0)),"-")</f>
        <v>-</v>
      </c>
      <c r="C900" s="2" t="str">
        <f>IFERROR(INDEX(Movimientos!$D$2:$D$1993,MATCH(A900&amp;"ENTRADA",Movimientos!$R$2:$R$1993,0)),"-")</f>
        <v>-</v>
      </c>
      <c r="D900" s="2" t="str">
        <f>IFERROR(INDEX(Movimientos!$E$2:$E$1993,MATCH(A900&amp;"ENTRADA",Movimientos!$R$2:$R$1993,0)),"-")</f>
        <v>-</v>
      </c>
      <c r="E900" s="2" t="str">
        <f>IFERROR(INDEX(Movimientos!$F$2:$F$1993,MATCH(A900&amp;"ENTRADA",Movimientos!$R$2:$R$1993,0)),"-")</f>
        <v>-</v>
      </c>
      <c r="F900" s="2" t="str">
        <f>IFERROR(INDEX(Movimientos!$G$2:$G$1993,MATCH(A900&amp;"ENTRADA",Movimientos!$R$2:$R$1993,0)),"-")</f>
        <v>-</v>
      </c>
      <c r="G900" s="2" t="str">
        <f>IFERROR(INDEX(Movimientos!$L$2:$L$1993,MATCH(A900&amp;"ENTRADA",Movimientos!$R$2:$R$1993,0)),"-")</f>
        <v>-</v>
      </c>
      <c r="H900" s="17" t="str">
        <f>IFERROR(IF(INDEX(Movimientos!$M$2:$M$1993,MATCH(A900&amp;"ENTRADA",Movimientos!$R$2:$R$1993,0))=0,"S/D",INDEX(Movimientos!$M$2:$M$1993,MATCH(A900&amp;"ENTRADA",Movimientos!$R$2:$R$1993,0))),"S/D")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3207</v>
      </c>
      <c r="B901" s="2" t="str">
        <f>IFERROR(INDEX(Movimientos!$C$2:$C$1993,MATCH(A901&amp;"ENTRADA",Movimientos!$R$2:$R$1993,0)),"-")</f>
        <v>-</v>
      </c>
      <c r="C901" s="2" t="str">
        <f>IFERROR(INDEX(Movimientos!$D$2:$D$1993,MATCH(A901&amp;"ENTRADA",Movimientos!$R$2:$R$1993,0)),"-")</f>
        <v>-</v>
      </c>
      <c r="D901" s="2" t="str">
        <f>IFERROR(INDEX(Movimientos!$E$2:$E$1993,MATCH(A901&amp;"ENTRADA",Movimientos!$R$2:$R$1993,0)),"-")</f>
        <v>-</v>
      </c>
      <c r="E901" s="2" t="str">
        <f>IFERROR(INDEX(Movimientos!$F$2:$F$1993,MATCH(A901&amp;"ENTRADA",Movimientos!$R$2:$R$1993,0)),"-")</f>
        <v>-</v>
      </c>
      <c r="F901" s="2" t="str">
        <f>IFERROR(INDEX(Movimientos!$G$2:$G$1993,MATCH(A901&amp;"ENTRADA",Movimientos!$R$2:$R$1993,0)),"-")</f>
        <v>-</v>
      </c>
      <c r="G901" s="2" t="str">
        <f>IFERROR(INDEX(Movimientos!$L$2:$L$1993,MATCH(A901&amp;"ENTRADA",Movimientos!$R$2:$R$1993,0)),"-")</f>
        <v>-</v>
      </c>
      <c r="H901" s="17" t="str">
        <f>IFERROR(IF(INDEX(Movimientos!$M$2:$M$1993,MATCH(A901&amp;"ENTRADA",Movimientos!$R$2:$R$1993,0))=0,"S/D",INDEX(Movimientos!$M$2:$M$1993,MATCH(A901&amp;"ENTRADA",Movimientos!$R$2:$R$1993,0))),"S/D")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3208</v>
      </c>
      <c r="B902" s="2" t="str">
        <f>IFERROR(INDEX(Movimientos!$C$2:$C$1993,MATCH(A902&amp;"ENTRADA",Movimientos!$R$2:$R$1993,0)),"-")</f>
        <v>-</v>
      </c>
      <c r="C902" s="2" t="str">
        <f>IFERROR(INDEX(Movimientos!$D$2:$D$1993,MATCH(A902&amp;"ENTRADA",Movimientos!$R$2:$R$1993,0)),"-")</f>
        <v>-</v>
      </c>
      <c r="D902" s="2" t="str">
        <f>IFERROR(INDEX(Movimientos!$E$2:$E$1993,MATCH(A902&amp;"ENTRADA",Movimientos!$R$2:$R$1993,0)),"-")</f>
        <v>-</v>
      </c>
      <c r="E902" s="2" t="str">
        <f>IFERROR(INDEX(Movimientos!$F$2:$F$1993,MATCH(A902&amp;"ENTRADA",Movimientos!$R$2:$R$1993,0)),"-")</f>
        <v>-</v>
      </c>
      <c r="F902" s="2" t="str">
        <f>IFERROR(INDEX(Movimientos!$G$2:$G$1993,MATCH(A902&amp;"ENTRADA",Movimientos!$R$2:$R$1993,0)),"-")</f>
        <v>-</v>
      </c>
      <c r="G902" s="2" t="str">
        <f>IFERROR(INDEX(Movimientos!$L$2:$L$1993,MATCH(A902&amp;"ENTRADA",Movimientos!$R$2:$R$1993,0)),"-")</f>
        <v>-</v>
      </c>
      <c r="H902" s="17" t="str">
        <f>IFERROR(IF(INDEX(Movimientos!$M$2:$M$1993,MATCH(A902&amp;"ENTRADA",Movimientos!$R$2:$R$1993,0))=0,"S/D",INDEX(Movimientos!$M$2:$M$1993,MATCH(A902&amp;"ENTRADA",Movimientos!$R$2:$R$1993,0))),"S/D")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3209</v>
      </c>
      <c r="B903" s="2" t="str">
        <f>IFERROR(INDEX(Movimientos!$C$2:$C$1993,MATCH(A903&amp;"ENTRADA",Movimientos!$R$2:$R$1993,0)),"-")</f>
        <v>-</v>
      </c>
      <c r="C903" s="2" t="str">
        <f>IFERROR(INDEX(Movimientos!$D$2:$D$1993,MATCH(A903&amp;"ENTRADA",Movimientos!$R$2:$R$1993,0)),"-")</f>
        <v>-</v>
      </c>
      <c r="D903" s="2" t="str">
        <f>IFERROR(INDEX(Movimientos!$E$2:$E$1993,MATCH(A903&amp;"ENTRADA",Movimientos!$R$2:$R$1993,0)),"-")</f>
        <v>-</v>
      </c>
      <c r="E903" s="2" t="str">
        <f>IFERROR(INDEX(Movimientos!$F$2:$F$1993,MATCH(A903&amp;"ENTRADA",Movimientos!$R$2:$R$1993,0)),"-")</f>
        <v>-</v>
      </c>
      <c r="F903" s="2" t="str">
        <f>IFERROR(INDEX(Movimientos!$G$2:$G$1993,MATCH(A903&amp;"ENTRADA",Movimientos!$R$2:$R$1993,0)),"-")</f>
        <v>-</v>
      </c>
      <c r="G903" s="2" t="str">
        <f>IFERROR(INDEX(Movimientos!$L$2:$L$1993,MATCH(A903&amp;"ENTRADA",Movimientos!$R$2:$R$1993,0)),"-")</f>
        <v>-</v>
      </c>
      <c r="H903" s="17" t="str">
        <f>IFERROR(IF(INDEX(Movimientos!$M$2:$M$1993,MATCH(A903&amp;"ENTRADA",Movimientos!$R$2:$R$1993,0))=0,"S/D",INDEX(Movimientos!$M$2:$M$1993,MATCH(A903&amp;"ENTRADA",Movimientos!$R$2:$R$1993,0))),"S/D")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3210</v>
      </c>
      <c r="B904" s="2" t="str">
        <f>IFERROR(INDEX(Movimientos!$C$2:$C$1993,MATCH(A904&amp;"ENTRADA",Movimientos!$R$2:$R$1993,0)),"-")</f>
        <v>-</v>
      </c>
      <c r="C904" s="2" t="str">
        <f>IFERROR(INDEX(Movimientos!$D$2:$D$1993,MATCH(A904&amp;"ENTRADA",Movimientos!$R$2:$R$1993,0)),"-")</f>
        <v>-</v>
      </c>
      <c r="D904" s="2" t="str">
        <f>IFERROR(INDEX(Movimientos!$E$2:$E$1993,MATCH(A904&amp;"ENTRADA",Movimientos!$R$2:$R$1993,0)),"-")</f>
        <v>-</v>
      </c>
      <c r="E904" s="2" t="str">
        <f>IFERROR(INDEX(Movimientos!$F$2:$F$1993,MATCH(A904&amp;"ENTRADA",Movimientos!$R$2:$R$1993,0)),"-")</f>
        <v>-</v>
      </c>
      <c r="F904" s="2" t="str">
        <f>IFERROR(INDEX(Movimientos!$G$2:$G$1993,MATCH(A904&amp;"ENTRADA",Movimientos!$R$2:$R$1993,0)),"-")</f>
        <v>-</v>
      </c>
      <c r="G904" s="2" t="str">
        <f>IFERROR(INDEX(Movimientos!$L$2:$L$1993,MATCH(A904&amp;"ENTRADA",Movimientos!$R$2:$R$1993,0)),"-")</f>
        <v>-</v>
      </c>
      <c r="H904" s="17" t="str">
        <f>IFERROR(IF(INDEX(Movimientos!$M$2:$M$1993,MATCH(A904&amp;"ENTRADA",Movimientos!$R$2:$R$1993,0))=0,"S/D",INDEX(Movimientos!$M$2:$M$1993,MATCH(A904&amp;"ENTRADA",Movimientos!$R$2:$R$1993,0))),"S/D")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3211</v>
      </c>
      <c r="B905" s="2" t="str">
        <f>IFERROR(INDEX(Movimientos!$C$2:$C$1993,MATCH(A905&amp;"ENTRADA",Movimientos!$R$2:$R$1993,0)),"-")</f>
        <v>-</v>
      </c>
      <c r="C905" s="2" t="str">
        <f>IFERROR(INDEX(Movimientos!$D$2:$D$1993,MATCH(A905&amp;"ENTRADA",Movimientos!$R$2:$R$1993,0)),"-")</f>
        <v>-</v>
      </c>
      <c r="D905" s="2" t="str">
        <f>IFERROR(INDEX(Movimientos!$E$2:$E$1993,MATCH(A905&amp;"ENTRADA",Movimientos!$R$2:$R$1993,0)),"-")</f>
        <v>-</v>
      </c>
      <c r="E905" s="2" t="str">
        <f>IFERROR(INDEX(Movimientos!$F$2:$F$1993,MATCH(A905&amp;"ENTRADA",Movimientos!$R$2:$R$1993,0)),"-")</f>
        <v>-</v>
      </c>
      <c r="F905" s="2" t="str">
        <f>IFERROR(INDEX(Movimientos!$G$2:$G$1993,MATCH(A905&amp;"ENTRADA",Movimientos!$R$2:$R$1993,0)),"-")</f>
        <v>-</v>
      </c>
      <c r="G905" s="2" t="str">
        <f>IFERROR(INDEX(Movimientos!$L$2:$L$1993,MATCH(A905&amp;"ENTRADA",Movimientos!$R$2:$R$1993,0)),"-")</f>
        <v>-</v>
      </c>
      <c r="H905" s="17" t="str">
        <f>IFERROR(IF(INDEX(Movimientos!$M$2:$M$1993,MATCH(A905&amp;"ENTRADA",Movimientos!$R$2:$R$1993,0))=0,"S/D",INDEX(Movimientos!$M$2:$M$1993,MATCH(A905&amp;"ENTRADA",Movimientos!$R$2:$R$1993,0))),"S/D")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3212</v>
      </c>
      <c r="B906" s="2" t="str">
        <f>IFERROR(INDEX(Movimientos!$C$2:$C$1993,MATCH(A906&amp;"ENTRADA",Movimientos!$R$2:$R$1993,0)),"-")</f>
        <v>-</v>
      </c>
      <c r="C906" s="2" t="str">
        <f>IFERROR(INDEX(Movimientos!$D$2:$D$1993,MATCH(A906&amp;"ENTRADA",Movimientos!$R$2:$R$1993,0)),"-")</f>
        <v>-</v>
      </c>
      <c r="D906" s="2" t="str">
        <f>IFERROR(INDEX(Movimientos!$E$2:$E$1993,MATCH(A906&amp;"ENTRADA",Movimientos!$R$2:$R$1993,0)),"-")</f>
        <v>-</v>
      </c>
      <c r="E906" s="2" t="str">
        <f>IFERROR(INDEX(Movimientos!$F$2:$F$1993,MATCH(A906&amp;"ENTRADA",Movimientos!$R$2:$R$1993,0)),"-")</f>
        <v>-</v>
      </c>
      <c r="F906" s="2" t="str">
        <f>IFERROR(INDEX(Movimientos!$G$2:$G$1993,MATCH(A906&amp;"ENTRADA",Movimientos!$R$2:$R$1993,0)),"-")</f>
        <v>-</v>
      </c>
      <c r="G906" s="2" t="str">
        <f>IFERROR(INDEX(Movimientos!$L$2:$L$1993,MATCH(A906&amp;"ENTRADA",Movimientos!$R$2:$R$1993,0)),"-")</f>
        <v>-</v>
      </c>
      <c r="H906" s="17" t="str">
        <f>IFERROR(IF(INDEX(Movimientos!$M$2:$M$1993,MATCH(A906&amp;"ENTRADA",Movimientos!$R$2:$R$1993,0))=0,"S/D",INDEX(Movimientos!$M$2:$M$1993,MATCH(A906&amp;"ENTRADA",Movimientos!$R$2:$R$1993,0))),"S/D")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3213</v>
      </c>
      <c r="B907" s="2" t="str">
        <f>IFERROR(INDEX(Movimientos!$C$2:$C$1993,MATCH(A907&amp;"ENTRADA",Movimientos!$R$2:$R$1993,0)),"-")</f>
        <v>-</v>
      </c>
      <c r="C907" s="2" t="str">
        <f>IFERROR(INDEX(Movimientos!$D$2:$D$1993,MATCH(A907&amp;"ENTRADA",Movimientos!$R$2:$R$1993,0)),"-")</f>
        <v>-</v>
      </c>
      <c r="D907" s="2" t="str">
        <f>IFERROR(INDEX(Movimientos!$E$2:$E$1993,MATCH(A907&amp;"ENTRADA",Movimientos!$R$2:$R$1993,0)),"-")</f>
        <v>-</v>
      </c>
      <c r="E907" s="2" t="str">
        <f>IFERROR(INDEX(Movimientos!$F$2:$F$1993,MATCH(A907&amp;"ENTRADA",Movimientos!$R$2:$R$1993,0)),"-")</f>
        <v>-</v>
      </c>
      <c r="F907" s="2" t="str">
        <f>IFERROR(INDEX(Movimientos!$G$2:$G$1993,MATCH(A907&amp;"ENTRADA",Movimientos!$R$2:$R$1993,0)),"-")</f>
        <v>-</v>
      </c>
      <c r="G907" s="2" t="str">
        <f>IFERROR(INDEX(Movimientos!$L$2:$L$1993,MATCH(A907&amp;"ENTRADA",Movimientos!$R$2:$R$1993,0)),"-")</f>
        <v>-</v>
      </c>
      <c r="H907" s="17" t="str">
        <f>IFERROR(IF(INDEX(Movimientos!$M$2:$M$1993,MATCH(A907&amp;"ENTRADA",Movimientos!$R$2:$R$1993,0))=0,"S/D",INDEX(Movimientos!$M$2:$M$1993,MATCH(A907&amp;"ENTRADA",Movimientos!$R$2:$R$1993,0))),"S/D")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3214</v>
      </c>
      <c r="B908" s="2" t="str">
        <f>IFERROR(INDEX(Movimientos!$C$2:$C$1993,MATCH(A908&amp;"ENTRADA",Movimientos!$R$2:$R$1993,0)),"-")</f>
        <v>-</v>
      </c>
      <c r="C908" s="2" t="str">
        <f>IFERROR(INDEX(Movimientos!$D$2:$D$1993,MATCH(A908&amp;"ENTRADA",Movimientos!$R$2:$R$1993,0)),"-")</f>
        <v>-</v>
      </c>
      <c r="D908" s="2" t="str">
        <f>IFERROR(INDEX(Movimientos!$E$2:$E$1993,MATCH(A908&amp;"ENTRADA",Movimientos!$R$2:$R$1993,0)),"-")</f>
        <v>-</v>
      </c>
      <c r="E908" s="2" t="str">
        <f>IFERROR(INDEX(Movimientos!$F$2:$F$1993,MATCH(A908&amp;"ENTRADA",Movimientos!$R$2:$R$1993,0)),"-")</f>
        <v>-</v>
      </c>
      <c r="F908" s="2" t="str">
        <f>IFERROR(INDEX(Movimientos!$G$2:$G$1993,MATCH(A908&amp;"ENTRADA",Movimientos!$R$2:$R$1993,0)),"-")</f>
        <v>-</v>
      </c>
      <c r="G908" s="2" t="str">
        <f>IFERROR(INDEX(Movimientos!$L$2:$L$1993,MATCH(A908&amp;"ENTRADA",Movimientos!$R$2:$R$1993,0)),"-")</f>
        <v>-</v>
      </c>
      <c r="H908" s="17" t="str">
        <f>IFERROR(IF(INDEX(Movimientos!$M$2:$M$1993,MATCH(A908&amp;"ENTRADA",Movimientos!$R$2:$R$1993,0))=0,"S/D",INDEX(Movimientos!$M$2:$M$1993,MATCH(A908&amp;"ENTRADA",Movimientos!$R$2:$R$1993,0))),"S/D")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3215</v>
      </c>
      <c r="B909" s="2" t="str">
        <f>IFERROR(INDEX(Movimientos!$C$2:$C$1993,MATCH(A909&amp;"ENTRADA",Movimientos!$R$2:$R$1993,0)),"-")</f>
        <v>-</v>
      </c>
      <c r="C909" s="2" t="str">
        <f>IFERROR(INDEX(Movimientos!$D$2:$D$1993,MATCH(A909&amp;"ENTRADA",Movimientos!$R$2:$R$1993,0)),"-")</f>
        <v>-</v>
      </c>
      <c r="D909" s="2" t="str">
        <f>IFERROR(INDEX(Movimientos!$E$2:$E$1993,MATCH(A909&amp;"ENTRADA",Movimientos!$R$2:$R$1993,0)),"-")</f>
        <v>-</v>
      </c>
      <c r="E909" s="2" t="str">
        <f>IFERROR(INDEX(Movimientos!$F$2:$F$1993,MATCH(A909&amp;"ENTRADA",Movimientos!$R$2:$R$1993,0)),"-")</f>
        <v>-</v>
      </c>
      <c r="F909" s="2" t="str">
        <f>IFERROR(INDEX(Movimientos!$G$2:$G$1993,MATCH(A909&amp;"ENTRADA",Movimientos!$R$2:$R$1993,0)),"-")</f>
        <v>-</v>
      </c>
      <c r="G909" s="2" t="str">
        <f>IFERROR(INDEX(Movimientos!$L$2:$L$1993,MATCH(A909&amp;"ENTRADA",Movimientos!$R$2:$R$1993,0)),"-")</f>
        <v>-</v>
      </c>
      <c r="H909" s="17" t="str">
        <f>IFERROR(IF(INDEX(Movimientos!$M$2:$M$1993,MATCH(A909&amp;"ENTRADA",Movimientos!$R$2:$R$1993,0))=0,"S/D",INDEX(Movimientos!$M$2:$M$1993,MATCH(A909&amp;"ENTRADA",Movimientos!$R$2:$R$1993,0))),"S/D")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3216</v>
      </c>
      <c r="B910" s="2" t="str">
        <f>IFERROR(INDEX(Movimientos!$C$2:$C$1993,MATCH(A910&amp;"ENTRADA",Movimientos!$R$2:$R$1993,0)),"-")</f>
        <v>-</v>
      </c>
      <c r="C910" s="2" t="str">
        <f>IFERROR(INDEX(Movimientos!$D$2:$D$1993,MATCH(A910&amp;"ENTRADA",Movimientos!$R$2:$R$1993,0)),"-")</f>
        <v>-</v>
      </c>
      <c r="D910" s="2" t="str">
        <f>IFERROR(INDEX(Movimientos!$E$2:$E$1993,MATCH(A910&amp;"ENTRADA",Movimientos!$R$2:$R$1993,0)),"-")</f>
        <v>-</v>
      </c>
      <c r="E910" s="2" t="str">
        <f>IFERROR(INDEX(Movimientos!$F$2:$F$1993,MATCH(A910&amp;"ENTRADA",Movimientos!$R$2:$R$1993,0)),"-")</f>
        <v>-</v>
      </c>
      <c r="F910" s="2" t="str">
        <f>IFERROR(INDEX(Movimientos!$G$2:$G$1993,MATCH(A910&amp;"ENTRADA",Movimientos!$R$2:$R$1993,0)),"-")</f>
        <v>-</v>
      </c>
      <c r="G910" s="2" t="str">
        <f>IFERROR(INDEX(Movimientos!$L$2:$L$1993,MATCH(A910&amp;"ENTRADA",Movimientos!$R$2:$R$1993,0)),"-")</f>
        <v>-</v>
      </c>
      <c r="H910" s="17" t="str">
        <f>IFERROR(IF(INDEX(Movimientos!$M$2:$M$1993,MATCH(A910&amp;"ENTRADA",Movimientos!$R$2:$R$1993,0))=0,"S/D",INDEX(Movimientos!$M$2:$M$1993,MATCH(A910&amp;"ENTRADA",Movimientos!$R$2:$R$1993,0))),"S/D")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3217</v>
      </c>
      <c r="B911" s="2" t="str">
        <f>IFERROR(INDEX(Movimientos!$C$2:$C$1993,MATCH(A911&amp;"ENTRADA",Movimientos!$R$2:$R$1993,0)),"-")</f>
        <v>-</v>
      </c>
      <c r="C911" s="2" t="str">
        <f>IFERROR(INDEX(Movimientos!$D$2:$D$1993,MATCH(A911&amp;"ENTRADA",Movimientos!$R$2:$R$1993,0)),"-")</f>
        <v>-</v>
      </c>
      <c r="D911" s="2" t="str">
        <f>IFERROR(INDEX(Movimientos!$E$2:$E$1993,MATCH(A911&amp;"ENTRADA",Movimientos!$R$2:$R$1993,0)),"-")</f>
        <v>-</v>
      </c>
      <c r="E911" s="2" t="str">
        <f>IFERROR(INDEX(Movimientos!$F$2:$F$1993,MATCH(A911&amp;"ENTRADA",Movimientos!$R$2:$R$1993,0)),"-")</f>
        <v>-</v>
      </c>
      <c r="F911" s="2" t="str">
        <f>IFERROR(INDEX(Movimientos!$G$2:$G$1993,MATCH(A911&amp;"ENTRADA",Movimientos!$R$2:$R$1993,0)),"-")</f>
        <v>-</v>
      </c>
      <c r="G911" s="2" t="str">
        <f>IFERROR(INDEX(Movimientos!$L$2:$L$1993,MATCH(A911&amp;"ENTRADA",Movimientos!$R$2:$R$1993,0)),"-")</f>
        <v>-</v>
      </c>
      <c r="H911" s="17" t="str">
        <f>IFERROR(IF(INDEX(Movimientos!$M$2:$M$1993,MATCH(A911&amp;"ENTRADA",Movimientos!$R$2:$R$1993,0))=0,"S/D",INDEX(Movimientos!$M$2:$M$1993,MATCH(A911&amp;"ENTRADA",Movimientos!$R$2:$R$1993,0))),"S/D")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3218</v>
      </c>
      <c r="B912" s="2" t="str">
        <f>IFERROR(INDEX(Movimientos!$C$2:$C$1993,MATCH(A912&amp;"ENTRADA",Movimientos!$R$2:$R$1993,0)),"-")</f>
        <v>-</v>
      </c>
      <c r="C912" s="2" t="str">
        <f>IFERROR(INDEX(Movimientos!$D$2:$D$1993,MATCH(A912&amp;"ENTRADA",Movimientos!$R$2:$R$1993,0)),"-")</f>
        <v>-</v>
      </c>
      <c r="D912" s="2" t="str">
        <f>IFERROR(INDEX(Movimientos!$E$2:$E$1993,MATCH(A912&amp;"ENTRADA",Movimientos!$R$2:$R$1993,0)),"-")</f>
        <v>-</v>
      </c>
      <c r="E912" s="2" t="str">
        <f>IFERROR(INDEX(Movimientos!$F$2:$F$1993,MATCH(A912&amp;"ENTRADA",Movimientos!$R$2:$R$1993,0)),"-")</f>
        <v>-</v>
      </c>
      <c r="F912" s="2" t="str">
        <f>IFERROR(INDEX(Movimientos!$G$2:$G$1993,MATCH(A912&amp;"ENTRADA",Movimientos!$R$2:$R$1993,0)),"-")</f>
        <v>-</v>
      </c>
      <c r="G912" s="2" t="str">
        <f>IFERROR(INDEX(Movimientos!$L$2:$L$1993,MATCH(A912&amp;"ENTRADA",Movimientos!$R$2:$R$1993,0)),"-")</f>
        <v>-</v>
      </c>
      <c r="H912" s="17" t="str">
        <f>IFERROR(IF(INDEX(Movimientos!$M$2:$M$1993,MATCH(A912&amp;"ENTRADA",Movimientos!$R$2:$R$1993,0))=0,"S/D",INDEX(Movimientos!$M$2:$M$1993,MATCH(A912&amp;"ENTRADA",Movimientos!$R$2:$R$1993,0))),"S/D")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3219</v>
      </c>
      <c r="B913" s="2" t="str">
        <f>IFERROR(INDEX(Movimientos!$C$2:$C$1993,MATCH(A913&amp;"ENTRADA",Movimientos!$R$2:$R$1993,0)),"-")</f>
        <v>-</v>
      </c>
      <c r="C913" s="2" t="str">
        <f>IFERROR(INDEX(Movimientos!$D$2:$D$1993,MATCH(A913&amp;"ENTRADA",Movimientos!$R$2:$R$1993,0)),"-")</f>
        <v>-</v>
      </c>
      <c r="D913" s="2" t="str">
        <f>IFERROR(INDEX(Movimientos!$E$2:$E$1993,MATCH(A913&amp;"ENTRADA",Movimientos!$R$2:$R$1993,0)),"-")</f>
        <v>-</v>
      </c>
      <c r="E913" s="2" t="str">
        <f>IFERROR(INDEX(Movimientos!$F$2:$F$1993,MATCH(A913&amp;"ENTRADA",Movimientos!$R$2:$R$1993,0)),"-")</f>
        <v>-</v>
      </c>
      <c r="F913" s="2" t="str">
        <f>IFERROR(INDEX(Movimientos!$G$2:$G$1993,MATCH(A913&amp;"ENTRADA",Movimientos!$R$2:$R$1993,0)),"-")</f>
        <v>-</v>
      </c>
      <c r="G913" s="2" t="str">
        <f>IFERROR(INDEX(Movimientos!$L$2:$L$1993,MATCH(A913&amp;"ENTRADA",Movimientos!$R$2:$R$1993,0)),"-")</f>
        <v>-</v>
      </c>
      <c r="H913" s="17" t="str">
        <f>IFERROR(IF(INDEX(Movimientos!$M$2:$M$1993,MATCH(A913&amp;"ENTRADA",Movimientos!$R$2:$R$1993,0))=0,"S/D",INDEX(Movimientos!$M$2:$M$1993,MATCH(A913&amp;"ENTRADA",Movimientos!$R$2:$R$1993,0))),"S/D")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3220</v>
      </c>
      <c r="B914" s="2" t="str">
        <f>IFERROR(INDEX(Movimientos!$C$2:$C$1993,MATCH(A914&amp;"ENTRADA",Movimientos!$R$2:$R$1993,0)),"-")</f>
        <v>-</v>
      </c>
      <c r="C914" s="2" t="str">
        <f>IFERROR(INDEX(Movimientos!$D$2:$D$1993,MATCH(A914&amp;"ENTRADA",Movimientos!$R$2:$R$1993,0)),"-")</f>
        <v>-</v>
      </c>
      <c r="D914" s="2" t="str">
        <f>IFERROR(INDEX(Movimientos!$E$2:$E$1993,MATCH(A914&amp;"ENTRADA",Movimientos!$R$2:$R$1993,0)),"-")</f>
        <v>-</v>
      </c>
      <c r="E914" s="2" t="str">
        <f>IFERROR(INDEX(Movimientos!$F$2:$F$1993,MATCH(A914&amp;"ENTRADA",Movimientos!$R$2:$R$1993,0)),"-")</f>
        <v>-</v>
      </c>
      <c r="F914" s="2" t="str">
        <f>IFERROR(INDEX(Movimientos!$G$2:$G$1993,MATCH(A914&amp;"ENTRADA",Movimientos!$R$2:$R$1993,0)),"-")</f>
        <v>-</v>
      </c>
      <c r="G914" s="2" t="str">
        <f>IFERROR(INDEX(Movimientos!$L$2:$L$1993,MATCH(A914&amp;"ENTRADA",Movimientos!$R$2:$R$1993,0)),"-")</f>
        <v>-</v>
      </c>
      <c r="H914" s="17" t="str">
        <f>IFERROR(IF(INDEX(Movimientos!$M$2:$M$1993,MATCH(A914&amp;"ENTRADA",Movimientos!$R$2:$R$1993,0))=0,"S/D",INDEX(Movimientos!$M$2:$M$1993,MATCH(A914&amp;"ENTRADA",Movimientos!$R$2:$R$1993,0))),"S/D")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3221</v>
      </c>
      <c r="B915" s="2" t="str">
        <f>IFERROR(INDEX(Movimientos!$C$2:$C$1993,MATCH(A915&amp;"ENTRADA",Movimientos!$R$2:$R$1993,0)),"-")</f>
        <v>-</v>
      </c>
      <c r="C915" s="2" t="str">
        <f>IFERROR(INDEX(Movimientos!$D$2:$D$1993,MATCH(A915&amp;"ENTRADA",Movimientos!$R$2:$R$1993,0)),"-")</f>
        <v>-</v>
      </c>
      <c r="D915" s="2" t="str">
        <f>IFERROR(INDEX(Movimientos!$E$2:$E$1993,MATCH(A915&amp;"ENTRADA",Movimientos!$R$2:$R$1993,0)),"-")</f>
        <v>-</v>
      </c>
      <c r="E915" s="2" t="str">
        <f>IFERROR(INDEX(Movimientos!$F$2:$F$1993,MATCH(A915&amp;"ENTRADA",Movimientos!$R$2:$R$1993,0)),"-")</f>
        <v>-</v>
      </c>
      <c r="F915" s="2" t="str">
        <f>IFERROR(INDEX(Movimientos!$G$2:$G$1993,MATCH(A915&amp;"ENTRADA",Movimientos!$R$2:$R$1993,0)),"-")</f>
        <v>-</v>
      </c>
      <c r="G915" s="2" t="str">
        <f>IFERROR(INDEX(Movimientos!$L$2:$L$1993,MATCH(A915&amp;"ENTRADA",Movimientos!$R$2:$R$1993,0)),"-")</f>
        <v>-</v>
      </c>
      <c r="H915" s="17" t="str">
        <f>IFERROR(IF(INDEX(Movimientos!$M$2:$M$1993,MATCH(A915&amp;"ENTRADA",Movimientos!$R$2:$R$1993,0))=0,"S/D",INDEX(Movimientos!$M$2:$M$1993,MATCH(A915&amp;"ENTRADA",Movimientos!$R$2:$R$1993,0))),"S/D")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3222</v>
      </c>
      <c r="B916" s="2" t="str">
        <f>IFERROR(INDEX(Movimientos!$C$2:$C$1993,MATCH(A916&amp;"ENTRADA",Movimientos!$R$2:$R$1993,0)),"-")</f>
        <v>-</v>
      </c>
      <c r="C916" s="2" t="str">
        <f>IFERROR(INDEX(Movimientos!$D$2:$D$1993,MATCH(A916&amp;"ENTRADA",Movimientos!$R$2:$R$1993,0)),"-")</f>
        <v>-</v>
      </c>
      <c r="D916" s="2" t="str">
        <f>IFERROR(INDEX(Movimientos!$E$2:$E$1993,MATCH(A916&amp;"ENTRADA",Movimientos!$R$2:$R$1993,0)),"-")</f>
        <v>-</v>
      </c>
      <c r="E916" s="2" t="str">
        <f>IFERROR(INDEX(Movimientos!$F$2:$F$1993,MATCH(A916&amp;"ENTRADA",Movimientos!$R$2:$R$1993,0)),"-")</f>
        <v>-</v>
      </c>
      <c r="F916" s="2" t="str">
        <f>IFERROR(INDEX(Movimientos!$G$2:$G$1993,MATCH(A916&amp;"ENTRADA",Movimientos!$R$2:$R$1993,0)),"-")</f>
        <v>-</v>
      </c>
      <c r="G916" s="2" t="str">
        <f>IFERROR(INDEX(Movimientos!$L$2:$L$1993,MATCH(A916&amp;"ENTRADA",Movimientos!$R$2:$R$1993,0)),"-")</f>
        <v>-</v>
      </c>
      <c r="H916" s="17" t="str">
        <f>IFERROR(IF(INDEX(Movimientos!$M$2:$M$1993,MATCH(A916&amp;"ENTRADA",Movimientos!$R$2:$R$1993,0))=0,"S/D",INDEX(Movimientos!$M$2:$M$1993,MATCH(A916&amp;"ENTRADA",Movimientos!$R$2:$R$1993,0))),"S/D")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3223</v>
      </c>
      <c r="B917" s="2" t="str">
        <f>IFERROR(INDEX(Movimientos!$C$2:$C$1993,MATCH(A917&amp;"ENTRADA",Movimientos!$R$2:$R$1993,0)),"-")</f>
        <v>-</v>
      </c>
      <c r="C917" s="2" t="str">
        <f>IFERROR(INDEX(Movimientos!$D$2:$D$1993,MATCH(A917&amp;"ENTRADA",Movimientos!$R$2:$R$1993,0)),"-")</f>
        <v>-</v>
      </c>
      <c r="D917" s="2" t="str">
        <f>IFERROR(INDEX(Movimientos!$E$2:$E$1993,MATCH(A917&amp;"ENTRADA",Movimientos!$R$2:$R$1993,0)),"-")</f>
        <v>-</v>
      </c>
      <c r="E917" s="2" t="str">
        <f>IFERROR(INDEX(Movimientos!$F$2:$F$1993,MATCH(A917&amp;"ENTRADA",Movimientos!$R$2:$R$1993,0)),"-")</f>
        <v>-</v>
      </c>
      <c r="F917" s="2" t="str">
        <f>IFERROR(INDEX(Movimientos!$G$2:$G$1993,MATCH(A917&amp;"ENTRADA",Movimientos!$R$2:$R$1993,0)),"-")</f>
        <v>-</v>
      </c>
      <c r="G917" s="2" t="str">
        <f>IFERROR(INDEX(Movimientos!$L$2:$L$1993,MATCH(A917&amp;"ENTRADA",Movimientos!$R$2:$R$1993,0)),"-")</f>
        <v>-</v>
      </c>
      <c r="H917" s="17" t="str">
        <f>IFERROR(IF(INDEX(Movimientos!$M$2:$M$1993,MATCH(A917&amp;"ENTRADA",Movimientos!$R$2:$R$1993,0))=0,"S/D",INDEX(Movimientos!$M$2:$M$1993,MATCH(A917&amp;"ENTRADA",Movimientos!$R$2:$R$1993,0))),"S/D")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3224</v>
      </c>
      <c r="B918" s="2" t="str">
        <f>IFERROR(INDEX(Movimientos!$C$2:$C$1993,MATCH(A918&amp;"ENTRADA",Movimientos!$R$2:$R$1993,0)),"-")</f>
        <v>-</v>
      </c>
      <c r="C918" s="2" t="str">
        <f>IFERROR(INDEX(Movimientos!$D$2:$D$1993,MATCH(A918&amp;"ENTRADA",Movimientos!$R$2:$R$1993,0)),"-")</f>
        <v>-</v>
      </c>
      <c r="D918" s="2" t="str">
        <f>IFERROR(INDEX(Movimientos!$E$2:$E$1993,MATCH(A918&amp;"ENTRADA",Movimientos!$R$2:$R$1993,0)),"-")</f>
        <v>-</v>
      </c>
      <c r="E918" s="2" t="str">
        <f>IFERROR(INDEX(Movimientos!$F$2:$F$1993,MATCH(A918&amp;"ENTRADA",Movimientos!$R$2:$R$1993,0)),"-")</f>
        <v>-</v>
      </c>
      <c r="F918" s="2" t="str">
        <f>IFERROR(INDEX(Movimientos!$G$2:$G$1993,MATCH(A918&amp;"ENTRADA",Movimientos!$R$2:$R$1993,0)),"-")</f>
        <v>-</v>
      </c>
      <c r="G918" s="2" t="str">
        <f>IFERROR(INDEX(Movimientos!$L$2:$L$1993,MATCH(A918&amp;"ENTRADA",Movimientos!$R$2:$R$1993,0)),"-")</f>
        <v>-</v>
      </c>
      <c r="H918" s="17" t="str">
        <f>IFERROR(IF(INDEX(Movimientos!$M$2:$M$1993,MATCH(A918&amp;"ENTRADA",Movimientos!$R$2:$R$1993,0))=0,"S/D",INDEX(Movimientos!$M$2:$M$1993,MATCH(A918&amp;"ENTRADA",Movimientos!$R$2:$R$1993,0))),"S/D")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3225</v>
      </c>
      <c r="B919" s="2" t="str">
        <f>IFERROR(INDEX(Movimientos!$C$2:$C$1993,MATCH(A919&amp;"ENTRADA",Movimientos!$R$2:$R$1993,0)),"-")</f>
        <v>-</v>
      </c>
      <c r="C919" s="2" t="str">
        <f>IFERROR(INDEX(Movimientos!$D$2:$D$1993,MATCH(A919&amp;"ENTRADA",Movimientos!$R$2:$R$1993,0)),"-")</f>
        <v>-</v>
      </c>
      <c r="D919" s="2" t="str">
        <f>IFERROR(INDEX(Movimientos!$E$2:$E$1993,MATCH(A919&amp;"ENTRADA",Movimientos!$R$2:$R$1993,0)),"-")</f>
        <v>-</v>
      </c>
      <c r="E919" s="2" t="str">
        <f>IFERROR(INDEX(Movimientos!$F$2:$F$1993,MATCH(A919&amp;"ENTRADA",Movimientos!$R$2:$R$1993,0)),"-")</f>
        <v>-</v>
      </c>
      <c r="F919" s="2" t="str">
        <f>IFERROR(INDEX(Movimientos!$G$2:$G$1993,MATCH(A919&amp;"ENTRADA",Movimientos!$R$2:$R$1993,0)),"-")</f>
        <v>-</v>
      </c>
      <c r="G919" s="2" t="str">
        <f>IFERROR(INDEX(Movimientos!$L$2:$L$1993,MATCH(A919&amp;"ENTRADA",Movimientos!$R$2:$R$1993,0)),"-")</f>
        <v>-</v>
      </c>
      <c r="H919" s="17" t="str">
        <f>IFERROR(IF(INDEX(Movimientos!$M$2:$M$1993,MATCH(A919&amp;"ENTRADA",Movimientos!$R$2:$R$1993,0))=0,"S/D",INDEX(Movimientos!$M$2:$M$1993,MATCH(A919&amp;"ENTRADA",Movimientos!$R$2:$R$1993,0))),"S/D")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3226</v>
      </c>
      <c r="B920" s="2" t="str">
        <f>IFERROR(INDEX(Movimientos!$C$2:$C$1993,MATCH(A920&amp;"ENTRADA",Movimientos!$R$2:$R$1993,0)),"-")</f>
        <v>-</v>
      </c>
      <c r="C920" s="2" t="str">
        <f>IFERROR(INDEX(Movimientos!$D$2:$D$1993,MATCH(A920&amp;"ENTRADA",Movimientos!$R$2:$R$1993,0)),"-")</f>
        <v>-</v>
      </c>
      <c r="D920" s="2" t="str">
        <f>IFERROR(INDEX(Movimientos!$E$2:$E$1993,MATCH(A920&amp;"ENTRADA",Movimientos!$R$2:$R$1993,0)),"-")</f>
        <v>-</v>
      </c>
      <c r="E920" s="2" t="str">
        <f>IFERROR(INDEX(Movimientos!$F$2:$F$1993,MATCH(A920&amp;"ENTRADA",Movimientos!$R$2:$R$1993,0)),"-")</f>
        <v>-</v>
      </c>
      <c r="F920" s="2" t="str">
        <f>IFERROR(INDEX(Movimientos!$G$2:$G$1993,MATCH(A920&amp;"ENTRADA",Movimientos!$R$2:$R$1993,0)),"-")</f>
        <v>-</v>
      </c>
      <c r="G920" s="2" t="str">
        <f>IFERROR(INDEX(Movimientos!$L$2:$L$1993,MATCH(A920&amp;"ENTRADA",Movimientos!$R$2:$R$1993,0)),"-")</f>
        <v>-</v>
      </c>
      <c r="H920" s="17" t="str">
        <f>IFERROR(IF(INDEX(Movimientos!$M$2:$M$1993,MATCH(A920&amp;"ENTRADA",Movimientos!$R$2:$R$1993,0))=0,"S/D",INDEX(Movimientos!$M$2:$M$1993,MATCH(A920&amp;"ENTRADA",Movimientos!$R$2:$R$1993,0))),"S/D")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3227</v>
      </c>
      <c r="B921" s="2" t="str">
        <f>IFERROR(INDEX(Movimientos!$C$2:$C$1993,MATCH(A921&amp;"ENTRADA",Movimientos!$R$2:$R$1993,0)),"-")</f>
        <v>-</v>
      </c>
      <c r="C921" s="2" t="str">
        <f>IFERROR(INDEX(Movimientos!$D$2:$D$1993,MATCH(A921&amp;"ENTRADA",Movimientos!$R$2:$R$1993,0)),"-")</f>
        <v>-</v>
      </c>
      <c r="D921" s="2" t="str">
        <f>IFERROR(INDEX(Movimientos!$E$2:$E$1993,MATCH(A921&amp;"ENTRADA",Movimientos!$R$2:$R$1993,0)),"-")</f>
        <v>-</v>
      </c>
      <c r="E921" s="2" t="str">
        <f>IFERROR(INDEX(Movimientos!$F$2:$F$1993,MATCH(A921&amp;"ENTRADA",Movimientos!$R$2:$R$1993,0)),"-")</f>
        <v>-</v>
      </c>
      <c r="F921" s="2" t="str">
        <f>IFERROR(INDEX(Movimientos!$G$2:$G$1993,MATCH(A921&amp;"ENTRADA",Movimientos!$R$2:$R$1993,0)),"-")</f>
        <v>-</v>
      </c>
      <c r="G921" s="2" t="str">
        <f>IFERROR(INDEX(Movimientos!$L$2:$L$1993,MATCH(A921&amp;"ENTRADA",Movimientos!$R$2:$R$1993,0)),"-")</f>
        <v>-</v>
      </c>
      <c r="H921" s="17" t="str">
        <f>IFERROR(IF(INDEX(Movimientos!$M$2:$M$1993,MATCH(A921&amp;"ENTRADA",Movimientos!$R$2:$R$1993,0))=0,"S/D",INDEX(Movimientos!$M$2:$M$1993,MATCH(A921&amp;"ENTRADA",Movimientos!$R$2:$R$1993,0))),"S/D")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3228</v>
      </c>
      <c r="B922" s="2" t="str">
        <f>IFERROR(INDEX(Movimientos!$C$2:$C$1993,MATCH(A922&amp;"ENTRADA",Movimientos!$R$2:$R$1993,0)),"-")</f>
        <v>-</v>
      </c>
      <c r="C922" s="2" t="str">
        <f>IFERROR(INDEX(Movimientos!$D$2:$D$1993,MATCH(A922&amp;"ENTRADA",Movimientos!$R$2:$R$1993,0)),"-")</f>
        <v>-</v>
      </c>
      <c r="D922" s="2" t="str">
        <f>IFERROR(INDEX(Movimientos!$E$2:$E$1993,MATCH(A922&amp;"ENTRADA",Movimientos!$R$2:$R$1993,0)),"-")</f>
        <v>-</v>
      </c>
      <c r="E922" s="2" t="str">
        <f>IFERROR(INDEX(Movimientos!$F$2:$F$1993,MATCH(A922&amp;"ENTRADA",Movimientos!$R$2:$R$1993,0)),"-")</f>
        <v>-</v>
      </c>
      <c r="F922" s="2" t="str">
        <f>IFERROR(INDEX(Movimientos!$G$2:$G$1993,MATCH(A922&amp;"ENTRADA",Movimientos!$R$2:$R$1993,0)),"-")</f>
        <v>-</v>
      </c>
      <c r="G922" s="2" t="str">
        <f>IFERROR(INDEX(Movimientos!$L$2:$L$1993,MATCH(A922&amp;"ENTRADA",Movimientos!$R$2:$R$1993,0)),"-")</f>
        <v>-</v>
      </c>
      <c r="H922" s="17" t="str">
        <f>IFERROR(IF(INDEX(Movimientos!$M$2:$M$1993,MATCH(A922&amp;"ENTRADA",Movimientos!$R$2:$R$1993,0))=0,"S/D",INDEX(Movimientos!$M$2:$M$1993,MATCH(A922&amp;"ENTRADA",Movimientos!$R$2:$R$1993,0))),"S/D")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3229</v>
      </c>
      <c r="B923" s="2" t="str">
        <f>IFERROR(INDEX(Movimientos!$C$2:$C$1993,MATCH(A923&amp;"ENTRADA",Movimientos!$R$2:$R$1993,0)),"-")</f>
        <v>-</v>
      </c>
      <c r="C923" s="2" t="str">
        <f>IFERROR(INDEX(Movimientos!$D$2:$D$1993,MATCH(A923&amp;"ENTRADA",Movimientos!$R$2:$R$1993,0)),"-")</f>
        <v>-</v>
      </c>
      <c r="D923" s="2" t="str">
        <f>IFERROR(INDEX(Movimientos!$E$2:$E$1993,MATCH(A923&amp;"ENTRADA",Movimientos!$R$2:$R$1993,0)),"-")</f>
        <v>-</v>
      </c>
      <c r="E923" s="2" t="str">
        <f>IFERROR(INDEX(Movimientos!$F$2:$F$1993,MATCH(A923&amp;"ENTRADA",Movimientos!$R$2:$R$1993,0)),"-")</f>
        <v>-</v>
      </c>
      <c r="F923" s="2" t="str">
        <f>IFERROR(INDEX(Movimientos!$G$2:$G$1993,MATCH(A923&amp;"ENTRADA",Movimientos!$R$2:$R$1993,0)),"-")</f>
        <v>-</v>
      </c>
      <c r="G923" s="2" t="str">
        <f>IFERROR(INDEX(Movimientos!$L$2:$L$1993,MATCH(A923&amp;"ENTRADA",Movimientos!$R$2:$R$1993,0)),"-")</f>
        <v>-</v>
      </c>
      <c r="H923" s="17" t="str">
        <f>IFERROR(IF(INDEX(Movimientos!$M$2:$M$1993,MATCH(A923&amp;"ENTRADA",Movimientos!$R$2:$R$1993,0))=0,"S/D",INDEX(Movimientos!$M$2:$M$1993,MATCH(A923&amp;"ENTRADA",Movimientos!$R$2:$R$1993,0))),"S/D")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3230</v>
      </c>
      <c r="B924" s="2" t="str">
        <f>IFERROR(INDEX(Movimientos!$C$2:$C$1993,MATCH(A924&amp;"ENTRADA",Movimientos!$R$2:$R$1993,0)),"-")</f>
        <v>-</v>
      </c>
      <c r="C924" s="2" t="str">
        <f>IFERROR(INDEX(Movimientos!$D$2:$D$1993,MATCH(A924&amp;"ENTRADA",Movimientos!$R$2:$R$1993,0)),"-")</f>
        <v>-</v>
      </c>
      <c r="D924" s="2" t="str">
        <f>IFERROR(INDEX(Movimientos!$E$2:$E$1993,MATCH(A924&amp;"ENTRADA",Movimientos!$R$2:$R$1993,0)),"-")</f>
        <v>-</v>
      </c>
      <c r="E924" s="2" t="str">
        <f>IFERROR(INDEX(Movimientos!$F$2:$F$1993,MATCH(A924&amp;"ENTRADA",Movimientos!$R$2:$R$1993,0)),"-")</f>
        <v>-</v>
      </c>
      <c r="F924" s="2" t="str">
        <f>IFERROR(INDEX(Movimientos!$G$2:$G$1993,MATCH(A924&amp;"ENTRADA",Movimientos!$R$2:$R$1993,0)),"-")</f>
        <v>-</v>
      </c>
      <c r="G924" s="2" t="str">
        <f>IFERROR(INDEX(Movimientos!$L$2:$L$1993,MATCH(A924&amp;"ENTRADA",Movimientos!$R$2:$R$1993,0)),"-")</f>
        <v>-</v>
      </c>
      <c r="H924" s="17" t="str">
        <f>IFERROR(IF(INDEX(Movimientos!$M$2:$M$1993,MATCH(A924&amp;"ENTRADA",Movimientos!$R$2:$R$1993,0))=0,"S/D",INDEX(Movimientos!$M$2:$M$1993,MATCH(A924&amp;"ENTRADA",Movimientos!$R$2:$R$1993,0))),"S/D")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3231</v>
      </c>
      <c r="B925" s="2" t="str">
        <f>IFERROR(INDEX(Movimientos!$C$2:$C$1993,MATCH(A925&amp;"ENTRADA",Movimientos!$R$2:$R$1993,0)),"-")</f>
        <v>-</v>
      </c>
      <c r="C925" s="2" t="str">
        <f>IFERROR(INDEX(Movimientos!$D$2:$D$1993,MATCH(A925&amp;"ENTRADA",Movimientos!$R$2:$R$1993,0)),"-")</f>
        <v>-</v>
      </c>
      <c r="D925" s="2" t="str">
        <f>IFERROR(INDEX(Movimientos!$E$2:$E$1993,MATCH(A925&amp;"ENTRADA",Movimientos!$R$2:$R$1993,0)),"-")</f>
        <v>-</v>
      </c>
      <c r="E925" s="2" t="str">
        <f>IFERROR(INDEX(Movimientos!$F$2:$F$1993,MATCH(A925&amp;"ENTRADA",Movimientos!$R$2:$R$1993,0)),"-")</f>
        <v>-</v>
      </c>
      <c r="F925" s="2" t="str">
        <f>IFERROR(INDEX(Movimientos!$G$2:$G$1993,MATCH(A925&amp;"ENTRADA",Movimientos!$R$2:$R$1993,0)),"-")</f>
        <v>-</v>
      </c>
      <c r="G925" s="2" t="str">
        <f>IFERROR(INDEX(Movimientos!$L$2:$L$1993,MATCH(A925&amp;"ENTRADA",Movimientos!$R$2:$R$1993,0)),"-")</f>
        <v>-</v>
      </c>
      <c r="H925" s="17" t="str">
        <f>IFERROR(IF(INDEX(Movimientos!$M$2:$M$1993,MATCH(A925&amp;"ENTRADA",Movimientos!$R$2:$R$1993,0))=0,"S/D",INDEX(Movimientos!$M$2:$M$1993,MATCH(A925&amp;"ENTRADA",Movimientos!$R$2:$R$1993,0))),"S/D")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3232</v>
      </c>
      <c r="B926" s="2" t="str">
        <f>IFERROR(INDEX(Movimientos!$C$2:$C$1993,MATCH(A926&amp;"ENTRADA",Movimientos!$R$2:$R$1993,0)),"-")</f>
        <v>-</v>
      </c>
      <c r="C926" s="2" t="str">
        <f>IFERROR(INDEX(Movimientos!$D$2:$D$1993,MATCH(A926&amp;"ENTRADA",Movimientos!$R$2:$R$1993,0)),"-")</f>
        <v>-</v>
      </c>
      <c r="D926" s="2" t="str">
        <f>IFERROR(INDEX(Movimientos!$E$2:$E$1993,MATCH(A926&amp;"ENTRADA",Movimientos!$R$2:$R$1993,0)),"-")</f>
        <v>-</v>
      </c>
      <c r="E926" s="2" t="str">
        <f>IFERROR(INDEX(Movimientos!$F$2:$F$1993,MATCH(A926&amp;"ENTRADA",Movimientos!$R$2:$R$1993,0)),"-")</f>
        <v>-</v>
      </c>
      <c r="F926" s="2" t="str">
        <f>IFERROR(INDEX(Movimientos!$G$2:$G$1993,MATCH(A926&amp;"ENTRADA",Movimientos!$R$2:$R$1993,0)),"-")</f>
        <v>-</v>
      </c>
      <c r="G926" s="2" t="str">
        <f>IFERROR(INDEX(Movimientos!$L$2:$L$1993,MATCH(A926&amp;"ENTRADA",Movimientos!$R$2:$R$1993,0)),"-")</f>
        <v>-</v>
      </c>
      <c r="H926" s="17" t="str">
        <f>IFERROR(IF(INDEX(Movimientos!$M$2:$M$1993,MATCH(A926&amp;"ENTRADA",Movimientos!$R$2:$R$1993,0))=0,"S/D",INDEX(Movimientos!$M$2:$M$1993,MATCH(A926&amp;"ENTRADA",Movimientos!$R$2:$R$1993,0))),"S/D")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3233</v>
      </c>
      <c r="B927" s="2" t="str">
        <f>IFERROR(INDEX(Movimientos!$C$2:$C$1993,MATCH(A927&amp;"ENTRADA",Movimientos!$R$2:$R$1993,0)),"-")</f>
        <v>-</v>
      </c>
      <c r="C927" s="2" t="str">
        <f>IFERROR(INDEX(Movimientos!$D$2:$D$1993,MATCH(A927&amp;"ENTRADA",Movimientos!$R$2:$R$1993,0)),"-")</f>
        <v>-</v>
      </c>
      <c r="D927" s="2" t="str">
        <f>IFERROR(INDEX(Movimientos!$E$2:$E$1993,MATCH(A927&amp;"ENTRADA",Movimientos!$R$2:$R$1993,0)),"-")</f>
        <v>-</v>
      </c>
      <c r="E927" s="2" t="str">
        <f>IFERROR(INDEX(Movimientos!$F$2:$F$1993,MATCH(A927&amp;"ENTRADA",Movimientos!$R$2:$R$1993,0)),"-")</f>
        <v>-</v>
      </c>
      <c r="F927" s="2" t="str">
        <f>IFERROR(INDEX(Movimientos!$G$2:$G$1993,MATCH(A927&amp;"ENTRADA",Movimientos!$R$2:$R$1993,0)),"-")</f>
        <v>-</v>
      </c>
      <c r="G927" s="2" t="str">
        <f>IFERROR(INDEX(Movimientos!$L$2:$L$1993,MATCH(A927&amp;"ENTRADA",Movimientos!$R$2:$R$1993,0)),"-")</f>
        <v>-</v>
      </c>
      <c r="H927" s="17" t="str">
        <f>IFERROR(IF(INDEX(Movimientos!$M$2:$M$1993,MATCH(A927&amp;"ENTRADA",Movimientos!$R$2:$R$1993,0))=0,"S/D",INDEX(Movimientos!$M$2:$M$1993,MATCH(A927&amp;"ENTRADA",Movimientos!$R$2:$R$1993,0))),"S/D")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3234</v>
      </c>
      <c r="B928" s="2" t="str">
        <f>IFERROR(INDEX(Movimientos!$C$2:$C$1993,MATCH(A928&amp;"ENTRADA",Movimientos!$R$2:$R$1993,0)),"-")</f>
        <v>-</v>
      </c>
      <c r="C928" s="2" t="str">
        <f>IFERROR(INDEX(Movimientos!$D$2:$D$1993,MATCH(A928&amp;"ENTRADA",Movimientos!$R$2:$R$1993,0)),"-")</f>
        <v>-</v>
      </c>
      <c r="D928" s="2" t="str">
        <f>IFERROR(INDEX(Movimientos!$E$2:$E$1993,MATCH(A928&amp;"ENTRADA",Movimientos!$R$2:$R$1993,0)),"-")</f>
        <v>-</v>
      </c>
      <c r="E928" s="2" t="str">
        <f>IFERROR(INDEX(Movimientos!$F$2:$F$1993,MATCH(A928&amp;"ENTRADA",Movimientos!$R$2:$R$1993,0)),"-")</f>
        <v>-</v>
      </c>
      <c r="F928" s="2" t="str">
        <f>IFERROR(INDEX(Movimientos!$G$2:$G$1993,MATCH(A928&amp;"ENTRADA",Movimientos!$R$2:$R$1993,0)),"-")</f>
        <v>-</v>
      </c>
      <c r="G928" s="2" t="str">
        <f>IFERROR(INDEX(Movimientos!$L$2:$L$1993,MATCH(A928&amp;"ENTRADA",Movimientos!$R$2:$R$1993,0)),"-")</f>
        <v>-</v>
      </c>
      <c r="H928" s="17" t="str">
        <f>IFERROR(IF(INDEX(Movimientos!$M$2:$M$1993,MATCH(A928&amp;"ENTRADA",Movimientos!$R$2:$R$1993,0))=0,"S/D",INDEX(Movimientos!$M$2:$M$1993,MATCH(A928&amp;"ENTRADA",Movimientos!$R$2:$R$1993,0))),"S/D")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3235</v>
      </c>
      <c r="B929" s="2" t="str">
        <f>IFERROR(INDEX(Movimientos!$C$2:$C$1993,MATCH(A929&amp;"ENTRADA",Movimientos!$R$2:$R$1993,0)),"-")</f>
        <v>-</v>
      </c>
      <c r="C929" s="2" t="str">
        <f>IFERROR(INDEX(Movimientos!$D$2:$D$1993,MATCH(A929&amp;"ENTRADA",Movimientos!$R$2:$R$1993,0)),"-")</f>
        <v>-</v>
      </c>
      <c r="D929" s="2" t="str">
        <f>IFERROR(INDEX(Movimientos!$E$2:$E$1993,MATCH(A929&amp;"ENTRADA",Movimientos!$R$2:$R$1993,0)),"-")</f>
        <v>-</v>
      </c>
      <c r="E929" s="2" t="str">
        <f>IFERROR(INDEX(Movimientos!$F$2:$F$1993,MATCH(A929&amp;"ENTRADA",Movimientos!$R$2:$R$1993,0)),"-")</f>
        <v>-</v>
      </c>
      <c r="F929" s="2" t="str">
        <f>IFERROR(INDEX(Movimientos!$G$2:$G$1993,MATCH(A929&amp;"ENTRADA",Movimientos!$R$2:$R$1993,0)),"-")</f>
        <v>-</v>
      </c>
      <c r="G929" s="2" t="str">
        <f>IFERROR(INDEX(Movimientos!$L$2:$L$1993,MATCH(A929&amp;"ENTRADA",Movimientos!$R$2:$R$1993,0)),"-")</f>
        <v>-</v>
      </c>
      <c r="H929" s="17" t="str">
        <f>IFERROR(IF(INDEX(Movimientos!$M$2:$M$1993,MATCH(A929&amp;"ENTRADA",Movimientos!$R$2:$R$1993,0))=0,"S/D",INDEX(Movimientos!$M$2:$M$1993,MATCH(A929&amp;"ENTRADA",Movimientos!$R$2:$R$1993,0))),"S/D")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3236</v>
      </c>
      <c r="B930" s="2" t="str">
        <f>IFERROR(INDEX(Movimientos!$C$2:$C$1993,MATCH(A930&amp;"ENTRADA",Movimientos!$R$2:$R$1993,0)),"-")</f>
        <v>-</v>
      </c>
      <c r="C930" s="2" t="str">
        <f>IFERROR(INDEX(Movimientos!$D$2:$D$1993,MATCH(A930&amp;"ENTRADA",Movimientos!$R$2:$R$1993,0)),"-")</f>
        <v>-</v>
      </c>
      <c r="D930" s="2" t="str">
        <f>IFERROR(INDEX(Movimientos!$E$2:$E$1993,MATCH(A930&amp;"ENTRADA",Movimientos!$R$2:$R$1993,0)),"-")</f>
        <v>-</v>
      </c>
      <c r="E930" s="2" t="str">
        <f>IFERROR(INDEX(Movimientos!$F$2:$F$1993,MATCH(A930&amp;"ENTRADA",Movimientos!$R$2:$R$1993,0)),"-")</f>
        <v>-</v>
      </c>
      <c r="F930" s="2" t="str">
        <f>IFERROR(INDEX(Movimientos!$G$2:$G$1993,MATCH(A930&amp;"ENTRADA",Movimientos!$R$2:$R$1993,0)),"-")</f>
        <v>-</v>
      </c>
      <c r="G930" s="2" t="str">
        <f>IFERROR(INDEX(Movimientos!$L$2:$L$1993,MATCH(A930&amp;"ENTRADA",Movimientos!$R$2:$R$1993,0)),"-")</f>
        <v>-</v>
      </c>
      <c r="H930" s="17" t="str">
        <f>IFERROR(IF(INDEX(Movimientos!$M$2:$M$1993,MATCH(A930&amp;"ENTRADA",Movimientos!$R$2:$R$1993,0))=0,"S/D",INDEX(Movimientos!$M$2:$M$1993,MATCH(A930&amp;"ENTRADA",Movimientos!$R$2:$R$1993,0))),"S/D")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3237</v>
      </c>
      <c r="B931" s="2" t="str">
        <f>IFERROR(INDEX(Movimientos!$C$2:$C$1993,MATCH(A931&amp;"ENTRADA",Movimientos!$R$2:$R$1993,0)),"-")</f>
        <v>-</v>
      </c>
      <c r="C931" s="2" t="str">
        <f>IFERROR(INDEX(Movimientos!$D$2:$D$1993,MATCH(A931&amp;"ENTRADA",Movimientos!$R$2:$R$1993,0)),"-")</f>
        <v>-</v>
      </c>
      <c r="D931" s="2" t="str">
        <f>IFERROR(INDEX(Movimientos!$E$2:$E$1993,MATCH(A931&amp;"ENTRADA",Movimientos!$R$2:$R$1993,0)),"-")</f>
        <v>-</v>
      </c>
      <c r="E931" s="2" t="str">
        <f>IFERROR(INDEX(Movimientos!$F$2:$F$1993,MATCH(A931&amp;"ENTRADA",Movimientos!$R$2:$R$1993,0)),"-")</f>
        <v>-</v>
      </c>
      <c r="F931" s="2" t="str">
        <f>IFERROR(INDEX(Movimientos!$G$2:$G$1993,MATCH(A931&amp;"ENTRADA",Movimientos!$R$2:$R$1993,0)),"-")</f>
        <v>-</v>
      </c>
      <c r="G931" s="2" t="str">
        <f>IFERROR(INDEX(Movimientos!$L$2:$L$1993,MATCH(A931&amp;"ENTRADA",Movimientos!$R$2:$R$1993,0)),"-")</f>
        <v>-</v>
      </c>
      <c r="H931" s="17" t="str">
        <f>IFERROR(IF(INDEX(Movimientos!$M$2:$M$1993,MATCH(A931&amp;"ENTRADA",Movimientos!$R$2:$R$1993,0))=0,"S/D",INDEX(Movimientos!$M$2:$M$1993,MATCH(A931&amp;"ENTRADA",Movimientos!$R$2:$R$1993,0))),"S/D")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3238</v>
      </c>
      <c r="B932" s="2" t="str">
        <f>IFERROR(INDEX(Movimientos!$C$2:$C$1993,MATCH(A932&amp;"ENTRADA",Movimientos!$R$2:$R$1993,0)),"-")</f>
        <v>-</v>
      </c>
      <c r="C932" s="2" t="str">
        <f>IFERROR(INDEX(Movimientos!$D$2:$D$1993,MATCH(A932&amp;"ENTRADA",Movimientos!$R$2:$R$1993,0)),"-")</f>
        <v>-</v>
      </c>
      <c r="D932" s="2" t="str">
        <f>IFERROR(INDEX(Movimientos!$E$2:$E$1993,MATCH(A932&amp;"ENTRADA",Movimientos!$R$2:$R$1993,0)),"-")</f>
        <v>-</v>
      </c>
      <c r="E932" s="2" t="str">
        <f>IFERROR(INDEX(Movimientos!$F$2:$F$1993,MATCH(A932&amp;"ENTRADA",Movimientos!$R$2:$R$1993,0)),"-")</f>
        <v>-</v>
      </c>
      <c r="F932" s="2" t="str">
        <f>IFERROR(INDEX(Movimientos!$G$2:$G$1993,MATCH(A932&amp;"ENTRADA",Movimientos!$R$2:$R$1993,0)),"-")</f>
        <v>-</v>
      </c>
      <c r="G932" s="2" t="str">
        <f>IFERROR(INDEX(Movimientos!$L$2:$L$1993,MATCH(A932&amp;"ENTRADA",Movimientos!$R$2:$R$1993,0)),"-")</f>
        <v>-</v>
      </c>
      <c r="H932" s="17" t="str">
        <f>IFERROR(IF(INDEX(Movimientos!$M$2:$M$1993,MATCH(A932&amp;"ENTRADA",Movimientos!$R$2:$R$1993,0))=0,"S/D",INDEX(Movimientos!$M$2:$M$1993,MATCH(A932&amp;"ENTRADA",Movimientos!$R$2:$R$1993,0))),"S/D")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3239</v>
      </c>
      <c r="B933" s="2" t="str">
        <f>IFERROR(INDEX(Movimientos!$C$2:$C$1993,MATCH(A933&amp;"ENTRADA",Movimientos!$R$2:$R$1993,0)),"-")</f>
        <v>-</v>
      </c>
      <c r="C933" s="2" t="str">
        <f>IFERROR(INDEX(Movimientos!$D$2:$D$1993,MATCH(A933&amp;"ENTRADA",Movimientos!$R$2:$R$1993,0)),"-")</f>
        <v>-</v>
      </c>
      <c r="D933" s="2" t="str">
        <f>IFERROR(INDEX(Movimientos!$E$2:$E$1993,MATCH(A933&amp;"ENTRADA",Movimientos!$R$2:$R$1993,0)),"-")</f>
        <v>-</v>
      </c>
      <c r="E933" s="2" t="str">
        <f>IFERROR(INDEX(Movimientos!$F$2:$F$1993,MATCH(A933&amp;"ENTRADA",Movimientos!$R$2:$R$1993,0)),"-")</f>
        <v>-</v>
      </c>
      <c r="F933" s="2" t="str">
        <f>IFERROR(INDEX(Movimientos!$G$2:$G$1993,MATCH(A933&amp;"ENTRADA",Movimientos!$R$2:$R$1993,0)),"-")</f>
        <v>-</v>
      </c>
      <c r="G933" s="2" t="str">
        <f>IFERROR(INDEX(Movimientos!$L$2:$L$1993,MATCH(A933&amp;"ENTRADA",Movimientos!$R$2:$R$1993,0)),"-")</f>
        <v>-</v>
      </c>
      <c r="H933" s="17" t="str">
        <f>IFERROR(IF(INDEX(Movimientos!$M$2:$M$1993,MATCH(A933&amp;"ENTRADA",Movimientos!$R$2:$R$1993,0))=0,"S/D",INDEX(Movimientos!$M$2:$M$1993,MATCH(A933&amp;"ENTRADA",Movimientos!$R$2:$R$1993,0))),"S/D")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3240</v>
      </c>
      <c r="B934" s="2" t="str">
        <f>IFERROR(INDEX(Movimientos!$C$2:$C$1993,MATCH(A934&amp;"ENTRADA",Movimientos!$R$2:$R$1993,0)),"-")</f>
        <v>-</v>
      </c>
      <c r="C934" s="2" t="str">
        <f>IFERROR(INDEX(Movimientos!$D$2:$D$1993,MATCH(A934&amp;"ENTRADA",Movimientos!$R$2:$R$1993,0)),"-")</f>
        <v>-</v>
      </c>
      <c r="D934" s="2" t="str">
        <f>IFERROR(INDEX(Movimientos!$E$2:$E$1993,MATCH(A934&amp;"ENTRADA",Movimientos!$R$2:$R$1993,0)),"-")</f>
        <v>-</v>
      </c>
      <c r="E934" s="2" t="str">
        <f>IFERROR(INDEX(Movimientos!$F$2:$F$1993,MATCH(A934&amp;"ENTRADA",Movimientos!$R$2:$R$1993,0)),"-")</f>
        <v>-</v>
      </c>
      <c r="F934" s="2" t="str">
        <f>IFERROR(INDEX(Movimientos!$G$2:$G$1993,MATCH(A934&amp;"ENTRADA",Movimientos!$R$2:$R$1993,0)),"-")</f>
        <v>-</v>
      </c>
      <c r="G934" s="2" t="str">
        <f>IFERROR(INDEX(Movimientos!$L$2:$L$1993,MATCH(A934&amp;"ENTRADA",Movimientos!$R$2:$R$1993,0)),"-")</f>
        <v>-</v>
      </c>
      <c r="H934" s="17" t="str">
        <f>IFERROR(IF(INDEX(Movimientos!$M$2:$M$1993,MATCH(A934&amp;"ENTRADA",Movimientos!$R$2:$R$1993,0))=0,"S/D",INDEX(Movimientos!$M$2:$M$1993,MATCH(A934&amp;"ENTRADA",Movimientos!$R$2:$R$1993,0))),"S/D")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3241</v>
      </c>
      <c r="B935" s="2" t="str">
        <f>IFERROR(INDEX(Movimientos!$C$2:$C$1993,MATCH(A935&amp;"ENTRADA",Movimientos!$R$2:$R$1993,0)),"-")</f>
        <v>-</v>
      </c>
      <c r="C935" s="2" t="str">
        <f>IFERROR(INDEX(Movimientos!$D$2:$D$1993,MATCH(A935&amp;"ENTRADA",Movimientos!$R$2:$R$1993,0)),"-")</f>
        <v>-</v>
      </c>
      <c r="D935" s="2" t="str">
        <f>IFERROR(INDEX(Movimientos!$E$2:$E$1993,MATCH(A935&amp;"ENTRADA",Movimientos!$R$2:$R$1993,0)),"-")</f>
        <v>-</v>
      </c>
      <c r="E935" s="2" t="str">
        <f>IFERROR(INDEX(Movimientos!$F$2:$F$1993,MATCH(A935&amp;"ENTRADA",Movimientos!$R$2:$R$1993,0)),"-")</f>
        <v>-</v>
      </c>
      <c r="F935" s="2" t="str">
        <f>IFERROR(INDEX(Movimientos!$G$2:$G$1993,MATCH(A935&amp;"ENTRADA",Movimientos!$R$2:$R$1993,0)),"-")</f>
        <v>-</v>
      </c>
      <c r="G935" s="2" t="str">
        <f>IFERROR(INDEX(Movimientos!$L$2:$L$1993,MATCH(A935&amp;"ENTRADA",Movimientos!$R$2:$R$1993,0)),"-")</f>
        <v>-</v>
      </c>
      <c r="H935" s="17" t="str">
        <f>IFERROR(IF(INDEX(Movimientos!$M$2:$M$1993,MATCH(A935&amp;"ENTRADA",Movimientos!$R$2:$R$1993,0))=0,"S/D",INDEX(Movimientos!$M$2:$M$1993,MATCH(A935&amp;"ENTRADA",Movimientos!$R$2:$R$1993,0))),"S/D")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3242</v>
      </c>
      <c r="B936" s="2" t="str">
        <f>IFERROR(INDEX(Movimientos!$C$2:$C$1993,MATCH(A936&amp;"ENTRADA",Movimientos!$R$2:$R$1993,0)),"-")</f>
        <v>-</v>
      </c>
      <c r="C936" s="2" t="str">
        <f>IFERROR(INDEX(Movimientos!$D$2:$D$1993,MATCH(A936&amp;"ENTRADA",Movimientos!$R$2:$R$1993,0)),"-")</f>
        <v>-</v>
      </c>
      <c r="D936" s="2" t="str">
        <f>IFERROR(INDEX(Movimientos!$E$2:$E$1993,MATCH(A936&amp;"ENTRADA",Movimientos!$R$2:$R$1993,0)),"-")</f>
        <v>-</v>
      </c>
      <c r="E936" s="2" t="str">
        <f>IFERROR(INDEX(Movimientos!$F$2:$F$1993,MATCH(A936&amp;"ENTRADA",Movimientos!$R$2:$R$1993,0)),"-")</f>
        <v>-</v>
      </c>
      <c r="F936" s="2" t="str">
        <f>IFERROR(INDEX(Movimientos!$G$2:$G$1993,MATCH(A936&amp;"ENTRADA",Movimientos!$R$2:$R$1993,0)),"-")</f>
        <v>-</v>
      </c>
      <c r="G936" s="2" t="str">
        <f>IFERROR(INDEX(Movimientos!$L$2:$L$1993,MATCH(A936&amp;"ENTRADA",Movimientos!$R$2:$R$1993,0)),"-")</f>
        <v>-</v>
      </c>
      <c r="H936" s="17" t="str">
        <f>IFERROR(IF(INDEX(Movimientos!$M$2:$M$1993,MATCH(A936&amp;"ENTRADA",Movimientos!$R$2:$R$1993,0))=0,"S/D",INDEX(Movimientos!$M$2:$M$1993,MATCH(A936&amp;"ENTRADA",Movimientos!$R$2:$R$1993,0))),"S/D")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3243</v>
      </c>
      <c r="B937" s="2" t="str">
        <f>IFERROR(INDEX(Movimientos!$C$2:$C$1993,MATCH(A937&amp;"ENTRADA",Movimientos!$R$2:$R$1993,0)),"-")</f>
        <v>-</v>
      </c>
      <c r="C937" s="2" t="str">
        <f>IFERROR(INDEX(Movimientos!$D$2:$D$1993,MATCH(A937&amp;"ENTRADA",Movimientos!$R$2:$R$1993,0)),"-")</f>
        <v>-</v>
      </c>
      <c r="D937" s="2" t="str">
        <f>IFERROR(INDEX(Movimientos!$E$2:$E$1993,MATCH(A937&amp;"ENTRADA",Movimientos!$R$2:$R$1993,0)),"-")</f>
        <v>-</v>
      </c>
      <c r="E937" s="2" t="str">
        <f>IFERROR(INDEX(Movimientos!$F$2:$F$1993,MATCH(A937&amp;"ENTRADA",Movimientos!$R$2:$R$1993,0)),"-")</f>
        <v>-</v>
      </c>
      <c r="F937" s="2" t="str">
        <f>IFERROR(INDEX(Movimientos!$G$2:$G$1993,MATCH(A937&amp;"ENTRADA",Movimientos!$R$2:$R$1993,0)),"-")</f>
        <v>-</v>
      </c>
      <c r="G937" s="2" t="str">
        <f>IFERROR(INDEX(Movimientos!$L$2:$L$1993,MATCH(A937&amp;"ENTRADA",Movimientos!$R$2:$R$1993,0)),"-")</f>
        <v>-</v>
      </c>
      <c r="H937" s="17" t="str">
        <f>IFERROR(IF(INDEX(Movimientos!$M$2:$M$1993,MATCH(A937&amp;"ENTRADA",Movimientos!$R$2:$R$1993,0))=0,"S/D",INDEX(Movimientos!$M$2:$M$1993,MATCH(A937&amp;"ENTRADA",Movimientos!$R$2:$R$1993,0))),"S/D")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3244</v>
      </c>
      <c r="B938" s="2" t="str">
        <f>IFERROR(INDEX(Movimientos!$C$2:$C$1993,MATCH(A938&amp;"ENTRADA",Movimientos!$R$2:$R$1993,0)),"-")</f>
        <v>-</v>
      </c>
      <c r="C938" s="2" t="str">
        <f>IFERROR(INDEX(Movimientos!$D$2:$D$1993,MATCH(A938&amp;"ENTRADA",Movimientos!$R$2:$R$1993,0)),"-")</f>
        <v>-</v>
      </c>
      <c r="D938" s="2" t="str">
        <f>IFERROR(INDEX(Movimientos!$E$2:$E$1993,MATCH(A938&amp;"ENTRADA",Movimientos!$R$2:$R$1993,0)),"-")</f>
        <v>-</v>
      </c>
      <c r="E938" s="2" t="str">
        <f>IFERROR(INDEX(Movimientos!$F$2:$F$1993,MATCH(A938&amp;"ENTRADA",Movimientos!$R$2:$R$1993,0)),"-")</f>
        <v>-</v>
      </c>
      <c r="F938" s="2" t="str">
        <f>IFERROR(INDEX(Movimientos!$G$2:$G$1993,MATCH(A938&amp;"ENTRADA",Movimientos!$R$2:$R$1993,0)),"-")</f>
        <v>-</v>
      </c>
      <c r="G938" s="2" t="str">
        <f>IFERROR(INDEX(Movimientos!$L$2:$L$1993,MATCH(A938&amp;"ENTRADA",Movimientos!$R$2:$R$1993,0)),"-")</f>
        <v>-</v>
      </c>
      <c r="H938" s="17" t="str">
        <f>IFERROR(IF(INDEX(Movimientos!$M$2:$M$1993,MATCH(A938&amp;"ENTRADA",Movimientos!$R$2:$R$1993,0))=0,"S/D",INDEX(Movimientos!$M$2:$M$1993,MATCH(A938&amp;"ENTRADA",Movimientos!$R$2:$R$1993,0))),"S/D")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3245</v>
      </c>
      <c r="B939" s="2" t="str">
        <f>IFERROR(INDEX(Movimientos!$C$2:$C$1993,MATCH(A939&amp;"ENTRADA",Movimientos!$R$2:$R$1993,0)),"-")</f>
        <v>-</v>
      </c>
      <c r="C939" s="2" t="str">
        <f>IFERROR(INDEX(Movimientos!$D$2:$D$1993,MATCH(A939&amp;"ENTRADA",Movimientos!$R$2:$R$1993,0)),"-")</f>
        <v>-</v>
      </c>
      <c r="D939" s="2" t="str">
        <f>IFERROR(INDEX(Movimientos!$E$2:$E$1993,MATCH(A939&amp;"ENTRADA",Movimientos!$R$2:$R$1993,0)),"-")</f>
        <v>-</v>
      </c>
      <c r="E939" s="2" t="str">
        <f>IFERROR(INDEX(Movimientos!$F$2:$F$1993,MATCH(A939&amp;"ENTRADA",Movimientos!$R$2:$R$1993,0)),"-")</f>
        <v>-</v>
      </c>
      <c r="F939" s="2" t="str">
        <f>IFERROR(INDEX(Movimientos!$G$2:$G$1993,MATCH(A939&amp;"ENTRADA",Movimientos!$R$2:$R$1993,0)),"-")</f>
        <v>-</v>
      </c>
      <c r="G939" s="2" t="str">
        <f>IFERROR(INDEX(Movimientos!$L$2:$L$1993,MATCH(A939&amp;"ENTRADA",Movimientos!$R$2:$R$1993,0)),"-")</f>
        <v>-</v>
      </c>
      <c r="H939" s="17" t="str">
        <f>IFERROR(IF(INDEX(Movimientos!$M$2:$M$1993,MATCH(A939&amp;"ENTRADA",Movimientos!$R$2:$R$1993,0))=0,"S/D",INDEX(Movimientos!$M$2:$M$1993,MATCH(A939&amp;"ENTRADA",Movimientos!$R$2:$R$1993,0))),"S/D")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3246</v>
      </c>
      <c r="B940" s="2" t="str">
        <f>IFERROR(INDEX(Movimientos!$C$2:$C$1993,MATCH(A940&amp;"ENTRADA",Movimientos!$R$2:$R$1993,0)),"-")</f>
        <v>-</v>
      </c>
      <c r="C940" s="2" t="str">
        <f>IFERROR(INDEX(Movimientos!$D$2:$D$1993,MATCH(A940&amp;"ENTRADA",Movimientos!$R$2:$R$1993,0)),"-")</f>
        <v>-</v>
      </c>
      <c r="D940" s="2" t="str">
        <f>IFERROR(INDEX(Movimientos!$E$2:$E$1993,MATCH(A940&amp;"ENTRADA",Movimientos!$R$2:$R$1993,0)),"-")</f>
        <v>-</v>
      </c>
      <c r="E940" s="2" t="str">
        <f>IFERROR(INDEX(Movimientos!$F$2:$F$1993,MATCH(A940&amp;"ENTRADA",Movimientos!$R$2:$R$1993,0)),"-")</f>
        <v>-</v>
      </c>
      <c r="F940" s="2" t="str">
        <f>IFERROR(INDEX(Movimientos!$G$2:$G$1993,MATCH(A940&amp;"ENTRADA",Movimientos!$R$2:$R$1993,0)),"-")</f>
        <v>-</v>
      </c>
      <c r="G940" s="2" t="str">
        <f>IFERROR(INDEX(Movimientos!$L$2:$L$1993,MATCH(A940&amp;"ENTRADA",Movimientos!$R$2:$R$1993,0)),"-")</f>
        <v>-</v>
      </c>
      <c r="H940" s="17" t="str">
        <f>IFERROR(IF(INDEX(Movimientos!$M$2:$M$1993,MATCH(A940&amp;"ENTRADA",Movimientos!$R$2:$R$1993,0))=0,"S/D",INDEX(Movimientos!$M$2:$M$1993,MATCH(A940&amp;"ENTRADA",Movimientos!$R$2:$R$1993,0))),"S/D")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3247</v>
      </c>
      <c r="B941" s="2" t="str">
        <f>IFERROR(INDEX(Movimientos!$C$2:$C$1993,MATCH(A941&amp;"ENTRADA",Movimientos!$R$2:$R$1993,0)),"-")</f>
        <v>-</v>
      </c>
      <c r="C941" s="2" t="str">
        <f>IFERROR(INDEX(Movimientos!$D$2:$D$1993,MATCH(A941&amp;"ENTRADA",Movimientos!$R$2:$R$1993,0)),"-")</f>
        <v>-</v>
      </c>
      <c r="D941" s="2" t="str">
        <f>IFERROR(INDEX(Movimientos!$E$2:$E$1993,MATCH(A941&amp;"ENTRADA",Movimientos!$R$2:$R$1993,0)),"-")</f>
        <v>-</v>
      </c>
      <c r="E941" s="2" t="str">
        <f>IFERROR(INDEX(Movimientos!$F$2:$F$1993,MATCH(A941&amp;"ENTRADA",Movimientos!$R$2:$R$1993,0)),"-")</f>
        <v>-</v>
      </c>
      <c r="F941" s="2" t="str">
        <f>IFERROR(INDEX(Movimientos!$G$2:$G$1993,MATCH(A941&amp;"ENTRADA",Movimientos!$R$2:$R$1993,0)),"-")</f>
        <v>-</v>
      </c>
      <c r="G941" s="2" t="str">
        <f>IFERROR(INDEX(Movimientos!$L$2:$L$1993,MATCH(A941&amp;"ENTRADA",Movimientos!$R$2:$R$1993,0)),"-")</f>
        <v>-</v>
      </c>
      <c r="H941" s="17" t="str">
        <f>IFERROR(IF(INDEX(Movimientos!$M$2:$M$1993,MATCH(A941&amp;"ENTRADA",Movimientos!$R$2:$R$1993,0))=0,"S/D",INDEX(Movimientos!$M$2:$M$1993,MATCH(A941&amp;"ENTRADA",Movimientos!$R$2:$R$1993,0))),"S/D")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3248</v>
      </c>
      <c r="B942" s="2" t="str">
        <f>IFERROR(INDEX(Movimientos!$C$2:$C$1993,MATCH(A942&amp;"ENTRADA",Movimientos!$R$2:$R$1993,0)),"-")</f>
        <v>-</v>
      </c>
      <c r="C942" s="2" t="str">
        <f>IFERROR(INDEX(Movimientos!$D$2:$D$1993,MATCH(A942&amp;"ENTRADA",Movimientos!$R$2:$R$1993,0)),"-")</f>
        <v>-</v>
      </c>
      <c r="D942" s="2" t="str">
        <f>IFERROR(INDEX(Movimientos!$E$2:$E$1993,MATCH(A942&amp;"ENTRADA",Movimientos!$R$2:$R$1993,0)),"-")</f>
        <v>-</v>
      </c>
      <c r="E942" s="2" t="str">
        <f>IFERROR(INDEX(Movimientos!$F$2:$F$1993,MATCH(A942&amp;"ENTRADA",Movimientos!$R$2:$R$1993,0)),"-")</f>
        <v>-</v>
      </c>
      <c r="F942" s="2" t="str">
        <f>IFERROR(INDEX(Movimientos!$G$2:$G$1993,MATCH(A942&amp;"ENTRADA",Movimientos!$R$2:$R$1993,0)),"-")</f>
        <v>-</v>
      </c>
      <c r="G942" s="2" t="str">
        <f>IFERROR(INDEX(Movimientos!$L$2:$L$1993,MATCH(A942&amp;"ENTRADA",Movimientos!$R$2:$R$1993,0)),"-")</f>
        <v>-</v>
      </c>
      <c r="H942" s="17" t="str">
        <f>IFERROR(IF(INDEX(Movimientos!$M$2:$M$1993,MATCH(A942&amp;"ENTRADA",Movimientos!$R$2:$R$1993,0))=0,"S/D",INDEX(Movimientos!$M$2:$M$1993,MATCH(A942&amp;"ENTRADA",Movimientos!$R$2:$R$1993,0))),"S/D")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3249</v>
      </c>
      <c r="B943" s="2" t="str">
        <f>IFERROR(INDEX(Movimientos!$C$2:$C$1993,MATCH(A943&amp;"ENTRADA",Movimientos!$R$2:$R$1993,0)),"-")</f>
        <v>-</v>
      </c>
      <c r="C943" s="2" t="str">
        <f>IFERROR(INDEX(Movimientos!$D$2:$D$1993,MATCH(A943&amp;"ENTRADA",Movimientos!$R$2:$R$1993,0)),"-")</f>
        <v>-</v>
      </c>
      <c r="D943" s="2" t="str">
        <f>IFERROR(INDEX(Movimientos!$E$2:$E$1993,MATCH(A943&amp;"ENTRADA",Movimientos!$R$2:$R$1993,0)),"-")</f>
        <v>-</v>
      </c>
      <c r="E943" s="2" t="str">
        <f>IFERROR(INDEX(Movimientos!$F$2:$F$1993,MATCH(A943&amp;"ENTRADA",Movimientos!$R$2:$R$1993,0)),"-")</f>
        <v>-</v>
      </c>
      <c r="F943" s="2" t="str">
        <f>IFERROR(INDEX(Movimientos!$G$2:$G$1993,MATCH(A943&amp;"ENTRADA",Movimientos!$R$2:$R$1993,0)),"-")</f>
        <v>-</v>
      </c>
      <c r="G943" s="2" t="str">
        <f>IFERROR(INDEX(Movimientos!$L$2:$L$1993,MATCH(A943&amp;"ENTRADA",Movimientos!$R$2:$R$1993,0)),"-")</f>
        <v>-</v>
      </c>
      <c r="H943" s="17" t="str">
        <f>IFERROR(IF(INDEX(Movimientos!$M$2:$M$1993,MATCH(A943&amp;"ENTRADA",Movimientos!$R$2:$R$1993,0))=0,"S/D",INDEX(Movimientos!$M$2:$M$1993,MATCH(A943&amp;"ENTRADA",Movimientos!$R$2:$R$1993,0))),"S/D")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3250</v>
      </c>
      <c r="B944" s="2" t="str">
        <f>IFERROR(INDEX(Movimientos!$C$2:$C$1993,MATCH(A944&amp;"ENTRADA",Movimientos!$R$2:$R$1993,0)),"-")</f>
        <v>-</v>
      </c>
      <c r="C944" s="2" t="str">
        <f>IFERROR(INDEX(Movimientos!$D$2:$D$1993,MATCH(A944&amp;"ENTRADA",Movimientos!$R$2:$R$1993,0)),"-")</f>
        <v>-</v>
      </c>
      <c r="D944" s="2" t="str">
        <f>IFERROR(INDEX(Movimientos!$E$2:$E$1993,MATCH(A944&amp;"ENTRADA",Movimientos!$R$2:$R$1993,0)),"-")</f>
        <v>-</v>
      </c>
      <c r="E944" s="2" t="str">
        <f>IFERROR(INDEX(Movimientos!$F$2:$F$1993,MATCH(A944&amp;"ENTRADA",Movimientos!$R$2:$R$1993,0)),"-")</f>
        <v>-</v>
      </c>
      <c r="F944" s="2" t="str">
        <f>IFERROR(INDEX(Movimientos!$G$2:$G$1993,MATCH(A944&amp;"ENTRADA",Movimientos!$R$2:$R$1993,0)),"-")</f>
        <v>-</v>
      </c>
      <c r="G944" s="2" t="str">
        <f>IFERROR(INDEX(Movimientos!$L$2:$L$1993,MATCH(A944&amp;"ENTRADA",Movimientos!$R$2:$R$1993,0)),"-")</f>
        <v>-</v>
      </c>
      <c r="H944" s="17" t="str">
        <f>IFERROR(IF(INDEX(Movimientos!$M$2:$M$1993,MATCH(A944&amp;"ENTRADA",Movimientos!$R$2:$R$1993,0))=0,"S/D",INDEX(Movimientos!$M$2:$M$1993,MATCH(A944&amp;"ENTRADA",Movimientos!$R$2:$R$1993,0))),"S/D")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3251</v>
      </c>
      <c r="B945" s="2" t="str">
        <f>IFERROR(INDEX(Movimientos!$C$2:$C$1993,MATCH(A945&amp;"ENTRADA",Movimientos!$R$2:$R$1993,0)),"-")</f>
        <v>-</v>
      </c>
      <c r="C945" s="2" t="str">
        <f>IFERROR(INDEX(Movimientos!$D$2:$D$1993,MATCH(A945&amp;"ENTRADA",Movimientos!$R$2:$R$1993,0)),"-")</f>
        <v>-</v>
      </c>
      <c r="D945" s="2" t="str">
        <f>IFERROR(INDEX(Movimientos!$E$2:$E$1993,MATCH(A945&amp;"ENTRADA",Movimientos!$R$2:$R$1993,0)),"-")</f>
        <v>-</v>
      </c>
      <c r="E945" s="2" t="str">
        <f>IFERROR(INDEX(Movimientos!$F$2:$F$1993,MATCH(A945&amp;"ENTRADA",Movimientos!$R$2:$R$1993,0)),"-")</f>
        <v>-</v>
      </c>
      <c r="F945" s="2" t="str">
        <f>IFERROR(INDEX(Movimientos!$G$2:$G$1993,MATCH(A945&amp;"ENTRADA",Movimientos!$R$2:$R$1993,0)),"-")</f>
        <v>-</v>
      </c>
      <c r="G945" s="2" t="str">
        <f>IFERROR(INDEX(Movimientos!$L$2:$L$1993,MATCH(A945&amp;"ENTRADA",Movimientos!$R$2:$R$1993,0)),"-")</f>
        <v>-</v>
      </c>
      <c r="H945" s="17" t="str">
        <f>IFERROR(IF(INDEX(Movimientos!$M$2:$M$1993,MATCH(A945&amp;"ENTRADA",Movimientos!$R$2:$R$1993,0))=0,"S/D",INDEX(Movimientos!$M$2:$M$1993,MATCH(A945&amp;"ENTRADA",Movimientos!$R$2:$R$1993,0))),"S/D")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3252</v>
      </c>
      <c r="B946" s="2" t="str">
        <f>IFERROR(INDEX(Movimientos!$C$2:$C$1993,MATCH(A946&amp;"ENTRADA",Movimientos!$R$2:$R$1993,0)),"-")</f>
        <v>-</v>
      </c>
      <c r="C946" s="2" t="str">
        <f>IFERROR(INDEX(Movimientos!$D$2:$D$1993,MATCH(A946&amp;"ENTRADA",Movimientos!$R$2:$R$1993,0)),"-")</f>
        <v>-</v>
      </c>
      <c r="D946" s="2" t="str">
        <f>IFERROR(INDEX(Movimientos!$E$2:$E$1993,MATCH(A946&amp;"ENTRADA",Movimientos!$R$2:$R$1993,0)),"-")</f>
        <v>-</v>
      </c>
      <c r="E946" s="2" t="str">
        <f>IFERROR(INDEX(Movimientos!$F$2:$F$1993,MATCH(A946&amp;"ENTRADA",Movimientos!$R$2:$R$1993,0)),"-")</f>
        <v>-</v>
      </c>
      <c r="F946" s="2" t="str">
        <f>IFERROR(INDEX(Movimientos!$G$2:$G$1993,MATCH(A946&amp;"ENTRADA",Movimientos!$R$2:$R$1993,0)),"-")</f>
        <v>-</v>
      </c>
      <c r="G946" s="2" t="str">
        <f>IFERROR(INDEX(Movimientos!$L$2:$L$1993,MATCH(A946&amp;"ENTRADA",Movimientos!$R$2:$R$1993,0)),"-")</f>
        <v>-</v>
      </c>
      <c r="H946" s="17" t="str">
        <f>IFERROR(IF(INDEX(Movimientos!$M$2:$M$1993,MATCH(A946&amp;"ENTRADA",Movimientos!$R$2:$R$1993,0))=0,"S/D",INDEX(Movimientos!$M$2:$M$1993,MATCH(A946&amp;"ENTRADA",Movimientos!$R$2:$R$1993,0))),"S/D")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3253</v>
      </c>
      <c r="B947" s="2" t="str">
        <f>IFERROR(INDEX(Movimientos!$C$2:$C$1993,MATCH(A947&amp;"ENTRADA",Movimientos!$R$2:$R$1993,0)),"-")</f>
        <v>-</v>
      </c>
      <c r="C947" s="2" t="str">
        <f>IFERROR(INDEX(Movimientos!$D$2:$D$1993,MATCH(A947&amp;"ENTRADA",Movimientos!$R$2:$R$1993,0)),"-")</f>
        <v>-</v>
      </c>
      <c r="D947" s="2" t="str">
        <f>IFERROR(INDEX(Movimientos!$E$2:$E$1993,MATCH(A947&amp;"ENTRADA",Movimientos!$R$2:$R$1993,0)),"-")</f>
        <v>-</v>
      </c>
      <c r="E947" s="2" t="str">
        <f>IFERROR(INDEX(Movimientos!$F$2:$F$1993,MATCH(A947&amp;"ENTRADA",Movimientos!$R$2:$R$1993,0)),"-")</f>
        <v>-</v>
      </c>
      <c r="F947" s="2" t="str">
        <f>IFERROR(INDEX(Movimientos!$G$2:$G$1993,MATCH(A947&amp;"ENTRADA",Movimientos!$R$2:$R$1993,0)),"-")</f>
        <v>-</v>
      </c>
      <c r="G947" s="2" t="str">
        <f>IFERROR(INDEX(Movimientos!$L$2:$L$1993,MATCH(A947&amp;"ENTRADA",Movimientos!$R$2:$R$1993,0)),"-")</f>
        <v>-</v>
      </c>
      <c r="H947" s="17" t="str">
        <f>IFERROR(IF(INDEX(Movimientos!$M$2:$M$1993,MATCH(A947&amp;"ENTRADA",Movimientos!$R$2:$R$1993,0))=0,"S/D",INDEX(Movimientos!$M$2:$M$1993,MATCH(A947&amp;"ENTRADA",Movimientos!$R$2:$R$1993,0))),"S/D")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3254</v>
      </c>
      <c r="B948" s="2" t="str">
        <f>IFERROR(INDEX(Movimientos!$C$2:$C$1993,MATCH(A948&amp;"ENTRADA",Movimientos!$R$2:$R$1993,0)),"-")</f>
        <v>-</v>
      </c>
      <c r="C948" s="2" t="str">
        <f>IFERROR(INDEX(Movimientos!$D$2:$D$1993,MATCH(A948&amp;"ENTRADA",Movimientos!$R$2:$R$1993,0)),"-")</f>
        <v>-</v>
      </c>
      <c r="D948" s="2" t="str">
        <f>IFERROR(INDEX(Movimientos!$E$2:$E$1993,MATCH(A948&amp;"ENTRADA",Movimientos!$R$2:$R$1993,0)),"-")</f>
        <v>-</v>
      </c>
      <c r="E948" s="2" t="str">
        <f>IFERROR(INDEX(Movimientos!$F$2:$F$1993,MATCH(A948&amp;"ENTRADA",Movimientos!$R$2:$R$1993,0)),"-")</f>
        <v>-</v>
      </c>
      <c r="F948" s="2" t="str">
        <f>IFERROR(INDEX(Movimientos!$G$2:$G$1993,MATCH(A948&amp;"ENTRADA",Movimientos!$R$2:$R$1993,0)),"-")</f>
        <v>-</v>
      </c>
      <c r="G948" s="2" t="str">
        <f>IFERROR(INDEX(Movimientos!$L$2:$L$1993,MATCH(A948&amp;"ENTRADA",Movimientos!$R$2:$R$1993,0)),"-")</f>
        <v>-</v>
      </c>
      <c r="H948" s="17" t="str">
        <f>IFERROR(IF(INDEX(Movimientos!$M$2:$M$1993,MATCH(A948&amp;"ENTRADA",Movimientos!$R$2:$R$1993,0))=0,"S/D",INDEX(Movimientos!$M$2:$M$1993,MATCH(A948&amp;"ENTRADA",Movimientos!$R$2:$R$1993,0))),"S/D")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3255</v>
      </c>
      <c r="B949" s="2" t="str">
        <f>IFERROR(INDEX(Movimientos!$C$2:$C$1993,MATCH(A949&amp;"ENTRADA",Movimientos!$R$2:$R$1993,0)),"-")</f>
        <v>-</v>
      </c>
      <c r="C949" s="2" t="str">
        <f>IFERROR(INDEX(Movimientos!$D$2:$D$1993,MATCH(A949&amp;"ENTRADA",Movimientos!$R$2:$R$1993,0)),"-")</f>
        <v>-</v>
      </c>
      <c r="D949" s="2" t="str">
        <f>IFERROR(INDEX(Movimientos!$E$2:$E$1993,MATCH(A949&amp;"ENTRADA",Movimientos!$R$2:$R$1993,0)),"-")</f>
        <v>-</v>
      </c>
      <c r="E949" s="2" t="str">
        <f>IFERROR(INDEX(Movimientos!$F$2:$F$1993,MATCH(A949&amp;"ENTRADA",Movimientos!$R$2:$R$1993,0)),"-")</f>
        <v>-</v>
      </c>
      <c r="F949" s="2" t="str">
        <f>IFERROR(INDEX(Movimientos!$G$2:$G$1993,MATCH(A949&amp;"ENTRADA",Movimientos!$R$2:$R$1993,0)),"-")</f>
        <v>-</v>
      </c>
      <c r="G949" s="2" t="str">
        <f>IFERROR(INDEX(Movimientos!$L$2:$L$1993,MATCH(A949&amp;"ENTRADA",Movimientos!$R$2:$R$1993,0)),"-")</f>
        <v>-</v>
      </c>
      <c r="H949" s="17" t="str">
        <f>IFERROR(IF(INDEX(Movimientos!$M$2:$M$1993,MATCH(A949&amp;"ENTRADA",Movimientos!$R$2:$R$1993,0))=0,"S/D",INDEX(Movimientos!$M$2:$M$1993,MATCH(A949&amp;"ENTRADA",Movimientos!$R$2:$R$1993,0))),"S/D")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3256</v>
      </c>
      <c r="B950" s="2" t="str">
        <f>IFERROR(INDEX(Movimientos!$C$2:$C$1993,MATCH(A950&amp;"ENTRADA",Movimientos!$R$2:$R$1993,0)),"-")</f>
        <v>-</v>
      </c>
      <c r="C950" s="2" t="str">
        <f>IFERROR(INDEX(Movimientos!$D$2:$D$1993,MATCH(A950&amp;"ENTRADA",Movimientos!$R$2:$R$1993,0)),"-")</f>
        <v>-</v>
      </c>
      <c r="D950" s="2" t="str">
        <f>IFERROR(INDEX(Movimientos!$E$2:$E$1993,MATCH(A950&amp;"ENTRADA",Movimientos!$R$2:$R$1993,0)),"-")</f>
        <v>-</v>
      </c>
      <c r="E950" s="2" t="str">
        <f>IFERROR(INDEX(Movimientos!$F$2:$F$1993,MATCH(A950&amp;"ENTRADA",Movimientos!$R$2:$R$1993,0)),"-")</f>
        <v>-</v>
      </c>
      <c r="F950" s="2" t="str">
        <f>IFERROR(INDEX(Movimientos!$G$2:$G$1993,MATCH(A950&amp;"ENTRADA",Movimientos!$R$2:$R$1993,0)),"-")</f>
        <v>-</v>
      </c>
      <c r="G950" s="2" t="str">
        <f>IFERROR(INDEX(Movimientos!$L$2:$L$1993,MATCH(A950&amp;"ENTRADA",Movimientos!$R$2:$R$1993,0)),"-")</f>
        <v>-</v>
      </c>
      <c r="H950" s="17" t="str">
        <f>IFERROR(IF(INDEX(Movimientos!$M$2:$M$1993,MATCH(A950&amp;"ENTRADA",Movimientos!$R$2:$R$1993,0))=0,"S/D",INDEX(Movimientos!$M$2:$M$1993,MATCH(A950&amp;"ENTRADA",Movimientos!$R$2:$R$1993,0))),"S/D")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3257</v>
      </c>
      <c r="B951" s="2" t="str">
        <f>IFERROR(INDEX(Movimientos!$C$2:$C$1993,MATCH(A951&amp;"ENTRADA",Movimientos!$R$2:$R$1993,0)),"-")</f>
        <v>-</v>
      </c>
      <c r="C951" s="2" t="str">
        <f>IFERROR(INDEX(Movimientos!$D$2:$D$1993,MATCH(A951&amp;"ENTRADA",Movimientos!$R$2:$R$1993,0)),"-")</f>
        <v>-</v>
      </c>
      <c r="D951" s="2" t="str">
        <f>IFERROR(INDEX(Movimientos!$E$2:$E$1993,MATCH(A951&amp;"ENTRADA",Movimientos!$R$2:$R$1993,0)),"-")</f>
        <v>-</v>
      </c>
      <c r="E951" s="2" t="str">
        <f>IFERROR(INDEX(Movimientos!$F$2:$F$1993,MATCH(A951&amp;"ENTRADA",Movimientos!$R$2:$R$1993,0)),"-")</f>
        <v>-</v>
      </c>
      <c r="F951" s="2" t="str">
        <f>IFERROR(INDEX(Movimientos!$G$2:$G$1993,MATCH(A951&amp;"ENTRADA",Movimientos!$R$2:$R$1993,0)),"-")</f>
        <v>-</v>
      </c>
      <c r="G951" s="2" t="str">
        <f>IFERROR(INDEX(Movimientos!$L$2:$L$1993,MATCH(A951&amp;"ENTRADA",Movimientos!$R$2:$R$1993,0)),"-")</f>
        <v>-</v>
      </c>
      <c r="H951" s="17" t="str">
        <f>IFERROR(IF(INDEX(Movimientos!$M$2:$M$1993,MATCH(A951&amp;"ENTRADA",Movimientos!$R$2:$R$1993,0))=0,"S/D",INDEX(Movimientos!$M$2:$M$1993,MATCH(A951&amp;"ENTRADA",Movimientos!$R$2:$R$1993,0))),"S/D")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3258</v>
      </c>
      <c r="B952" s="2" t="str">
        <f>IFERROR(INDEX(Movimientos!$C$2:$C$1993,MATCH(A952&amp;"ENTRADA",Movimientos!$R$2:$R$1993,0)),"-")</f>
        <v>-</v>
      </c>
      <c r="C952" s="2" t="str">
        <f>IFERROR(INDEX(Movimientos!$D$2:$D$1993,MATCH(A952&amp;"ENTRADA",Movimientos!$R$2:$R$1993,0)),"-")</f>
        <v>-</v>
      </c>
      <c r="D952" s="2" t="str">
        <f>IFERROR(INDEX(Movimientos!$E$2:$E$1993,MATCH(A952&amp;"ENTRADA",Movimientos!$R$2:$R$1993,0)),"-")</f>
        <v>-</v>
      </c>
      <c r="E952" s="2" t="str">
        <f>IFERROR(INDEX(Movimientos!$F$2:$F$1993,MATCH(A952&amp;"ENTRADA",Movimientos!$R$2:$R$1993,0)),"-")</f>
        <v>-</v>
      </c>
      <c r="F952" s="2" t="str">
        <f>IFERROR(INDEX(Movimientos!$G$2:$G$1993,MATCH(A952&amp;"ENTRADA",Movimientos!$R$2:$R$1993,0)),"-")</f>
        <v>-</v>
      </c>
      <c r="G952" s="2" t="str">
        <f>IFERROR(INDEX(Movimientos!$L$2:$L$1993,MATCH(A952&amp;"ENTRADA",Movimientos!$R$2:$R$1993,0)),"-")</f>
        <v>-</v>
      </c>
      <c r="H952" s="17" t="str">
        <f>IFERROR(IF(INDEX(Movimientos!$M$2:$M$1993,MATCH(A952&amp;"ENTRADA",Movimientos!$R$2:$R$1993,0))=0,"S/D",INDEX(Movimientos!$M$2:$M$1993,MATCH(A952&amp;"ENTRADA",Movimientos!$R$2:$R$1993,0))),"S/D")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3259</v>
      </c>
      <c r="B953" s="2" t="str">
        <f>IFERROR(INDEX(Movimientos!$C$2:$C$1993,MATCH(A953&amp;"ENTRADA",Movimientos!$R$2:$R$1993,0)),"-")</f>
        <v>-</v>
      </c>
      <c r="C953" s="2" t="str">
        <f>IFERROR(INDEX(Movimientos!$D$2:$D$1993,MATCH(A953&amp;"ENTRADA",Movimientos!$R$2:$R$1993,0)),"-")</f>
        <v>-</v>
      </c>
      <c r="D953" s="2" t="str">
        <f>IFERROR(INDEX(Movimientos!$E$2:$E$1993,MATCH(A953&amp;"ENTRADA",Movimientos!$R$2:$R$1993,0)),"-")</f>
        <v>-</v>
      </c>
      <c r="E953" s="2" t="str">
        <f>IFERROR(INDEX(Movimientos!$F$2:$F$1993,MATCH(A953&amp;"ENTRADA",Movimientos!$R$2:$R$1993,0)),"-")</f>
        <v>-</v>
      </c>
      <c r="F953" s="2" t="str">
        <f>IFERROR(INDEX(Movimientos!$G$2:$G$1993,MATCH(A953&amp;"ENTRADA",Movimientos!$R$2:$R$1993,0)),"-")</f>
        <v>-</v>
      </c>
      <c r="G953" s="2" t="str">
        <f>IFERROR(INDEX(Movimientos!$L$2:$L$1993,MATCH(A953&amp;"ENTRADA",Movimientos!$R$2:$R$1993,0)),"-")</f>
        <v>-</v>
      </c>
      <c r="H953" s="17" t="str">
        <f>IFERROR(IF(INDEX(Movimientos!$M$2:$M$1993,MATCH(A953&amp;"ENTRADA",Movimientos!$R$2:$R$1993,0))=0,"S/D",INDEX(Movimientos!$M$2:$M$1993,MATCH(A953&amp;"ENTRADA",Movimientos!$R$2:$R$1993,0))),"S/D")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3260</v>
      </c>
      <c r="B954" s="2" t="str">
        <f>IFERROR(INDEX(Movimientos!$C$2:$C$1993,MATCH(A954&amp;"ENTRADA",Movimientos!$R$2:$R$1993,0)),"-")</f>
        <v>-</v>
      </c>
      <c r="C954" s="2" t="str">
        <f>IFERROR(INDEX(Movimientos!$D$2:$D$1993,MATCH(A954&amp;"ENTRADA",Movimientos!$R$2:$R$1993,0)),"-")</f>
        <v>-</v>
      </c>
      <c r="D954" s="2" t="str">
        <f>IFERROR(INDEX(Movimientos!$E$2:$E$1993,MATCH(A954&amp;"ENTRADA",Movimientos!$R$2:$R$1993,0)),"-")</f>
        <v>-</v>
      </c>
      <c r="E954" s="2" t="str">
        <f>IFERROR(INDEX(Movimientos!$F$2:$F$1993,MATCH(A954&amp;"ENTRADA",Movimientos!$R$2:$R$1993,0)),"-")</f>
        <v>-</v>
      </c>
      <c r="F954" s="2" t="str">
        <f>IFERROR(INDEX(Movimientos!$G$2:$G$1993,MATCH(A954&amp;"ENTRADA",Movimientos!$R$2:$R$1993,0)),"-")</f>
        <v>-</v>
      </c>
      <c r="G954" s="2" t="str">
        <f>IFERROR(INDEX(Movimientos!$L$2:$L$1993,MATCH(A954&amp;"ENTRADA",Movimientos!$R$2:$R$1993,0)),"-")</f>
        <v>-</v>
      </c>
      <c r="H954" s="17" t="str">
        <f>IFERROR(IF(INDEX(Movimientos!$M$2:$M$1993,MATCH(A954&amp;"ENTRADA",Movimientos!$R$2:$R$1993,0))=0,"S/D",INDEX(Movimientos!$M$2:$M$1993,MATCH(A954&amp;"ENTRADA",Movimientos!$R$2:$R$1993,0))),"S/D")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3261</v>
      </c>
      <c r="B955" s="2" t="str">
        <f>IFERROR(INDEX(Movimientos!$C$2:$C$1993,MATCH(A955&amp;"ENTRADA",Movimientos!$R$2:$R$1993,0)),"-")</f>
        <v>-</v>
      </c>
      <c r="C955" s="2" t="str">
        <f>IFERROR(INDEX(Movimientos!$D$2:$D$1993,MATCH(A955&amp;"ENTRADA",Movimientos!$R$2:$R$1993,0)),"-")</f>
        <v>-</v>
      </c>
      <c r="D955" s="2" t="str">
        <f>IFERROR(INDEX(Movimientos!$E$2:$E$1993,MATCH(A955&amp;"ENTRADA",Movimientos!$R$2:$R$1993,0)),"-")</f>
        <v>-</v>
      </c>
      <c r="E955" s="2" t="str">
        <f>IFERROR(INDEX(Movimientos!$F$2:$F$1993,MATCH(A955&amp;"ENTRADA",Movimientos!$R$2:$R$1993,0)),"-")</f>
        <v>-</v>
      </c>
      <c r="F955" s="2" t="str">
        <f>IFERROR(INDEX(Movimientos!$G$2:$G$1993,MATCH(A955&amp;"ENTRADA",Movimientos!$R$2:$R$1993,0)),"-")</f>
        <v>-</v>
      </c>
      <c r="G955" s="2" t="str">
        <f>IFERROR(INDEX(Movimientos!$L$2:$L$1993,MATCH(A955&amp;"ENTRADA",Movimientos!$R$2:$R$1993,0)),"-")</f>
        <v>-</v>
      </c>
      <c r="H955" s="17" t="str">
        <f>IFERROR(IF(INDEX(Movimientos!$M$2:$M$1993,MATCH(A955&amp;"ENTRADA",Movimientos!$R$2:$R$1993,0))=0,"S/D",INDEX(Movimientos!$M$2:$M$1993,MATCH(A955&amp;"ENTRADA",Movimientos!$R$2:$R$1993,0))),"S/D")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3262</v>
      </c>
      <c r="B956" s="2" t="str">
        <f>IFERROR(INDEX(Movimientos!$C$2:$C$1993,MATCH(A956&amp;"ENTRADA",Movimientos!$R$2:$R$1993,0)),"-")</f>
        <v>-</v>
      </c>
      <c r="C956" s="2" t="str">
        <f>IFERROR(INDEX(Movimientos!$D$2:$D$1993,MATCH(A956&amp;"ENTRADA",Movimientos!$R$2:$R$1993,0)),"-")</f>
        <v>-</v>
      </c>
      <c r="D956" s="2" t="str">
        <f>IFERROR(INDEX(Movimientos!$E$2:$E$1993,MATCH(A956&amp;"ENTRADA",Movimientos!$R$2:$R$1993,0)),"-")</f>
        <v>-</v>
      </c>
      <c r="E956" s="2" t="str">
        <f>IFERROR(INDEX(Movimientos!$F$2:$F$1993,MATCH(A956&amp;"ENTRADA",Movimientos!$R$2:$R$1993,0)),"-")</f>
        <v>-</v>
      </c>
      <c r="F956" s="2" t="str">
        <f>IFERROR(INDEX(Movimientos!$G$2:$G$1993,MATCH(A956&amp;"ENTRADA",Movimientos!$R$2:$R$1993,0)),"-")</f>
        <v>-</v>
      </c>
      <c r="G956" s="2" t="str">
        <f>IFERROR(INDEX(Movimientos!$L$2:$L$1993,MATCH(A956&amp;"ENTRADA",Movimientos!$R$2:$R$1993,0)),"-")</f>
        <v>-</v>
      </c>
      <c r="H956" s="17" t="str">
        <f>IFERROR(IF(INDEX(Movimientos!$M$2:$M$1993,MATCH(A956&amp;"ENTRADA",Movimientos!$R$2:$R$1993,0))=0,"S/D",INDEX(Movimientos!$M$2:$M$1993,MATCH(A956&amp;"ENTRADA",Movimientos!$R$2:$R$1993,0))),"S/D")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3263</v>
      </c>
      <c r="B957" s="2" t="str">
        <f>IFERROR(INDEX(Movimientos!$C$2:$C$1993,MATCH(A957&amp;"ENTRADA",Movimientos!$R$2:$R$1993,0)),"-")</f>
        <v>-</v>
      </c>
      <c r="C957" s="2" t="str">
        <f>IFERROR(INDEX(Movimientos!$D$2:$D$1993,MATCH(A957&amp;"ENTRADA",Movimientos!$R$2:$R$1993,0)),"-")</f>
        <v>-</v>
      </c>
      <c r="D957" s="2" t="str">
        <f>IFERROR(INDEX(Movimientos!$E$2:$E$1993,MATCH(A957&amp;"ENTRADA",Movimientos!$R$2:$R$1993,0)),"-")</f>
        <v>-</v>
      </c>
      <c r="E957" s="2" t="str">
        <f>IFERROR(INDEX(Movimientos!$F$2:$F$1993,MATCH(A957&amp;"ENTRADA",Movimientos!$R$2:$R$1993,0)),"-")</f>
        <v>-</v>
      </c>
      <c r="F957" s="2" t="str">
        <f>IFERROR(INDEX(Movimientos!$G$2:$G$1993,MATCH(A957&amp;"ENTRADA",Movimientos!$R$2:$R$1993,0)),"-")</f>
        <v>-</v>
      </c>
      <c r="G957" s="2" t="str">
        <f>IFERROR(INDEX(Movimientos!$L$2:$L$1993,MATCH(A957&amp;"ENTRADA",Movimientos!$R$2:$R$1993,0)),"-")</f>
        <v>-</v>
      </c>
      <c r="H957" s="17" t="str">
        <f>IFERROR(IF(INDEX(Movimientos!$M$2:$M$1993,MATCH(A957&amp;"ENTRADA",Movimientos!$R$2:$R$1993,0))=0,"S/D",INDEX(Movimientos!$M$2:$M$1993,MATCH(A957&amp;"ENTRADA",Movimientos!$R$2:$R$1993,0))),"S/D")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3264</v>
      </c>
      <c r="B958" s="2" t="str">
        <f>IFERROR(INDEX(Movimientos!$C$2:$C$1993,MATCH(A958&amp;"ENTRADA",Movimientos!$R$2:$R$1993,0)),"-")</f>
        <v>-</v>
      </c>
      <c r="C958" s="2" t="str">
        <f>IFERROR(INDEX(Movimientos!$D$2:$D$1993,MATCH(A958&amp;"ENTRADA",Movimientos!$R$2:$R$1993,0)),"-")</f>
        <v>-</v>
      </c>
      <c r="D958" s="2" t="str">
        <f>IFERROR(INDEX(Movimientos!$E$2:$E$1993,MATCH(A958&amp;"ENTRADA",Movimientos!$R$2:$R$1993,0)),"-")</f>
        <v>-</v>
      </c>
      <c r="E958" s="2" t="str">
        <f>IFERROR(INDEX(Movimientos!$F$2:$F$1993,MATCH(A958&amp;"ENTRADA",Movimientos!$R$2:$R$1993,0)),"-")</f>
        <v>-</v>
      </c>
      <c r="F958" s="2" t="str">
        <f>IFERROR(INDEX(Movimientos!$G$2:$G$1993,MATCH(A958&amp;"ENTRADA",Movimientos!$R$2:$R$1993,0)),"-")</f>
        <v>-</v>
      </c>
      <c r="G958" s="2" t="str">
        <f>IFERROR(INDEX(Movimientos!$L$2:$L$1993,MATCH(A958&amp;"ENTRADA",Movimientos!$R$2:$R$1993,0)),"-")</f>
        <v>-</v>
      </c>
      <c r="H958" s="17" t="str">
        <f>IFERROR(IF(INDEX(Movimientos!$M$2:$M$1993,MATCH(A958&amp;"ENTRADA",Movimientos!$R$2:$R$1993,0))=0,"S/D",INDEX(Movimientos!$M$2:$M$1993,MATCH(A958&amp;"ENTRADA",Movimientos!$R$2:$R$1993,0))),"S/D")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3265</v>
      </c>
      <c r="B959" s="2" t="str">
        <f>IFERROR(INDEX(Movimientos!$C$2:$C$1993,MATCH(A959&amp;"ENTRADA",Movimientos!$R$2:$R$1993,0)),"-")</f>
        <v>-</v>
      </c>
      <c r="C959" s="2" t="str">
        <f>IFERROR(INDEX(Movimientos!$D$2:$D$1993,MATCH(A959&amp;"ENTRADA",Movimientos!$R$2:$R$1993,0)),"-")</f>
        <v>-</v>
      </c>
      <c r="D959" s="2" t="str">
        <f>IFERROR(INDEX(Movimientos!$E$2:$E$1993,MATCH(A959&amp;"ENTRADA",Movimientos!$R$2:$R$1993,0)),"-")</f>
        <v>-</v>
      </c>
      <c r="E959" s="2" t="str">
        <f>IFERROR(INDEX(Movimientos!$F$2:$F$1993,MATCH(A959&amp;"ENTRADA",Movimientos!$R$2:$R$1993,0)),"-")</f>
        <v>-</v>
      </c>
      <c r="F959" s="2" t="str">
        <f>IFERROR(INDEX(Movimientos!$G$2:$G$1993,MATCH(A959&amp;"ENTRADA",Movimientos!$R$2:$R$1993,0)),"-")</f>
        <v>-</v>
      </c>
      <c r="G959" s="2" t="str">
        <f>IFERROR(INDEX(Movimientos!$L$2:$L$1993,MATCH(A959&amp;"ENTRADA",Movimientos!$R$2:$R$1993,0)),"-")</f>
        <v>-</v>
      </c>
      <c r="H959" s="17" t="str">
        <f>IFERROR(IF(INDEX(Movimientos!$M$2:$M$1993,MATCH(A959&amp;"ENTRADA",Movimientos!$R$2:$R$1993,0))=0,"S/D",INDEX(Movimientos!$M$2:$M$1993,MATCH(A959&amp;"ENTRADA",Movimientos!$R$2:$R$1993,0))),"S/D")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3266</v>
      </c>
      <c r="B960" s="2" t="str">
        <f>IFERROR(INDEX(Movimientos!$C$2:$C$1993,MATCH(A960&amp;"ENTRADA",Movimientos!$R$2:$R$1993,0)),"-")</f>
        <v>-</v>
      </c>
      <c r="C960" s="2" t="str">
        <f>IFERROR(INDEX(Movimientos!$D$2:$D$1993,MATCH(A960&amp;"ENTRADA",Movimientos!$R$2:$R$1993,0)),"-")</f>
        <v>-</v>
      </c>
      <c r="D960" s="2" t="str">
        <f>IFERROR(INDEX(Movimientos!$E$2:$E$1993,MATCH(A960&amp;"ENTRADA",Movimientos!$R$2:$R$1993,0)),"-")</f>
        <v>-</v>
      </c>
      <c r="E960" s="2" t="str">
        <f>IFERROR(INDEX(Movimientos!$F$2:$F$1993,MATCH(A960&amp;"ENTRADA",Movimientos!$R$2:$R$1993,0)),"-")</f>
        <v>-</v>
      </c>
      <c r="F960" s="2" t="str">
        <f>IFERROR(INDEX(Movimientos!$G$2:$G$1993,MATCH(A960&amp;"ENTRADA",Movimientos!$R$2:$R$1993,0)),"-")</f>
        <v>-</v>
      </c>
      <c r="G960" s="2" t="str">
        <f>IFERROR(INDEX(Movimientos!$L$2:$L$1993,MATCH(A960&amp;"ENTRADA",Movimientos!$R$2:$R$1993,0)),"-")</f>
        <v>-</v>
      </c>
      <c r="H960" s="17" t="str">
        <f>IFERROR(IF(INDEX(Movimientos!$M$2:$M$1993,MATCH(A960&amp;"ENTRADA",Movimientos!$R$2:$R$1993,0))=0,"S/D",INDEX(Movimientos!$M$2:$M$1993,MATCH(A960&amp;"ENTRADA",Movimientos!$R$2:$R$1993,0))),"S/D")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3267</v>
      </c>
      <c r="B961" s="2" t="str">
        <f>IFERROR(INDEX(Movimientos!$C$2:$C$1993,MATCH(A961&amp;"ENTRADA",Movimientos!$R$2:$R$1993,0)),"-")</f>
        <v>-</v>
      </c>
      <c r="C961" s="2" t="str">
        <f>IFERROR(INDEX(Movimientos!$D$2:$D$1993,MATCH(A961&amp;"ENTRADA",Movimientos!$R$2:$R$1993,0)),"-")</f>
        <v>-</v>
      </c>
      <c r="D961" s="2" t="str">
        <f>IFERROR(INDEX(Movimientos!$E$2:$E$1993,MATCH(A961&amp;"ENTRADA",Movimientos!$R$2:$R$1993,0)),"-")</f>
        <v>-</v>
      </c>
      <c r="E961" s="2" t="str">
        <f>IFERROR(INDEX(Movimientos!$F$2:$F$1993,MATCH(A961&amp;"ENTRADA",Movimientos!$R$2:$R$1993,0)),"-")</f>
        <v>-</v>
      </c>
      <c r="F961" s="2" t="str">
        <f>IFERROR(INDEX(Movimientos!$G$2:$G$1993,MATCH(A961&amp;"ENTRADA",Movimientos!$R$2:$R$1993,0)),"-")</f>
        <v>-</v>
      </c>
      <c r="G961" s="2" t="str">
        <f>IFERROR(INDEX(Movimientos!$L$2:$L$1993,MATCH(A961&amp;"ENTRADA",Movimientos!$R$2:$R$1993,0)),"-")</f>
        <v>-</v>
      </c>
      <c r="H961" s="17" t="str">
        <f>IFERROR(IF(INDEX(Movimientos!$M$2:$M$1993,MATCH(A961&amp;"ENTRADA",Movimientos!$R$2:$R$1993,0))=0,"S/D",INDEX(Movimientos!$M$2:$M$1993,MATCH(A961&amp;"ENTRADA",Movimientos!$R$2:$R$1993,0))),"S/D")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3268</v>
      </c>
      <c r="B962" s="2" t="str">
        <f>IFERROR(INDEX(Movimientos!$C$2:$C$1993,MATCH(A962&amp;"ENTRADA",Movimientos!$R$2:$R$1993,0)),"-")</f>
        <v>-</v>
      </c>
      <c r="C962" s="2" t="str">
        <f>IFERROR(INDEX(Movimientos!$D$2:$D$1993,MATCH(A962&amp;"ENTRADA",Movimientos!$R$2:$R$1993,0)),"-")</f>
        <v>-</v>
      </c>
      <c r="D962" s="2" t="str">
        <f>IFERROR(INDEX(Movimientos!$E$2:$E$1993,MATCH(A962&amp;"ENTRADA",Movimientos!$R$2:$R$1993,0)),"-")</f>
        <v>-</v>
      </c>
      <c r="E962" s="2" t="str">
        <f>IFERROR(INDEX(Movimientos!$F$2:$F$1993,MATCH(A962&amp;"ENTRADA",Movimientos!$R$2:$R$1993,0)),"-")</f>
        <v>-</v>
      </c>
      <c r="F962" s="2" t="str">
        <f>IFERROR(INDEX(Movimientos!$G$2:$G$1993,MATCH(A962&amp;"ENTRADA",Movimientos!$R$2:$R$1993,0)),"-")</f>
        <v>-</v>
      </c>
      <c r="G962" s="2" t="str">
        <f>IFERROR(INDEX(Movimientos!$L$2:$L$1993,MATCH(A962&amp;"ENTRADA",Movimientos!$R$2:$R$1993,0)),"-")</f>
        <v>-</v>
      </c>
      <c r="H962" s="17" t="str">
        <f>IFERROR(IF(INDEX(Movimientos!$M$2:$M$1993,MATCH(A962&amp;"ENTRADA",Movimientos!$R$2:$R$1993,0))=0,"S/D",INDEX(Movimientos!$M$2:$M$1993,MATCH(A962&amp;"ENTRADA",Movimientos!$R$2:$R$1993,0))),"S/D")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3269</v>
      </c>
      <c r="B963" s="2" t="str">
        <f>IFERROR(INDEX(Movimientos!$C$2:$C$1993,MATCH(A963&amp;"ENTRADA",Movimientos!$R$2:$R$1993,0)),"-")</f>
        <v>-</v>
      </c>
      <c r="C963" s="2" t="str">
        <f>IFERROR(INDEX(Movimientos!$D$2:$D$1993,MATCH(A963&amp;"ENTRADA",Movimientos!$R$2:$R$1993,0)),"-")</f>
        <v>-</v>
      </c>
      <c r="D963" s="2" t="str">
        <f>IFERROR(INDEX(Movimientos!$E$2:$E$1993,MATCH(A963&amp;"ENTRADA",Movimientos!$R$2:$R$1993,0)),"-")</f>
        <v>-</v>
      </c>
      <c r="E963" s="2" t="str">
        <f>IFERROR(INDEX(Movimientos!$F$2:$F$1993,MATCH(A963&amp;"ENTRADA",Movimientos!$R$2:$R$1993,0)),"-")</f>
        <v>-</v>
      </c>
      <c r="F963" s="2" t="str">
        <f>IFERROR(INDEX(Movimientos!$G$2:$G$1993,MATCH(A963&amp;"ENTRADA",Movimientos!$R$2:$R$1993,0)),"-")</f>
        <v>-</v>
      </c>
      <c r="G963" s="2" t="str">
        <f>IFERROR(INDEX(Movimientos!$L$2:$L$1993,MATCH(A963&amp;"ENTRADA",Movimientos!$R$2:$R$1993,0)),"-")</f>
        <v>-</v>
      </c>
      <c r="H963" s="17" t="str">
        <f>IFERROR(IF(INDEX(Movimientos!$M$2:$M$1993,MATCH(A963&amp;"ENTRADA",Movimientos!$R$2:$R$1993,0))=0,"S/D",INDEX(Movimientos!$M$2:$M$1993,MATCH(A963&amp;"ENTRADA",Movimientos!$R$2:$R$1993,0))),"S/D")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3270</v>
      </c>
      <c r="B964" s="2" t="str">
        <f>IFERROR(INDEX(Movimientos!$C$2:$C$1993,MATCH(A964&amp;"ENTRADA",Movimientos!$R$2:$R$1993,0)),"-")</f>
        <v>-</v>
      </c>
      <c r="C964" s="2" t="str">
        <f>IFERROR(INDEX(Movimientos!$D$2:$D$1993,MATCH(A964&amp;"ENTRADA",Movimientos!$R$2:$R$1993,0)),"-")</f>
        <v>-</v>
      </c>
      <c r="D964" s="2" t="str">
        <f>IFERROR(INDEX(Movimientos!$E$2:$E$1993,MATCH(A964&amp;"ENTRADA",Movimientos!$R$2:$R$1993,0)),"-")</f>
        <v>-</v>
      </c>
      <c r="E964" s="2" t="str">
        <f>IFERROR(INDEX(Movimientos!$F$2:$F$1993,MATCH(A964&amp;"ENTRADA",Movimientos!$R$2:$R$1993,0)),"-")</f>
        <v>-</v>
      </c>
      <c r="F964" s="2" t="str">
        <f>IFERROR(INDEX(Movimientos!$G$2:$G$1993,MATCH(A964&amp;"ENTRADA",Movimientos!$R$2:$R$1993,0)),"-")</f>
        <v>-</v>
      </c>
      <c r="G964" s="2" t="str">
        <f>IFERROR(INDEX(Movimientos!$L$2:$L$1993,MATCH(A964&amp;"ENTRADA",Movimientos!$R$2:$R$1993,0)),"-")</f>
        <v>-</v>
      </c>
      <c r="H964" s="17" t="str">
        <f>IFERROR(IF(INDEX(Movimientos!$M$2:$M$1993,MATCH(A964&amp;"ENTRADA",Movimientos!$R$2:$R$1993,0))=0,"S/D",INDEX(Movimientos!$M$2:$M$1993,MATCH(A964&amp;"ENTRADA",Movimientos!$R$2:$R$1993,0))),"S/D")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3271</v>
      </c>
      <c r="B965" s="2" t="str">
        <f>IFERROR(INDEX(Movimientos!$C$2:$C$1993,MATCH(A965&amp;"ENTRADA",Movimientos!$R$2:$R$1993,0)),"-")</f>
        <v>-</v>
      </c>
      <c r="C965" s="2" t="str">
        <f>IFERROR(INDEX(Movimientos!$D$2:$D$1993,MATCH(A965&amp;"ENTRADA",Movimientos!$R$2:$R$1993,0)),"-")</f>
        <v>-</v>
      </c>
      <c r="D965" s="2" t="str">
        <f>IFERROR(INDEX(Movimientos!$E$2:$E$1993,MATCH(A965&amp;"ENTRADA",Movimientos!$R$2:$R$1993,0)),"-")</f>
        <v>-</v>
      </c>
      <c r="E965" s="2" t="str">
        <f>IFERROR(INDEX(Movimientos!$F$2:$F$1993,MATCH(A965&amp;"ENTRADA",Movimientos!$R$2:$R$1993,0)),"-")</f>
        <v>-</v>
      </c>
      <c r="F965" s="2" t="str">
        <f>IFERROR(INDEX(Movimientos!$G$2:$G$1993,MATCH(A965&amp;"ENTRADA",Movimientos!$R$2:$R$1993,0)),"-")</f>
        <v>-</v>
      </c>
      <c r="G965" s="2" t="str">
        <f>IFERROR(INDEX(Movimientos!$L$2:$L$1993,MATCH(A965&amp;"ENTRADA",Movimientos!$R$2:$R$1993,0)),"-")</f>
        <v>-</v>
      </c>
      <c r="H965" s="17" t="str">
        <f>IFERROR(IF(INDEX(Movimientos!$M$2:$M$1993,MATCH(A965&amp;"ENTRADA",Movimientos!$R$2:$R$1993,0))=0,"S/D",INDEX(Movimientos!$M$2:$M$1993,MATCH(A965&amp;"ENTRADA",Movimientos!$R$2:$R$1993,0))),"S/D")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3272</v>
      </c>
      <c r="B966" s="2" t="str">
        <f>IFERROR(INDEX(Movimientos!$C$2:$C$1993,MATCH(A966&amp;"ENTRADA",Movimientos!$R$2:$R$1993,0)),"-")</f>
        <v>-</v>
      </c>
      <c r="C966" s="2" t="str">
        <f>IFERROR(INDEX(Movimientos!$D$2:$D$1993,MATCH(A966&amp;"ENTRADA",Movimientos!$R$2:$R$1993,0)),"-")</f>
        <v>-</v>
      </c>
      <c r="D966" s="2" t="str">
        <f>IFERROR(INDEX(Movimientos!$E$2:$E$1993,MATCH(A966&amp;"ENTRADA",Movimientos!$R$2:$R$1993,0)),"-")</f>
        <v>-</v>
      </c>
      <c r="E966" s="2" t="str">
        <f>IFERROR(INDEX(Movimientos!$F$2:$F$1993,MATCH(A966&amp;"ENTRADA",Movimientos!$R$2:$R$1993,0)),"-")</f>
        <v>-</v>
      </c>
      <c r="F966" s="2" t="str">
        <f>IFERROR(INDEX(Movimientos!$G$2:$G$1993,MATCH(A966&amp;"ENTRADA",Movimientos!$R$2:$R$1993,0)),"-")</f>
        <v>-</v>
      </c>
      <c r="G966" s="2" t="str">
        <f>IFERROR(INDEX(Movimientos!$L$2:$L$1993,MATCH(A966&amp;"ENTRADA",Movimientos!$R$2:$R$1993,0)),"-")</f>
        <v>-</v>
      </c>
      <c r="H966" s="17" t="str">
        <f>IFERROR(IF(INDEX(Movimientos!$M$2:$M$1993,MATCH(A966&amp;"ENTRADA",Movimientos!$R$2:$R$1993,0))=0,"S/D",INDEX(Movimientos!$M$2:$M$1993,MATCH(A966&amp;"ENTRADA",Movimientos!$R$2:$R$1993,0))),"S/D")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3273</v>
      </c>
      <c r="B967" s="2" t="str">
        <f>IFERROR(INDEX(Movimientos!$C$2:$C$1993,MATCH(A967&amp;"ENTRADA",Movimientos!$R$2:$R$1993,0)),"-")</f>
        <v>-</v>
      </c>
      <c r="C967" s="2" t="str">
        <f>IFERROR(INDEX(Movimientos!$D$2:$D$1993,MATCH(A967&amp;"ENTRADA",Movimientos!$R$2:$R$1993,0)),"-")</f>
        <v>-</v>
      </c>
      <c r="D967" s="2" t="str">
        <f>IFERROR(INDEX(Movimientos!$E$2:$E$1993,MATCH(A967&amp;"ENTRADA",Movimientos!$R$2:$R$1993,0)),"-")</f>
        <v>-</v>
      </c>
      <c r="E967" s="2" t="str">
        <f>IFERROR(INDEX(Movimientos!$F$2:$F$1993,MATCH(A967&amp;"ENTRADA",Movimientos!$R$2:$R$1993,0)),"-")</f>
        <v>-</v>
      </c>
      <c r="F967" s="2" t="str">
        <f>IFERROR(INDEX(Movimientos!$G$2:$G$1993,MATCH(A967&amp;"ENTRADA",Movimientos!$R$2:$R$1993,0)),"-")</f>
        <v>-</v>
      </c>
      <c r="G967" s="2" t="str">
        <f>IFERROR(INDEX(Movimientos!$L$2:$L$1993,MATCH(A967&amp;"ENTRADA",Movimientos!$R$2:$R$1993,0)),"-")</f>
        <v>-</v>
      </c>
      <c r="H967" s="17" t="str">
        <f>IFERROR(IF(INDEX(Movimientos!$M$2:$M$1993,MATCH(A967&amp;"ENTRADA",Movimientos!$R$2:$R$1993,0))=0,"S/D",INDEX(Movimientos!$M$2:$M$1993,MATCH(A967&amp;"ENTRADA",Movimientos!$R$2:$R$1993,0))),"S/D")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3274</v>
      </c>
      <c r="B968" s="2" t="str">
        <f>IFERROR(INDEX(Movimientos!$C$2:$C$1993,MATCH(A968&amp;"ENTRADA",Movimientos!$R$2:$R$1993,0)),"-")</f>
        <v>-</v>
      </c>
      <c r="C968" s="2" t="str">
        <f>IFERROR(INDEX(Movimientos!$D$2:$D$1993,MATCH(A968&amp;"ENTRADA",Movimientos!$R$2:$R$1993,0)),"-")</f>
        <v>-</v>
      </c>
      <c r="D968" s="2" t="str">
        <f>IFERROR(INDEX(Movimientos!$E$2:$E$1993,MATCH(A968&amp;"ENTRADA",Movimientos!$R$2:$R$1993,0)),"-")</f>
        <v>-</v>
      </c>
      <c r="E968" s="2" t="str">
        <f>IFERROR(INDEX(Movimientos!$F$2:$F$1993,MATCH(A968&amp;"ENTRADA",Movimientos!$R$2:$R$1993,0)),"-")</f>
        <v>-</v>
      </c>
      <c r="F968" s="2" t="str">
        <f>IFERROR(INDEX(Movimientos!$G$2:$G$1993,MATCH(A968&amp;"ENTRADA",Movimientos!$R$2:$R$1993,0)),"-")</f>
        <v>-</v>
      </c>
      <c r="G968" s="2" t="str">
        <f>IFERROR(INDEX(Movimientos!$L$2:$L$1993,MATCH(A968&amp;"ENTRADA",Movimientos!$R$2:$R$1993,0)),"-")</f>
        <v>-</v>
      </c>
      <c r="H968" s="17" t="str">
        <f>IFERROR(IF(INDEX(Movimientos!$M$2:$M$1993,MATCH(A968&amp;"ENTRADA",Movimientos!$R$2:$R$1993,0))=0,"S/D",INDEX(Movimientos!$M$2:$M$1993,MATCH(A968&amp;"ENTRADA",Movimientos!$R$2:$R$1993,0))),"S/D")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3275</v>
      </c>
      <c r="B969" s="2" t="str">
        <f>IFERROR(INDEX(Movimientos!$C$2:$C$1993,MATCH(A969&amp;"ENTRADA",Movimientos!$R$2:$R$1993,0)),"-")</f>
        <v>-</v>
      </c>
      <c r="C969" s="2" t="str">
        <f>IFERROR(INDEX(Movimientos!$D$2:$D$1993,MATCH(A969&amp;"ENTRADA",Movimientos!$R$2:$R$1993,0)),"-")</f>
        <v>-</v>
      </c>
      <c r="D969" s="2" t="str">
        <f>IFERROR(INDEX(Movimientos!$E$2:$E$1993,MATCH(A969&amp;"ENTRADA",Movimientos!$R$2:$R$1993,0)),"-")</f>
        <v>-</v>
      </c>
      <c r="E969" s="2" t="str">
        <f>IFERROR(INDEX(Movimientos!$F$2:$F$1993,MATCH(A969&amp;"ENTRADA",Movimientos!$R$2:$R$1993,0)),"-")</f>
        <v>-</v>
      </c>
      <c r="F969" s="2" t="str">
        <f>IFERROR(INDEX(Movimientos!$G$2:$G$1993,MATCH(A969&amp;"ENTRADA",Movimientos!$R$2:$R$1993,0)),"-")</f>
        <v>-</v>
      </c>
      <c r="G969" s="2" t="str">
        <f>IFERROR(INDEX(Movimientos!$L$2:$L$1993,MATCH(A969&amp;"ENTRADA",Movimientos!$R$2:$R$1993,0)),"-")</f>
        <v>-</v>
      </c>
      <c r="H969" s="17" t="str">
        <f>IFERROR(IF(INDEX(Movimientos!$M$2:$M$1993,MATCH(A969&amp;"ENTRADA",Movimientos!$R$2:$R$1993,0))=0,"S/D",INDEX(Movimientos!$M$2:$M$1993,MATCH(A969&amp;"ENTRADA",Movimientos!$R$2:$R$1993,0))),"S/D")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3276</v>
      </c>
      <c r="B970" s="2" t="str">
        <f>IFERROR(INDEX(Movimientos!$C$2:$C$1993,MATCH(A970&amp;"ENTRADA",Movimientos!$R$2:$R$1993,0)),"-")</f>
        <v>-</v>
      </c>
      <c r="C970" s="2" t="str">
        <f>IFERROR(INDEX(Movimientos!$D$2:$D$1993,MATCH(A970&amp;"ENTRADA",Movimientos!$R$2:$R$1993,0)),"-")</f>
        <v>-</v>
      </c>
      <c r="D970" s="2" t="str">
        <f>IFERROR(INDEX(Movimientos!$E$2:$E$1993,MATCH(A970&amp;"ENTRADA",Movimientos!$R$2:$R$1993,0)),"-")</f>
        <v>-</v>
      </c>
      <c r="E970" s="2" t="str">
        <f>IFERROR(INDEX(Movimientos!$F$2:$F$1993,MATCH(A970&amp;"ENTRADA",Movimientos!$R$2:$R$1993,0)),"-")</f>
        <v>-</v>
      </c>
      <c r="F970" s="2" t="str">
        <f>IFERROR(INDEX(Movimientos!$G$2:$G$1993,MATCH(A970&amp;"ENTRADA",Movimientos!$R$2:$R$1993,0)),"-")</f>
        <v>-</v>
      </c>
      <c r="G970" s="2" t="str">
        <f>IFERROR(INDEX(Movimientos!$L$2:$L$1993,MATCH(A970&amp;"ENTRADA",Movimientos!$R$2:$R$1993,0)),"-")</f>
        <v>-</v>
      </c>
      <c r="H970" s="17" t="str">
        <f>IFERROR(IF(INDEX(Movimientos!$M$2:$M$1993,MATCH(A970&amp;"ENTRADA",Movimientos!$R$2:$R$1993,0))=0,"S/D",INDEX(Movimientos!$M$2:$M$1993,MATCH(A970&amp;"ENTRADA",Movimientos!$R$2:$R$1993,0))),"S/D")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3277</v>
      </c>
      <c r="B971" s="2" t="str">
        <f>IFERROR(INDEX(Movimientos!$C$2:$C$1993,MATCH(A971&amp;"ENTRADA",Movimientos!$R$2:$R$1993,0)),"-")</f>
        <v>-</v>
      </c>
      <c r="C971" s="2" t="str">
        <f>IFERROR(INDEX(Movimientos!$D$2:$D$1993,MATCH(A971&amp;"ENTRADA",Movimientos!$R$2:$R$1993,0)),"-")</f>
        <v>-</v>
      </c>
      <c r="D971" s="2" t="str">
        <f>IFERROR(INDEX(Movimientos!$E$2:$E$1993,MATCH(A971&amp;"ENTRADA",Movimientos!$R$2:$R$1993,0)),"-")</f>
        <v>-</v>
      </c>
      <c r="E971" s="2" t="str">
        <f>IFERROR(INDEX(Movimientos!$F$2:$F$1993,MATCH(A971&amp;"ENTRADA",Movimientos!$R$2:$R$1993,0)),"-")</f>
        <v>-</v>
      </c>
      <c r="F971" s="2" t="str">
        <f>IFERROR(INDEX(Movimientos!$G$2:$G$1993,MATCH(A971&amp;"ENTRADA",Movimientos!$R$2:$R$1993,0)),"-")</f>
        <v>-</v>
      </c>
      <c r="G971" s="2" t="str">
        <f>IFERROR(INDEX(Movimientos!$L$2:$L$1993,MATCH(A971&amp;"ENTRADA",Movimientos!$R$2:$R$1993,0)),"-")</f>
        <v>-</v>
      </c>
      <c r="H971" s="17" t="str">
        <f>IFERROR(IF(INDEX(Movimientos!$M$2:$M$1993,MATCH(A971&amp;"ENTRADA",Movimientos!$R$2:$R$1993,0))=0,"S/D",INDEX(Movimientos!$M$2:$M$1993,MATCH(A971&amp;"ENTRADA",Movimientos!$R$2:$R$1993,0))),"S/D")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3278</v>
      </c>
      <c r="B972" s="2" t="str">
        <f>IFERROR(INDEX(Movimientos!$C$2:$C$1993,MATCH(A972&amp;"ENTRADA",Movimientos!$R$2:$R$1993,0)),"-")</f>
        <v>-</v>
      </c>
      <c r="C972" s="2" t="str">
        <f>IFERROR(INDEX(Movimientos!$D$2:$D$1993,MATCH(A972&amp;"ENTRADA",Movimientos!$R$2:$R$1993,0)),"-")</f>
        <v>-</v>
      </c>
      <c r="D972" s="2" t="str">
        <f>IFERROR(INDEX(Movimientos!$E$2:$E$1993,MATCH(A972&amp;"ENTRADA",Movimientos!$R$2:$R$1993,0)),"-")</f>
        <v>-</v>
      </c>
      <c r="E972" s="2" t="str">
        <f>IFERROR(INDEX(Movimientos!$F$2:$F$1993,MATCH(A972&amp;"ENTRADA",Movimientos!$R$2:$R$1993,0)),"-")</f>
        <v>-</v>
      </c>
      <c r="F972" s="2" t="str">
        <f>IFERROR(INDEX(Movimientos!$G$2:$G$1993,MATCH(A972&amp;"ENTRADA",Movimientos!$R$2:$R$1993,0)),"-")</f>
        <v>-</v>
      </c>
      <c r="G972" s="2" t="str">
        <f>IFERROR(INDEX(Movimientos!$L$2:$L$1993,MATCH(A972&amp;"ENTRADA",Movimientos!$R$2:$R$1993,0)),"-")</f>
        <v>-</v>
      </c>
      <c r="H972" s="17" t="str">
        <f>IFERROR(IF(INDEX(Movimientos!$M$2:$M$1993,MATCH(A972&amp;"ENTRADA",Movimientos!$R$2:$R$1993,0))=0,"S/D",INDEX(Movimientos!$M$2:$M$1993,MATCH(A972&amp;"ENTRADA",Movimientos!$R$2:$R$1993,0))),"S/D")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3279</v>
      </c>
      <c r="B973" s="2" t="str">
        <f>IFERROR(INDEX(Movimientos!$C$2:$C$1993,MATCH(A973&amp;"ENTRADA",Movimientos!$R$2:$R$1993,0)),"-")</f>
        <v>-</v>
      </c>
      <c r="C973" s="2" t="str">
        <f>IFERROR(INDEX(Movimientos!$D$2:$D$1993,MATCH(A973&amp;"ENTRADA",Movimientos!$R$2:$R$1993,0)),"-")</f>
        <v>-</v>
      </c>
      <c r="D973" s="2" t="str">
        <f>IFERROR(INDEX(Movimientos!$E$2:$E$1993,MATCH(A973&amp;"ENTRADA",Movimientos!$R$2:$R$1993,0)),"-")</f>
        <v>-</v>
      </c>
      <c r="E973" s="2" t="str">
        <f>IFERROR(INDEX(Movimientos!$F$2:$F$1993,MATCH(A973&amp;"ENTRADA",Movimientos!$R$2:$R$1993,0)),"-")</f>
        <v>-</v>
      </c>
      <c r="F973" s="2" t="str">
        <f>IFERROR(INDEX(Movimientos!$G$2:$G$1993,MATCH(A973&amp;"ENTRADA",Movimientos!$R$2:$R$1993,0)),"-")</f>
        <v>-</v>
      </c>
      <c r="G973" s="2" t="str">
        <f>IFERROR(INDEX(Movimientos!$L$2:$L$1993,MATCH(A973&amp;"ENTRADA",Movimientos!$R$2:$R$1993,0)),"-")</f>
        <v>-</v>
      </c>
      <c r="H973" s="17" t="str">
        <f>IFERROR(IF(INDEX(Movimientos!$M$2:$M$1993,MATCH(A973&amp;"ENTRADA",Movimientos!$R$2:$R$1993,0))=0,"S/D",INDEX(Movimientos!$M$2:$M$1993,MATCH(A973&amp;"ENTRADA",Movimientos!$R$2:$R$1993,0))),"S/D")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3280</v>
      </c>
      <c r="B974" s="2" t="str">
        <f>IFERROR(INDEX(Movimientos!$C$2:$C$1993,MATCH(A974&amp;"ENTRADA",Movimientos!$R$2:$R$1993,0)),"-")</f>
        <v>-</v>
      </c>
      <c r="C974" s="2" t="str">
        <f>IFERROR(INDEX(Movimientos!$D$2:$D$1993,MATCH(A974&amp;"ENTRADA",Movimientos!$R$2:$R$1993,0)),"-")</f>
        <v>-</v>
      </c>
      <c r="D974" s="2" t="str">
        <f>IFERROR(INDEX(Movimientos!$E$2:$E$1993,MATCH(A974&amp;"ENTRADA",Movimientos!$R$2:$R$1993,0)),"-")</f>
        <v>-</v>
      </c>
      <c r="E974" s="2" t="str">
        <f>IFERROR(INDEX(Movimientos!$F$2:$F$1993,MATCH(A974&amp;"ENTRADA",Movimientos!$R$2:$R$1993,0)),"-")</f>
        <v>-</v>
      </c>
      <c r="F974" s="2" t="str">
        <f>IFERROR(INDEX(Movimientos!$G$2:$G$1993,MATCH(A974&amp;"ENTRADA",Movimientos!$R$2:$R$1993,0)),"-")</f>
        <v>-</v>
      </c>
      <c r="G974" s="2" t="str">
        <f>IFERROR(INDEX(Movimientos!$L$2:$L$1993,MATCH(A974&amp;"ENTRADA",Movimientos!$R$2:$R$1993,0)),"-")</f>
        <v>-</v>
      </c>
      <c r="H974" s="17" t="str">
        <f>IFERROR(IF(INDEX(Movimientos!$M$2:$M$1993,MATCH(A974&amp;"ENTRADA",Movimientos!$R$2:$R$1993,0))=0,"S/D",INDEX(Movimientos!$M$2:$M$1993,MATCH(A974&amp;"ENTRADA",Movimientos!$R$2:$R$1993,0))),"S/D")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3281</v>
      </c>
      <c r="B975" s="2" t="str">
        <f>IFERROR(INDEX(Movimientos!$C$2:$C$1993,MATCH(A975&amp;"ENTRADA",Movimientos!$R$2:$R$1993,0)),"-")</f>
        <v>-</v>
      </c>
      <c r="C975" s="2" t="str">
        <f>IFERROR(INDEX(Movimientos!$D$2:$D$1993,MATCH(A975&amp;"ENTRADA",Movimientos!$R$2:$R$1993,0)),"-")</f>
        <v>-</v>
      </c>
      <c r="D975" s="2" t="str">
        <f>IFERROR(INDEX(Movimientos!$E$2:$E$1993,MATCH(A975&amp;"ENTRADA",Movimientos!$R$2:$R$1993,0)),"-")</f>
        <v>-</v>
      </c>
      <c r="E975" s="2" t="str">
        <f>IFERROR(INDEX(Movimientos!$F$2:$F$1993,MATCH(A975&amp;"ENTRADA",Movimientos!$R$2:$R$1993,0)),"-")</f>
        <v>-</v>
      </c>
      <c r="F975" s="2" t="str">
        <f>IFERROR(INDEX(Movimientos!$G$2:$G$1993,MATCH(A975&amp;"ENTRADA",Movimientos!$R$2:$R$1993,0)),"-")</f>
        <v>-</v>
      </c>
      <c r="G975" s="2" t="str">
        <f>IFERROR(INDEX(Movimientos!$L$2:$L$1993,MATCH(A975&amp;"ENTRADA",Movimientos!$R$2:$R$1993,0)),"-")</f>
        <v>-</v>
      </c>
      <c r="H975" s="17" t="str">
        <f>IFERROR(IF(INDEX(Movimientos!$M$2:$M$1993,MATCH(A975&amp;"ENTRADA",Movimientos!$R$2:$R$1993,0))=0,"S/D",INDEX(Movimientos!$M$2:$M$1993,MATCH(A975&amp;"ENTRADA",Movimientos!$R$2:$R$1993,0))),"S/D")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3282</v>
      </c>
      <c r="B976" s="2" t="str">
        <f>IFERROR(INDEX(Movimientos!$C$2:$C$1993,MATCH(A976&amp;"ENTRADA",Movimientos!$R$2:$R$1993,0)),"-")</f>
        <v>-</v>
      </c>
      <c r="C976" s="2" t="str">
        <f>IFERROR(INDEX(Movimientos!$D$2:$D$1993,MATCH(A976&amp;"ENTRADA",Movimientos!$R$2:$R$1993,0)),"-")</f>
        <v>-</v>
      </c>
      <c r="D976" s="2" t="str">
        <f>IFERROR(INDEX(Movimientos!$E$2:$E$1993,MATCH(A976&amp;"ENTRADA",Movimientos!$R$2:$R$1993,0)),"-")</f>
        <v>-</v>
      </c>
      <c r="E976" s="2" t="str">
        <f>IFERROR(INDEX(Movimientos!$F$2:$F$1993,MATCH(A976&amp;"ENTRADA",Movimientos!$R$2:$R$1993,0)),"-")</f>
        <v>-</v>
      </c>
      <c r="F976" s="2" t="str">
        <f>IFERROR(INDEX(Movimientos!$G$2:$G$1993,MATCH(A976&amp;"ENTRADA",Movimientos!$R$2:$R$1993,0)),"-")</f>
        <v>-</v>
      </c>
      <c r="G976" s="2" t="str">
        <f>IFERROR(INDEX(Movimientos!$L$2:$L$1993,MATCH(A976&amp;"ENTRADA",Movimientos!$R$2:$R$1993,0)),"-")</f>
        <v>-</v>
      </c>
      <c r="H976" s="17" t="str">
        <f>IFERROR(IF(INDEX(Movimientos!$M$2:$M$1993,MATCH(A976&amp;"ENTRADA",Movimientos!$R$2:$R$1993,0))=0,"S/D",INDEX(Movimientos!$M$2:$M$1993,MATCH(A976&amp;"ENTRADA",Movimientos!$R$2:$R$1993,0))),"S/D")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3283</v>
      </c>
      <c r="B977" s="2" t="str">
        <f>IFERROR(INDEX(Movimientos!$C$2:$C$1993,MATCH(A977&amp;"ENTRADA",Movimientos!$R$2:$R$1993,0)),"-")</f>
        <v>-</v>
      </c>
      <c r="C977" s="2" t="str">
        <f>IFERROR(INDEX(Movimientos!$D$2:$D$1993,MATCH(A977&amp;"ENTRADA",Movimientos!$R$2:$R$1993,0)),"-")</f>
        <v>-</v>
      </c>
      <c r="D977" s="2" t="str">
        <f>IFERROR(INDEX(Movimientos!$E$2:$E$1993,MATCH(A977&amp;"ENTRADA",Movimientos!$R$2:$R$1993,0)),"-")</f>
        <v>-</v>
      </c>
      <c r="E977" s="2" t="str">
        <f>IFERROR(INDEX(Movimientos!$F$2:$F$1993,MATCH(A977&amp;"ENTRADA",Movimientos!$R$2:$R$1993,0)),"-")</f>
        <v>-</v>
      </c>
      <c r="F977" s="2" t="str">
        <f>IFERROR(INDEX(Movimientos!$G$2:$G$1993,MATCH(A977&amp;"ENTRADA",Movimientos!$R$2:$R$1993,0)),"-")</f>
        <v>-</v>
      </c>
      <c r="G977" s="2" t="str">
        <f>IFERROR(INDEX(Movimientos!$L$2:$L$1993,MATCH(A977&amp;"ENTRADA",Movimientos!$R$2:$R$1993,0)),"-")</f>
        <v>-</v>
      </c>
      <c r="H977" s="17" t="str">
        <f>IFERROR(IF(INDEX(Movimientos!$M$2:$M$1993,MATCH(A977&amp;"ENTRADA",Movimientos!$R$2:$R$1993,0))=0,"S/D",INDEX(Movimientos!$M$2:$M$1993,MATCH(A977&amp;"ENTRADA",Movimientos!$R$2:$R$1993,0))),"S/D")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3284</v>
      </c>
      <c r="B978" s="2" t="str">
        <f>IFERROR(INDEX(Movimientos!$C$2:$C$1993,MATCH(A978&amp;"ENTRADA",Movimientos!$R$2:$R$1993,0)),"-")</f>
        <v>-</v>
      </c>
      <c r="C978" s="2" t="str">
        <f>IFERROR(INDEX(Movimientos!$D$2:$D$1993,MATCH(A978&amp;"ENTRADA",Movimientos!$R$2:$R$1993,0)),"-")</f>
        <v>-</v>
      </c>
      <c r="D978" s="2" t="str">
        <f>IFERROR(INDEX(Movimientos!$E$2:$E$1993,MATCH(A978&amp;"ENTRADA",Movimientos!$R$2:$R$1993,0)),"-")</f>
        <v>-</v>
      </c>
      <c r="E978" s="2" t="str">
        <f>IFERROR(INDEX(Movimientos!$F$2:$F$1993,MATCH(A978&amp;"ENTRADA",Movimientos!$R$2:$R$1993,0)),"-")</f>
        <v>-</v>
      </c>
      <c r="F978" s="2" t="str">
        <f>IFERROR(INDEX(Movimientos!$G$2:$G$1993,MATCH(A978&amp;"ENTRADA",Movimientos!$R$2:$R$1993,0)),"-")</f>
        <v>-</v>
      </c>
      <c r="G978" s="2" t="str">
        <f>IFERROR(INDEX(Movimientos!$L$2:$L$1993,MATCH(A978&amp;"ENTRADA",Movimientos!$R$2:$R$1993,0)),"-")</f>
        <v>-</v>
      </c>
      <c r="H978" s="17" t="str">
        <f>IFERROR(IF(INDEX(Movimientos!$M$2:$M$1993,MATCH(A978&amp;"ENTRADA",Movimientos!$R$2:$R$1993,0))=0,"S/D",INDEX(Movimientos!$M$2:$M$1993,MATCH(A978&amp;"ENTRADA",Movimientos!$R$2:$R$1993,0))),"S/D")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3285</v>
      </c>
      <c r="B979" s="2" t="str">
        <f>IFERROR(INDEX(Movimientos!$C$2:$C$1993,MATCH(A979&amp;"ENTRADA",Movimientos!$R$2:$R$1993,0)),"-")</f>
        <v>-</v>
      </c>
      <c r="C979" s="2" t="str">
        <f>IFERROR(INDEX(Movimientos!$D$2:$D$1993,MATCH(A979&amp;"ENTRADA",Movimientos!$R$2:$R$1993,0)),"-")</f>
        <v>-</v>
      </c>
      <c r="D979" s="2" t="str">
        <f>IFERROR(INDEX(Movimientos!$E$2:$E$1993,MATCH(A979&amp;"ENTRADA",Movimientos!$R$2:$R$1993,0)),"-")</f>
        <v>-</v>
      </c>
      <c r="E979" s="2" t="str">
        <f>IFERROR(INDEX(Movimientos!$F$2:$F$1993,MATCH(A979&amp;"ENTRADA",Movimientos!$R$2:$R$1993,0)),"-")</f>
        <v>-</v>
      </c>
      <c r="F979" s="2" t="str">
        <f>IFERROR(INDEX(Movimientos!$G$2:$G$1993,MATCH(A979&amp;"ENTRADA",Movimientos!$R$2:$R$1993,0)),"-")</f>
        <v>-</v>
      </c>
      <c r="G979" s="2" t="str">
        <f>IFERROR(INDEX(Movimientos!$L$2:$L$1993,MATCH(A979&amp;"ENTRADA",Movimientos!$R$2:$R$1993,0)),"-")</f>
        <v>-</v>
      </c>
      <c r="H979" s="17" t="str">
        <f>IFERROR(IF(INDEX(Movimientos!$M$2:$M$1993,MATCH(A979&amp;"ENTRADA",Movimientos!$R$2:$R$1993,0))=0,"S/D",INDEX(Movimientos!$M$2:$M$1993,MATCH(A979&amp;"ENTRADA",Movimientos!$R$2:$R$1993,0))),"S/D")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3286</v>
      </c>
      <c r="B980" s="2" t="str">
        <f>IFERROR(INDEX(Movimientos!$C$2:$C$1993,MATCH(A980&amp;"ENTRADA",Movimientos!$R$2:$R$1993,0)),"-")</f>
        <v>-</v>
      </c>
      <c r="C980" s="2" t="str">
        <f>IFERROR(INDEX(Movimientos!$D$2:$D$1993,MATCH(A980&amp;"ENTRADA",Movimientos!$R$2:$R$1993,0)),"-")</f>
        <v>-</v>
      </c>
      <c r="D980" s="2" t="str">
        <f>IFERROR(INDEX(Movimientos!$E$2:$E$1993,MATCH(A980&amp;"ENTRADA",Movimientos!$R$2:$R$1993,0)),"-")</f>
        <v>-</v>
      </c>
      <c r="E980" s="2" t="str">
        <f>IFERROR(INDEX(Movimientos!$F$2:$F$1993,MATCH(A980&amp;"ENTRADA",Movimientos!$R$2:$R$1993,0)),"-")</f>
        <v>-</v>
      </c>
      <c r="F980" s="2" t="str">
        <f>IFERROR(INDEX(Movimientos!$G$2:$G$1993,MATCH(A980&amp;"ENTRADA",Movimientos!$R$2:$R$1993,0)),"-")</f>
        <v>-</v>
      </c>
      <c r="G980" s="2" t="str">
        <f>IFERROR(INDEX(Movimientos!$L$2:$L$1993,MATCH(A980&amp;"ENTRADA",Movimientos!$R$2:$R$1993,0)),"-")</f>
        <v>-</v>
      </c>
      <c r="H980" s="17" t="str">
        <f>IFERROR(IF(INDEX(Movimientos!$M$2:$M$1993,MATCH(A980&amp;"ENTRADA",Movimientos!$R$2:$R$1993,0))=0,"S/D",INDEX(Movimientos!$M$2:$M$1993,MATCH(A980&amp;"ENTRADA",Movimientos!$R$2:$R$1993,0))),"S/D")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3287</v>
      </c>
      <c r="B981" s="2" t="str">
        <f>IFERROR(INDEX(Movimientos!$C$2:$C$1993,MATCH(A981&amp;"ENTRADA",Movimientos!$R$2:$R$1993,0)),"-")</f>
        <v>-</v>
      </c>
      <c r="C981" s="2" t="str">
        <f>IFERROR(INDEX(Movimientos!$D$2:$D$1993,MATCH(A981&amp;"ENTRADA",Movimientos!$R$2:$R$1993,0)),"-")</f>
        <v>-</v>
      </c>
      <c r="D981" s="2" t="str">
        <f>IFERROR(INDEX(Movimientos!$E$2:$E$1993,MATCH(A981&amp;"ENTRADA",Movimientos!$R$2:$R$1993,0)),"-")</f>
        <v>-</v>
      </c>
      <c r="E981" s="2" t="str">
        <f>IFERROR(INDEX(Movimientos!$F$2:$F$1993,MATCH(A981&amp;"ENTRADA",Movimientos!$R$2:$R$1993,0)),"-")</f>
        <v>-</v>
      </c>
      <c r="F981" s="2" t="str">
        <f>IFERROR(INDEX(Movimientos!$G$2:$G$1993,MATCH(A981&amp;"ENTRADA",Movimientos!$R$2:$R$1993,0)),"-")</f>
        <v>-</v>
      </c>
      <c r="G981" s="2" t="str">
        <f>IFERROR(INDEX(Movimientos!$L$2:$L$1993,MATCH(A981&amp;"ENTRADA",Movimientos!$R$2:$R$1993,0)),"-")</f>
        <v>-</v>
      </c>
      <c r="H981" s="17" t="str">
        <f>IFERROR(IF(INDEX(Movimientos!$M$2:$M$1993,MATCH(A981&amp;"ENTRADA",Movimientos!$R$2:$R$1993,0))=0,"S/D",INDEX(Movimientos!$M$2:$M$1993,MATCH(A981&amp;"ENTRADA",Movimientos!$R$2:$R$1993,0))),"S/D")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3288</v>
      </c>
      <c r="B982" s="2" t="str">
        <f>IFERROR(INDEX(Movimientos!$C$2:$C$1993,MATCH(A982&amp;"ENTRADA",Movimientos!$R$2:$R$1993,0)),"-")</f>
        <v>-</v>
      </c>
      <c r="C982" s="2" t="str">
        <f>IFERROR(INDEX(Movimientos!$D$2:$D$1993,MATCH(A982&amp;"ENTRADA",Movimientos!$R$2:$R$1993,0)),"-")</f>
        <v>-</v>
      </c>
      <c r="D982" s="2" t="str">
        <f>IFERROR(INDEX(Movimientos!$E$2:$E$1993,MATCH(A982&amp;"ENTRADA",Movimientos!$R$2:$R$1993,0)),"-")</f>
        <v>-</v>
      </c>
      <c r="E982" s="2" t="str">
        <f>IFERROR(INDEX(Movimientos!$F$2:$F$1993,MATCH(A982&amp;"ENTRADA",Movimientos!$R$2:$R$1993,0)),"-")</f>
        <v>-</v>
      </c>
      <c r="F982" s="2" t="str">
        <f>IFERROR(INDEX(Movimientos!$G$2:$G$1993,MATCH(A982&amp;"ENTRADA",Movimientos!$R$2:$R$1993,0)),"-")</f>
        <v>-</v>
      </c>
      <c r="G982" s="2" t="str">
        <f>IFERROR(INDEX(Movimientos!$L$2:$L$1993,MATCH(A982&amp;"ENTRADA",Movimientos!$R$2:$R$1993,0)),"-")</f>
        <v>-</v>
      </c>
      <c r="H982" s="17" t="str">
        <f>IFERROR(IF(INDEX(Movimientos!$M$2:$M$1993,MATCH(A982&amp;"ENTRADA",Movimientos!$R$2:$R$1993,0))=0,"S/D",INDEX(Movimientos!$M$2:$M$1993,MATCH(A982&amp;"ENTRADA",Movimientos!$R$2:$R$1993,0))),"S/D")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3289</v>
      </c>
      <c r="B983" s="2" t="str">
        <f>IFERROR(INDEX(Movimientos!$C$2:$C$1993,MATCH(A983&amp;"ENTRADA",Movimientos!$R$2:$R$1993,0)),"-")</f>
        <v>-</v>
      </c>
      <c r="C983" s="2" t="str">
        <f>IFERROR(INDEX(Movimientos!$D$2:$D$1993,MATCH(A983&amp;"ENTRADA",Movimientos!$R$2:$R$1993,0)),"-")</f>
        <v>-</v>
      </c>
      <c r="D983" s="2" t="str">
        <f>IFERROR(INDEX(Movimientos!$E$2:$E$1993,MATCH(A983&amp;"ENTRADA",Movimientos!$R$2:$R$1993,0)),"-")</f>
        <v>-</v>
      </c>
      <c r="E983" s="2" t="str">
        <f>IFERROR(INDEX(Movimientos!$F$2:$F$1993,MATCH(A983&amp;"ENTRADA",Movimientos!$R$2:$R$1993,0)),"-")</f>
        <v>-</v>
      </c>
      <c r="F983" s="2" t="str">
        <f>IFERROR(INDEX(Movimientos!$G$2:$G$1993,MATCH(A983&amp;"ENTRADA",Movimientos!$R$2:$R$1993,0)),"-")</f>
        <v>-</v>
      </c>
      <c r="G983" s="2" t="str">
        <f>IFERROR(INDEX(Movimientos!$L$2:$L$1993,MATCH(A983&amp;"ENTRADA",Movimientos!$R$2:$R$1993,0)),"-")</f>
        <v>-</v>
      </c>
      <c r="H983" s="17" t="str">
        <f>IFERROR(IF(INDEX(Movimientos!$M$2:$M$1993,MATCH(A983&amp;"ENTRADA",Movimientos!$R$2:$R$1993,0))=0,"S/D",INDEX(Movimientos!$M$2:$M$1993,MATCH(A983&amp;"ENTRADA",Movimientos!$R$2:$R$1993,0))),"S/D")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3290</v>
      </c>
      <c r="B984" s="2" t="str">
        <f>IFERROR(INDEX(Movimientos!$C$2:$C$1993,MATCH(A984&amp;"ENTRADA",Movimientos!$R$2:$R$1993,0)),"-")</f>
        <v>-</v>
      </c>
      <c r="C984" s="2" t="str">
        <f>IFERROR(INDEX(Movimientos!$D$2:$D$1993,MATCH(A984&amp;"ENTRADA",Movimientos!$R$2:$R$1993,0)),"-")</f>
        <v>-</v>
      </c>
      <c r="D984" s="2" t="str">
        <f>IFERROR(INDEX(Movimientos!$E$2:$E$1993,MATCH(A984&amp;"ENTRADA",Movimientos!$R$2:$R$1993,0)),"-")</f>
        <v>-</v>
      </c>
      <c r="E984" s="2" t="str">
        <f>IFERROR(INDEX(Movimientos!$F$2:$F$1993,MATCH(A984&amp;"ENTRADA",Movimientos!$R$2:$R$1993,0)),"-")</f>
        <v>-</v>
      </c>
      <c r="F984" s="2" t="str">
        <f>IFERROR(INDEX(Movimientos!$G$2:$G$1993,MATCH(A984&amp;"ENTRADA",Movimientos!$R$2:$R$1993,0)),"-")</f>
        <v>-</v>
      </c>
      <c r="G984" s="2" t="str">
        <f>IFERROR(INDEX(Movimientos!$L$2:$L$1993,MATCH(A984&amp;"ENTRADA",Movimientos!$R$2:$R$1993,0)),"-")</f>
        <v>-</v>
      </c>
      <c r="H984" s="17" t="str">
        <f>IFERROR(IF(INDEX(Movimientos!$M$2:$M$1993,MATCH(A984&amp;"ENTRADA",Movimientos!$R$2:$R$1993,0))=0,"S/D",INDEX(Movimientos!$M$2:$M$1993,MATCH(A984&amp;"ENTRADA",Movimientos!$R$2:$R$1993,0))),"S/D")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3291</v>
      </c>
      <c r="B985" s="2" t="str">
        <f>IFERROR(INDEX(Movimientos!$C$2:$C$1993,MATCH(A985&amp;"ENTRADA",Movimientos!$R$2:$R$1993,0)),"-")</f>
        <v>-</v>
      </c>
      <c r="C985" s="2" t="str">
        <f>IFERROR(INDEX(Movimientos!$D$2:$D$1993,MATCH(A985&amp;"ENTRADA",Movimientos!$R$2:$R$1993,0)),"-")</f>
        <v>-</v>
      </c>
      <c r="D985" s="2" t="str">
        <f>IFERROR(INDEX(Movimientos!$E$2:$E$1993,MATCH(A985&amp;"ENTRADA",Movimientos!$R$2:$R$1993,0)),"-")</f>
        <v>-</v>
      </c>
      <c r="E985" s="2" t="str">
        <f>IFERROR(INDEX(Movimientos!$F$2:$F$1993,MATCH(A985&amp;"ENTRADA",Movimientos!$R$2:$R$1993,0)),"-")</f>
        <v>-</v>
      </c>
      <c r="F985" s="2" t="str">
        <f>IFERROR(INDEX(Movimientos!$G$2:$G$1993,MATCH(A985&amp;"ENTRADA",Movimientos!$R$2:$R$1993,0)),"-")</f>
        <v>-</v>
      </c>
      <c r="G985" s="2" t="str">
        <f>IFERROR(INDEX(Movimientos!$L$2:$L$1993,MATCH(A985&amp;"ENTRADA",Movimientos!$R$2:$R$1993,0)),"-")</f>
        <v>-</v>
      </c>
      <c r="H985" s="17" t="str">
        <f>IFERROR(IF(INDEX(Movimientos!$M$2:$M$1993,MATCH(A985&amp;"ENTRADA",Movimientos!$R$2:$R$1993,0))=0,"S/D",INDEX(Movimientos!$M$2:$M$1993,MATCH(A985&amp;"ENTRADA",Movimientos!$R$2:$R$1993,0))),"S/D")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3292</v>
      </c>
      <c r="B986" s="2" t="str">
        <f>IFERROR(INDEX(Movimientos!$C$2:$C$1993,MATCH(A986&amp;"ENTRADA",Movimientos!$R$2:$R$1993,0)),"-")</f>
        <v>-</v>
      </c>
      <c r="C986" s="2" t="str">
        <f>IFERROR(INDEX(Movimientos!$D$2:$D$1993,MATCH(A986&amp;"ENTRADA",Movimientos!$R$2:$R$1993,0)),"-")</f>
        <v>-</v>
      </c>
      <c r="D986" s="2" t="str">
        <f>IFERROR(INDEX(Movimientos!$E$2:$E$1993,MATCH(A986&amp;"ENTRADA",Movimientos!$R$2:$R$1993,0)),"-")</f>
        <v>-</v>
      </c>
      <c r="E986" s="2" t="str">
        <f>IFERROR(INDEX(Movimientos!$F$2:$F$1993,MATCH(A986&amp;"ENTRADA",Movimientos!$R$2:$R$1993,0)),"-")</f>
        <v>-</v>
      </c>
      <c r="F986" s="2" t="str">
        <f>IFERROR(INDEX(Movimientos!$G$2:$G$1993,MATCH(A986&amp;"ENTRADA",Movimientos!$R$2:$R$1993,0)),"-")</f>
        <v>-</v>
      </c>
      <c r="G986" s="2" t="str">
        <f>IFERROR(INDEX(Movimientos!$L$2:$L$1993,MATCH(A986&amp;"ENTRADA",Movimientos!$R$2:$R$1993,0)),"-")</f>
        <v>-</v>
      </c>
      <c r="H986" s="17" t="str">
        <f>IFERROR(IF(INDEX(Movimientos!$M$2:$M$1993,MATCH(A986&amp;"ENTRADA",Movimientos!$R$2:$R$1993,0))=0,"S/D",INDEX(Movimientos!$M$2:$M$1993,MATCH(A986&amp;"ENTRADA",Movimientos!$R$2:$R$1993,0))),"S/D")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3293</v>
      </c>
      <c r="B987" s="2" t="str">
        <f>IFERROR(INDEX(Movimientos!$C$2:$C$1993,MATCH(A987&amp;"ENTRADA",Movimientos!$R$2:$R$1993,0)),"-")</f>
        <v>-</v>
      </c>
      <c r="C987" s="2" t="str">
        <f>IFERROR(INDEX(Movimientos!$D$2:$D$1993,MATCH(A987&amp;"ENTRADA",Movimientos!$R$2:$R$1993,0)),"-")</f>
        <v>-</v>
      </c>
      <c r="D987" s="2" t="str">
        <f>IFERROR(INDEX(Movimientos!$E$2:$E$1993,MATCH(A987&amp;"ENTRADA",Movimientos!$R$2:$R$1993,0)),"-")</f>
        <v>-</v>
      </c>
      <c r="E987" s="2" t="str">
        <f>IFERROR(INDEX(Movimientos!$F$2:$F$1993,MATCH(A987&amp;"ENTRADA",Movimientos!$R$2:$R$1993,0)),"-")</f>
        <v>-</v>
      </c>
      <c r="F987" s="2" t="str">
        <f>IFERROR(INDEX(Movimientos!$G$2:$G$1993,MATCH(A987&amp;"ENTRADA",Movimientos!$R$2:$R$1993,0)),"-")</f>
        <v>-</v>
      </c>
      <c r="G987" s="2" t="str">
        <f>IFERROR(INDEX(Movimientos!$L$2:$L$1993,MATCH(A987&amp;"ENTRADA",Movimientos!$R$2:$R$1993,0)),"-")</f>
        <v>-</v>
      </c>
      <c r="H987" s="17" t="str">
        <f>IFERROR(IF(INDEX(Movimientos!$M$2:$M$1993,MATCH(A987&amp;"ENTRADA",Movimientos!$R$2:$R$1993,0))=0,"S/D",INDEX(Movimientos!$M$2:$M$1993,MATCH(A987&amp;"ENTRADA",Movimientos!$R$2:$R$1993,0))),"S/D")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3294</v>
      </c>
      <c r="B988" s="2" t="str">
        <f>IFERROR(INDEX(Movimientos!$C$2:$C$1993,MATCH(A988&amp;"ENTRADA",Movimientos!$R$2:$R$1993,0)),"-")</f>
        <v>-</v>
      </c>
      <c r="C988" s="2" t="str">
        <f>IFERROR(INDEX(Movimientos!$D$2:$D$1993,MATCH(A988&amp;"ENTRADA",Movimientos!$R$2:$R$1993,0)),"-")</f>
        <v>-</v>
      </c>
      <c r="D988" s="2" t="str">
        <f>IFERROR(INDEX(Movimientos!$E$2:$E$1993,MATCH(A988&amp;"ENTRADA",Movimientos!$R$2:$R$1993,0)),"-")</f>
        <v>-</v>
      </c>
      <c r="E988" s="2" t="str">
        <f>IFERROR(INDEX(Movimientos!$F$2:$F$1993,MATCH(A988&amp;"ENTRADA",Movimientos!$R$2:$R$1993,0)),"-")</f>
        <v>-</v>
      </c>
      <c r="F988" s="2" t="str">
        <f>IFERROR(INDEX(Movimientos!$G$2:$G$1993,MATCH(A988&amp;"ENTRADA",Movimientos!$R$2:$R$1993,0)),"-")</f>
        <v>-</v>
      </c>
      <c r="G988" s="2" t="str">
        <f>IFERROR(INDEX(Movimientos!$L$2:$L$1993,MATCH(A988&amp;"ENTRADA",Movimientos!$R$2:$R$1993,0)),"-")</f>
        <v>-</v>
      </c>
      <c r="H988" s="17" t="str">
        <f>IFERROR(IF(INDEX(Movimientos!$M$2:$M$1993,MATCH(A988&amp;"ENTRADA",Movimientos!$R$2:$R$1993,0))=0,"S/D",INDEX(Movimientos!$M$2:$M$1993,MATCH(A988&amp;"ENTRADA",Movimientos!$R$2:$R$1993,0))),"S/D")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3295</v>
      </c>
      <c r="B989" s="2" t="str">
        <f>IFERROR(INDEX(Movimientos!$C$2:$C$1993,MATCH(A989&amp;"ENTRADA",Movimientos!$R$2:$R$1993,0)),"-")</f>
        <v>-</v>
      </c>
      <c r="C989" s="2" t="str">
        <f>IFERROR(INDEX(Movimientos!$D$2:$D$1993,MATCH(A989&amp;"ENTRADA",Movimientos!$R$2:$R$1993,0)),"-")</f>
        <v>-</v>
      </c>
      <c r="D989" s="2" t="str">
        <f>IFERROR(INDEX(Movimientos!$E$2:$E$1993,MATCH(A989&amp;"ENTRADA",Movimientos!$R$2:$R$1993,0)),"-")</f>
        <v>-</v>
      </c>
      <c r="E989" s="2" t="str">
        <f>IFERROR(INDEX(Movimientos!$F$2:$F$1993,MATCH(A989&amp;"ENTRADA",Movimientos!$R$2:$R$1993,0)),"-")</f>
        <v>-</v>
      </c>
      <c r="F989" s="2" t="str">
        <f>IFERROR(INDEX(Movimientos!$G$2:$G$1993,MATCH(A989&amp;"ENTRADA",Movimientos!$R$2:$R$1993,0)),"-")</f>
        <v>-</v>
      </c>
      <c r="G989" s="2" t="str">
        <f>IFERROR(INDEX(Movimientos!$L$2:$L$1993,MATCH(A989&amp;"ENTRADA",Movimientos!$R$2:$R$1993,0)),"-")</f>
        <v>-</v>
      </c>
      <c r="H989" s="17" t="str">
        <f>IFERROR(IF(INDEX(Movimientos!$M$2:$M$1993,MATCH(A989&amp;"ENTRADA",Movimientos!$R$2:$R$1993,0))=0,"S/D",INDEX(Movimientos!$M$2:$M$1993,MATCH(A989&amp;"ENTRADA",Movimientos!$R$2:$R$1993,0))),"S/D")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3296</v>
      </c>
      <c r="B990" s="2" t="str">
        <f>IFERROR(INDEX(Movimientos!$C$2:$C$1993,MATCH(A990&amp;"ENTRADA",Movimientos!$R$2:$R$1993,0)),"-")</f>
        <v>-</v>
      </c>
      <c r="C990" s="2" t="str">
        <f>IFERROR(INDEX(Movimientos!$D$2:$D$1993,MATCH(A990&amp;"ENTRADA",Movimientos!$R$2:$R$1993,0)),"-")</f>
        <v>-</v>
      </c>
      <c r="D990" s="2" t="str">
        <f>IFERROR(INDEX(Movimientos!$E$2:$E$1993,MATCH(A990&amp;"ENTRADA",Movimientos!$R$2:$R$1993,0)),"-")</f>
        <v>-</v>
      </c>
      <c r="E990" s="2" t="str">
        <f>IFERROR(INDEX(Movimientos!$F$2:$F$1993,MATCH(A990&amp;"ENTRADA",Movimientos!$R$2:$R$1993,0)),"-")</f>
        <v>-</v>
      </c>
      <c r="F990" s="2" t="str">
        <f>IFERROR(INDEX(Movimientos!$G$2:$G$1993,MATCH(A990&amp;"ENTRADA",Movimientos!$R$2:$R$1993,0)),"-")</f>
        <v>-</v>
      </c>
      <c r="G990" s="2" t="str">
        <f>IFERROR(INDEX(Movimientos!$L$2:$L$1993,MATCH(A990&amp;"ENTRADA",Movimientos!$R$2:$R$1993,0)),"-")</f>
        <v>-</v>
      </c>
      <c r="H990" s="17" t="str">
        <f>IFERROR(IF(INDEX(Movimientos!$M$2:$M$1993,MATCH(A990&amp;"ENTRADA",Movimientos!$R$2:$R$1993,0))=0,"S/D",INDEX(Movimientos!$M$2:$M$1993,MATCH(A990&amp;"ENTRADA",Movimientos!$R$2:$R$1993,0))),"S/D")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3297</v>
      </c>
      <c r="B991" s="2" t="str">
        <f>IFERROR(INDEX(Movimientos!$C$2:$C$1993,MATCH(A991&amp;"ENTRADA",Movimientos!$R$2:$R$1993,0)),"-")</f>
        <v>-</v>
      </c>
      <c r="C991" s="2" t="str">
        <f>IFERROR(INDEX(Movimientos!$D$2:$D$1993,MATCH(A991&amp;"ENTRADA",Movimientos!$R$2:$R$1993,0)),"-")</f>
        <v>-</v>
      </c>
      <c r="D991" s="2" t="str">
        <f>IFERROR(INDEX(Movimientos!$E$2:$E$1993,MATCH(A991&amp;"ENTRADA",Movimientos!$R$2:$R$1993,0)),"-")</f>
        <v>-</v>
      </c>
      <c r="E991" s="2" t="str">
        <f>IFERROR(INDEX(Movimientos!$F$2:$F$1993,MATCH(A991&amp;"ENTRADA",Movimientos!$R$2:$R$1993,0)),"-")</f>
        <v>-</v>
      </c>
      <c r="F991" s="2" t="str">
        <f>IFERROR(INDEX(Movimientos!$G$2:$G$1993,MATCH(A991&amp;"ENTRADA",Movimientos!$R$2:$R$1993,0)),"-")</f>
        <v>-</v>
      </c>
      <c r="G991" s="2" t="str">
        <f>IFERROR(INDEX(Movimientos!$L$2:$L$1993,MATCH(A991&amp;"ENTRADA",Movimientos!$R$2:$R$1993,0)),"-")</f>
        <v>-</v>
      </c>
      <c r="H991" s="17" t="str">
        <f>IFERROR(IF(INDEX(Movimientos!$M$2:$M$1993,MATCH(A991&amp;"ENTRADA",Movimientos!$R$2:$R$1993,0))=0,"S/D",INDEX(Movimientos!$M$2:$M$1993,MATCH(A991&amp;"ENTRADA",Movimientos!$R$2:$R$1993,0))),"S/D")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3298</v>
      </c>
      <c r="B992" s="2" t="str">
        <f>IFERROR(INDEX(Movimientos!$C$2:$C$1993,MATCH(A992&amp;"ENTRADA",Movimientos!$R$2:$R$1993,0)),"-")</f>
        <v>-</v>
      </c>
      <c r="C992" s="2" t="str">
        <f>IFERROR(INDEX(Movimientos!$D$2:$D$1993,MATCH(A992&amp;"ENTRADA",Movimientos!$R$2:$R$1993,0)),"-")</f>
        <v>-</v>
      </c>
      <c r="D992" s="2" t="str">
        <f>IFERROR(INDEX(Movimientos!$E$2:$E$1993,MATCH(A992&amp;"ENTRADA",Movimientos!$R$2:$R$1993,0)),"-")</f>
        <v>-</v>
      </c>
      <c r="E992" s="2" t="str">
        <f>IFERROR(INDEX(Movimientos!$F$2:$F$1993,MATCH(A992&amp;"ENTRADA",Movimientos!$R$2:$R$1993,0)),"-")</f>
        <v>-</v>
      </c>
      <c r="F992" s="2" t="str">
        <f>IFERROR(INDEX(Movimientos!$G$2:$G$1993,MATCH(A992&amp;"ENTRADA",Movimientos!$R$2:$R$1993,0)),"-")</f>
        <v>-</v>
      </c>
      <c r="G992" s="2" t="str">
        <f>IFERROR(INDEX(Movimientos!$L$2:$L$1993,MATCH(A992&amp;"ENTRADA",Movimientos!$R$2:$R$1993,0)),"-")</f>
        <v>-</v>
      </c>
      <c r="H992" s="17" t="str">
        <f>IFERROR(IF(INDEX(Movimientos!$M$2:$M$1993,MATCH(A992&amp;"ENTRADA",Movimientos!$R$2:$R$1993,0))=0,"S/D",INDEX(Movimientos!$M$2:$M$1993,MATCH(A992&amp;"ENTRADA",Movimientos!$R$2:$R$1993,0))),"S/D")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3299</v>
      </c>
      <c r="B993" s="2" t="str">
        <f>IFERROR(INDEX(Movimientos!$C$2:$C$1993,MATCH(A993&amp;"ENTRADA",Movimientos!$R$2:$R$1993,0)),"-")</f>
        <v>-</v>
      </c>
      <c r="C993" s="2" t="str">
        <f>IFERROR(INDEX(Movimientos!$D$2:$D$1993,MATCH(A993&amp;"ENTRADA",Movimientos!$R$2:$R$1993,0)),"-")</f>
        <v>-</v>
      </c>
      <c r="D993" s="2" t="str">
        <f>IFERROR(INDEX(Movimientos!$E$2:$E$1993,MATCH(A993&amp;"ENTRADA",Movimientos!$R$2:$R$1993,0)),"-")</f>
        <v>-</v>
      </c>
      <c r="E993" s="2" t="str">
        <f>IFERROR(INDEX(Movimientos!$F$2:$F$1993,MATCH(A993&amp;"ENTRADA",Movimientos!$R$2:$R$1993,0)),"-")</f>
        <v>-</v>
      </c>
      <c r="F993" s="2" t="str">
        <f>IFERROR(INDEX(Movimientos!$G$2:$G$1993,MATCH(A993&amp;"ENTRADA",Movimientos!$R$2:$R$1993,0)),"-")</f>
        <v>-</v>
      </c>
      <c r="G993" s="2" t="str">
        <f>IFERROR(INDEX(Movimientos!$L$2:$L$1993,MATCH(A993&amp;"ENTRADA",Movimientos!$R$2:$R$1993,0)),"-")</f>
        <v>-</v>
      </c>
      <c r="H993" s="17" t="str">
        <f>IFERROR(IF(INDEX(Movimientos!$M$2:$M$1993,MATCH(A993&amp;"ENTRADA",Movimientos!$R$2:$R$1993,0))=0,"S/D",INDEX(Movimientos!$M$2:$M$1993,MATCH(A993&amp;"ENTRADA",Movimientos!$R$2:$R$1993,0))),"S/D")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3300</v>
      </c>
      <c r="B994" s="2" t="str">
        <f>IFERROR(INDEX(Movimientos!$C$2:$C$1993,MATCH(A994&amp;"ENTRADA",Movimientos!$R$2:$R$1993,0)),"-")</f>
        <v>-</v>
      </c>
      <c r="C994" s="2" t="str">
        <f>IFERROR(INDEX(Movimientos!$D$2:$D$1993,MATCH(A994&amp;"ENTRADA",Movimientos!$R$2:$R$1993,0)),"-")</f>
        <v>-</v>
      </c>
      <c r="D994" s="2" t="str">
        <f>IFERROR(INDEX(Movimientos!$E$2:$E$1993,MATCH(A994&amp;"ENTRADA",Movimientos!$R$2:$R$1993,0)),"-")</f>
        <v>-</v>
      </c>
      <c r="E994" s="2" t="str">
        <f>IFERROR(INDEX(Movimientos!$F$2:$F$1993,MATCH(A994&amp;"ENTRADA",Movimientos!$R$2:$R$1993,0)),"-")</f>
        <v>-</v>
      </c>
      <c r="F994" s="2" t="str">
        <f>IFERROR(INDEX(Movimientos!$G$2:$G$1993,MATCH(A994&amp;"ENTRADA",Movimientos!$R$2:$R$1993,0)),"-")</f>
        <v>-</v>
      </c>
      <c r="G994" s="2" t="str">
        <f>IFERROR(INDEX(Movimientos!$L$2:$L$1993,MATCH(A994&amp;"ENTRADA",Movimientos!$R$2:$R$1993,0)),"-")</f>
        <v>-</v>
      </c>
      <c r="H994" s="17" t="str">
        <f>IFERROR(IF(INDEX(Movimientos!$M$2:$M$1993,MATCH(A994&amp;"ENTRADA",Movimientos!$R$2:$R$1993,0))=0,"S/D",INDEX(Movimientos!$M$2:$M$1993,MATCH(A994&amp;"ENTRADA",Movimientos!$R$2:$R$1993,0))),"S/D")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3301</v>
      </c>
      <c r="B995" s="2" t="str">
        <f>IFERROR(INDEX(Movimientos!$C$2:$C$1993,MATCH(A995&amp;"ENTRADA",Movimientos!$R$2:$R$1993,0)),"-")</f>
        <v>-</v>
      </c>
      <c r="C995" s="2" t="str">
        <f>IFERROR(INDEX(Movimientos!$D$2:$D$1993,MATCH(A995&amp;"ENTRADA",Movimientos!$R$2:$R$1993,0)),"-")</f>
        <v>-</v>
      </c>
      <c r="D995" s="2" t="str">
        <f>IFERROR(INDEX(Movimientos!$E$2:$E$1993,MATCH(A995&amp;"ENTRADA",Movimientos!$R$2:$R$1993,0)),"-")</f>
        <v>-</v>
      </c>
      <c r="E995" s="2" t="str">
        <f>IFERROR(INDEX(Movimientos!$F$2:$F$1993,MATCH(A995&amp;"ENTRADA",Movimientos!$R$2:$R$1993,0)),"-")</f>
        <v>-</v>
      </c>
      <c r="F995" s="2" t="str">
        <f>IFERROR(INDEX(Movimientos!$G$2:$G$1993,MATCH(A995&amp;"ENTRADA",Movimientos!$R$2:$R$1993,0)),"-")</f>
        <v>-</v>
      </c>
      <c r="G995" s="2" t="str">
        <f>IFERROR(INDEX(Movimientos!$L$2:$L$1993,MATCH(A995&amp;"ENTRADA",Movimientos!$R$2:$R$1993,0)),"-")</f>
        <v>-</v>
      </c>
      <c r="H995" s="17" t="str">
        <f>IFERROR(IF(INDEX(Movimientos!$M$2:$M$1993,MATCH(A995&amp;"ENTRADA",Movimientos!$R$2:$R$1993,0))=0,"S/D",INDEX(Movimientos!$M$2:$M$1993,MATCH(A995&amp;"ENTRADA",Movimientos!$R$2:$R$1993,0))),"S/D")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3302</v>
      </c>
      <c r="B996" s="2" t="str">
        <f>IFERROR(INDEX(Movimientos!$C$2:$C$1993,MATCH(A996&amp;"ENTRADA",Movimientos!$R$2:$R$1993,0)),"-")</f>
        <v>-</v>
      </c>
      <c r="C996" s="2" t="str">
        <f>IFERROR(INDEX(Movimientos!$D$2:$D$1993,MATCH(A996&amp;"ENTRADA",Movimientos!$R$2:$R$1993,0)),"-")</f>
        <v>-</v>
      </c>
      <c r="D996" s="2" t="str">
        <f>IFERROR(INDEX(Movimientos!$E$2:$E$1993,MATCH(A996&amp;"ENTRADA",Movimientos!$R$2:$R$1993,0)),"-")</f>
        <v>-</v>
      </c>
      <c r="E996" s="2" t="str">
        <f>IFERROR(INDEX(Movimientos!$F$2:$F$1993,MATCH(A996&amp;"ENTRADA",Movimientos!$R$2:$R$1993,0)),"-")</f>
        <v>-</v>
      </c>
      <c r="F996" s="2" t="str">
        <f>IFERROR(INDEX(Movimientos!$G$2:$G$1993,MATCH(A996&amp;"ENTRADA",Movimientos!$R$2:$R$1993,0)),"-")</f>
        <v>-</v>
      </c>
      <c r="G996" s="2" t="str">
        <f>IFERROR(INDEX(Movimientos!$L$2:$L$1993,MATCH(A996&amp;"ENTRADA",Movimientos!$R$2:$R$1993,0)),"-")</f>
        <v>-</v>
      </c>
      <c r="H996" s="17" t="str">
        <f>IFERROR(IF(INDEX(Movimientos!$M$2:$M$1993,MATCH(A996&amp;"ENTRADA",Movimientos!$R$2:$R$1993,0))=0,"S/D",INDEX(Movimientos!$M$2:$M$1993,MATCH(A996&amp;"ENTRADA",Movimientos!$R$2:$R$1993,0))),"S/D")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82"/>
  <sheetViews>
    <sheetView showGridLines="0" topLeftCell="A69" workbookViewId="0">
      <selection activeCell="C74" sqref="C74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2359</v>
      </c>
      <c r="B1" s="23" t="s">
        <v>3303</v>
      </c>
      <c r="C1" s="23" t="s">
        <v>4</v>
      </c>
      <c r="D1" s="23" t="s">
        <v>5</v>
      </c>
      <c r="E1" s="23" t="s">
        <v>6</v>
      </c>
      <c r="F1" s="23" t="s">
        <v>3304</v>
      </c>
      <c r="G1" s="23" t="s">
        <v>11</v>
      </c>
      <c r="H1" s="23" t="s">
        <v>3305</v>
      </c>
    </row>
    <row r="2" spans="1:8">
      <c r="A2" t="s">
        <v>23</v>
      </c>
      <c r="B2" t="s">
        <v>24</v>
      </c>
      <c r="C2" s="24" t="s">
        <v>3306</v>
      </c>
      <c r="D2" s="24" t="s">
        <v>3307</v>
      </c>
      <c r="E2" s="24" t="s">
        <v>36</v>
      </c>
      <c r="F2" s="24" t="s">
        <v>28</v>
      </c>
      <c r="G2" s="24" t="s">
        <v>37</v>
      </c>
      <c r="H2" s="10" t="s">
        <v>213</v>
      </c>
    </row>
    <row r="3" spans="1:8">
      <c r="A3" t="s">
        <v>32</v>
      </c>
      <c r="B3" t="s">
        <v>105</v>
      </c>
      <c r="C3" s="24" t="s">
        <v>516</v>
      </c>
      <c r="D3" s="24" t="s">
        <v>3308</v>
      </c>
      <c r="E3" s="24" t="s">
        <v>72</v>
      </c>
      <c r="F3" s="24" t="s">
        <v>65</v>
      </c>
      <c r="G3" s="24" t="s">
        <v>29</v>
      </c>
      <c r="H3" s="10" t="s">
        <v>152</v>
      </c>
    </row>
    <row r="4" spans="1:8">
      <c r="A4" t="s">
        <v>40</v>
      </c>
      <c r="B4" t="s">
        <v>41</v>
      </c>
      <c r="C4" s="24" t="s">
        <v>34</v>
      </c>
      <c r="D4" s="24" t="s">
        <v>3309</v>
      </c>
      <c r="E4" s="24" t="s">
        <v>77</v>
      </c>
      <c r="G4" s="24" t="s">
        <v>3310</v>
      </c>
      <c r="H4" s="10" t="s">
        <v>66</v>
      </c>
    </row>
    <row r="5" spans="1:8">
      <c r="A5" t="s">
        <v>44</v>
      </c>
      <c r="B5" t="s">
        <v>63</v>
      </c>
      <c r="C5" s="24" t="s">
        <v>25</v>
      </c>
      <c r="D5" s="24" t="s">
        <v>3311</v>
      </c>
      <c r="E5" s="10" t="s">
        <v>27</v>
      </c>
      <c r="G5" s="24" t="s">
        <v>3312</v>
      </c>
      <c r="H5" s="10" t="s">
        <v>382</v>
      </c>
    </row>
    <row r="6" spans="1:8">
      <c r="A6" t="s">
        <v>50</v>
      </c>
      <c r="B6" t="s">
        <v>280</v>
      </c>
      <c r="C6" s="24" t="s">
        <v>493</v>
      </c>
      <c r="D6" s="24" t="s">
        <v>46</v>
      </c>
      <c r="E6" s="24" t="s">
        <v>83</v>
      </c>
      <c r="G6" s="24" t="s">
        <v>73</v>
      </c>
      <c r="H6" s="10" t="s">
        <v>237</v>
      </c>
    </row>
    <row r="7" spans="1:8">
      <c r="A7" t="s">
        <v>54</v>
      </c>
      <c r="B7" t="s">
        <v>55</v>
      </c>
      <c r="C7" s="24" t="s">
        <v>285</v>
      </c>
      <c r="D7" s="24" t="s">
        <v>35</v>
      </c>
      <c r="E7" s="24" t="s">
        <v>117</v>
      </c>
      <c r="G7" s="24" t="s">
        <v>632</v>
      </c>
      <c r="H7" t="s">
        <v>218</v>
      </c>
    </row>
    <row r="8" spans="1:8">
      <c r="A8" t="s">
        <v>59</v>
      </c>
      <c r="B8" t="s">
        <v>60</v>
      </c>
      <c r="C8" s="24" t="s">
        <v>132</v>
      </c>
      <c r="D8" s="24" t="s">
        <v>3313</v>
      </c>
      <c r="E8" s="24" t="s">
        <v>133</v>
      </c>
      <c r="G8" s="24" t="s">
        <v>56</v>
      </c>
      <c r="H8" t="s">
        <v>309</v>
      </c>
    </row>
    <row r="9" spans="1:8">
      <c r="A9" t="s">
        <v>75</v>
      </c>
      <c r="B9" t="s">
        <v>76</v>
      </c>
      <c r="C9" s="24" t="s">
        <v>70</v>
      </c>
      <c r="D9" s="24" t="s">
        <v>3314</v>
      </c>
      <c r="E9" s="24" t="s">
        <v>158</v>
      </c>
      <c r="G9" s="10" t="s">
        <v>3315</v>
      </c>
      <c r="H9" t="s">
        <v>311</v>
      </c>
    </row>
    <row r="10" spans="1:8">
      <c r="A10" t="s">
        <v>70</v>
      </c>
      <c r="B10" t="s">
        <v>71</v>
      </c>
      <c r="C10" s="24" t="s">
        <v>578</v>
      </c>
      <c r="D10" s="24" t="s">
        <v>427</v>
      </c>
      <c r="E10" s="24" t="s">
        <v>166</v>
      </c>
      <c r="H10" t="s">
        <v>331</v>
      </c>
    </row>
    <row r="11" spans="1:8">
      <c r="A11" t="s">
        <v>80</v>
      </c>
      <c r="B11" t="s">
        <v>81</v>
      </c>
      <c r="C11" s="24"/>
      <c r="D11" s="24" t="s">
        <v>558</v>
      </c>
      <c r="E11" s="24" t="s">
        <v>180</v>
      </c>
      <c r="H11" t="s">
        <v>387</v>
      </c>
    </row>
    <row r="12" spans="1:8">
      <c r="A12" t="s">
        <v>86</v>
      </c>
      <c r="B12" t="s">
        <v>87</v>
      </c>
      <c r="C12" s="24"/>
      <c r="D12" s="24" t="s">
        <v>26</v>
      </c>
      <c r="E12" t="s">
        <v>176</v>
      </c>
      <c r="H12" t="s">
        <v>590</v>
      </c>
    </row>
    <row r="13" spans="1:8">
      <c r="A13" t="s">
        <v>90</v>
      </c>
      <c r="B13" t="s">
        <v>91</v>
      </c>
      <c r="C13" s="24"/>
      <c r="D13" s="24" t="s">
        <v>3316</v>
      </c>
      <c r="E13" t="s">
        <v>3317</v>
      </c>
      <c r="H13" t="s">
        <v>1023</v>
      </c>
    </row>
    <row r="14" spans="1:8">
      <c r="A14" t="s">
        <v>112</v>
      </c>
      <c r="B14" t="s">
        <v>113</v>
      </c>
      <c r="C14" s="24"/>
      <c r="D14" s="24" t="s">
        <v>631</v>
      </c>
      <c r="E14" t="s">
        <v>3318</v>
      </c>
      <c r="H14" t="s">
        <v>1042</v>
      </c>
    </row>
    <row r="15" spans="1:8">
      <c r="A15" t="s">
        <v>108</v>
      </c>
      <c r="B15" t="s">
        <v>109</v>
      </c>
      <c r="C15" s="24"/>
      <c r="D15" s="24" t="s">
        <v>3319</v>
      </c>
      <c r="E15" t="s">
        <v>259</v>
      </c>
    </row>
    <row r="16" spans="1:8">
      <c r="A16" t="s">
        <v>115</v>
      </c>
      <c r="B16" t="s">
        <v>116</v>
      </c>
      <c r="D16" s="24" t="s">
        <v>3320</v>
      </c>
      <c r="E16" t="s">
        <v>301</v>
      </c>
    </row>
    <row r="17" spans="1:5">
      <c r="A17" t="s">
        <v>122</v>
      </c>
      <c r="B17" t="s">
        <v>123</v>
      </c>
      <c r="D17" t="s">
        <v>82</v>
      </c>
      <c r="E17" t="s">
        <v>771</v>
      </c>
    </row>
    <row r="18" spans="1:5">
      <c r="A18" t="s">
        <v>130</v>
      </c>
      <c r="B18" t="s">
        <v>131</v>
      </c>
      <c r="D18" t="s">
        <v>128</v>
      </c>
      <c r="E18" t="s">
        <v>777</v>
      </c>
    </row>
    <row r="19" spans="1:5">
      <c r="A19" t="s">
        <v>137</v>
      </c>
      <c r="B19" t="s">
        <v>138</v>
      </c>
      <c r="D19" t="s">
        <v>165</v>
      </c>
      <c r="E19" t="s">
        <v>1032</v>
      </c>
    </row>
    <row r="20" spans="1:5">
      <c r="A20" t="s">
        <v>141</v>
      </c>
      <c r="B20" t="s">
        <v>142</v>
      </c>
      <c r="D20" t="s">
        <v>170</v>
      </c>
    </row>
    <row r="21" spans="1:5">
      <c r="A21" t="s">
        <v>147</v>
      </c>
      <c r="B21" t="s">
        <v>148</v>
      </c>
      <c r="D21" t="s">
        <v>174</v>
      </c>
    </row>
    <row r="22" spans="1:5">
      <c r="A22" t="s">
        <v>156</v>
      </c>
      <c r="B22" t="s">
        <v>157</v>
      </c>
      <c r="D22" t="s">
        <v>184</v>
      </c>
    </row>
    <row r="23" spans="1:5">
      <c r="A23" t="s">
        <v>160</v>
      </c>
      <c r="B23" t="s">
        <v>161</v>
      </c>
      <c r="D23" t="s">
        <v>188</v>
      </c>
    </row>
    <row r="24" spans="1:5">
      <c r="A24" t="s">
        <v>164</v>
      </c>
      <c r="B24" t="s">
        <v>164</v>
      </c>
      <c r="D24" t="s">
        <v>192</v>
      </c>
    </row>
    <row r="25" spans="1:5">
      <c r="A25" t="s">
        <v>168</v>
      </c>
      <c r="B25" t="s">
        <v>169</v>
      </c>
      <c r="D25" t="s">
        <v>195</v>
      </c>
    </row>
    <row r="26" spans="1:5">
      <c r="A26" t="s">
        <v>172</v>
      </c>
      <c r="B26" t="s">
        <v>173</v>
      </c>
      <c r="D26" t="s">
        <v>258</v>
      </c>
    </row>
    <row r="27" spans="1:5">
      <c r="A27" t="s">
        <v>178</v>
      </c>
      <c r="B27" t="s">
        <v>179</v>
      </c>
      <c r="D27" t="s">
        <v>286</v>
      </c>
    </row>
    <row r="28" spans="1:5">
      <c r="A28" t="s">
        <v>182</v>
      </c>
      <c r="B28" t="s">
        <v>183</v>
      </c>
      <c r="D28" t="s">
        <v>3321</v>
      </c>
    </row>
    <row r="29" spans="1:5">
      <c r="A29" t="s">
        <v>186</v>
      </c>
      <c r="B29" t="s">
        <v>187</v>
      </c>
      <c r="D29" t="s">
        <v>3322</v>
      </c>
    </row>
    <row r="30" spans="1:5">
      <c r="A30" t="s">
        <v>190</v>
      </c>
      <c r="B30" t="s">
        <v>191</v>
      </c>
      <c r="D30" t="s">
        <v>1056</v>
      </c>
    </row>
    <row r="31" spans="1:5">
      <c r="A31" t="s">
        <v>194</v>
      </c>
      <c r="B31" t="s">
        <v>194</v>
      </c>
    </row>
    <row r="32" spans="1:5">
      <c r="A32" t="s">
        <v>228</v>
      </c>
      <c r="B32" t="s">
        <v>229</v>
      </c>
    </row>
    <row r="33" spans="1:2">
      <c r="A33" t="s">
        <v>231</v>
      </c>
      <c r="B33" t="s">
        <v>231</v>
      </c>
    </row>
    <row r="34" spans="1:2">
      <c r="A34" t="s">
        <v>126</v>
      </c>
      <c r="B34" t="s">
        <v>127</v>
      </c>
    </row>
    <row r="35" spans="1:2">
      <c r="A35" t="s">
        <v>245</v>
      </c>
      <c r="B35" t="s">
        <v>246</v>
      </c>
    </row>
    <row r="36" spans="1:2">
      <c r="A36" t="s">
        <v>249</v>
      </c>
      <c r="B36" t="s">
        <v>250</v>
      </c>
    </row>
    <row r="37" spans="1:2">
      <c r="A37" t="s">
        <v>256</v>
      </c>
      <c r="B37" t="s">
        <v>257</v>
      </c>
    </row>
    <row r="38" spans="1:2">
      <c r="A38" t="s">
        <v>261</v>
      </c>
      <c r="B38" t="s">
        <v>262</v>
      </c>
    </row>
    <row r="39" spans="1:2">
      <c r="A39" t="s">
        <v>264</v>
      </c>
      <c r="B39" t="s">
        <v>265</v>
      </c>
    </row>
    <row r="40" spans="1:2">
      <c r="A40" t="s">
        <v>267</v>
      </c>
      <c r="B40" t="s">
        <v>267</v>
      </c>
    </row>
    <row r="41" spans="1:2">
      <c r="A41" t="s">
        <v>283</v>
      </c>
      <c r="B41" t="s">
        <v>284</v>
      </c>
    </row>
    <row r="42" spans="1:2">
      <c r="A42" t="s">
        <v>299</v>
      </c>
      <c r="B42" t="s">
        <v>300</v>
      </c>
    </row>
    <row r="43" spans="1:2">
      <c r="A43" t="s">
        <v>304</v>
      </c>
      <c r="B43" t="s">
        <v>305</v>
      </c>
    </row>
    <row r="44" spans="1:2">
      <c r="A44" t="s">
        <v>3323</v>
      </c>
      <c r="B44" t="s">
        <v>426</v>
      </c>
    </row>
    <row r="45" spans="1:2">
      <c r="A45" t="s">
        <v>429</v>
      </c>
      <c r="B45" t="s">
        <v>430</v>
      </c>
    </row>
    <row r="46" spans="1:2">
      <c r="A46" s="48" t="s">
        <v>491</v>
      </c>
      <c r="B46" t="s">
        <v>492</v>
      </c>
    </row>
    <row r="47" spans="1:2">
      <c r="A47" t="s">
        <v>514</v>
      </c>
      <c r="B47" t="s">
        <v>515</v>
      </c>
    </row>
    <row r="48" spans="1:2">
      <c r="A48" t="s">
        <v>524</v>
      </c>
      <c r="B48" t="s">
        <v>525</v>
      </c>
    </row>
    <row r="49" spans="1:2">
      <c r="A49" t="s">
        <v>527</v>
      </c>
      <c r="B49" t="s">
        <v>528</v>
      </c>
    </row>
    <row r="50" spans="1:2">
      <c r="A50" t="s">
        <v>534</v>
      </c>
      <c r="B50" t="s">
        <v>535</v>
      </c>
    </row>
    <row r="51" spans="1:2">
      <c r="A51" t="s">
        <v>556</v>
      </c>
      <c r="B51" t="s">
        <v>557</v>
      </c>
    </row>
    <row r="52" spans="1:2">
      <c r="A52" t="s">
        <v>576</v>
      </c>
      <c r="B52" t="s">
        <v>577</v>
      </c>
    </row>
    <row r="53" spans="1:2">
      <c r="A53" t="s">
        <v>580</v>
      </c>
      <c r="B53" t="s">
        <v>630</v>
      </c>
    </row>
    <row r="54" spans="1:2">
      <c r="A54" t="s">
        <v>634</v>
      </c>
      <c r="B54" t="s">
        <v>720</v>
      </c>
    </row>
    <row r="55" spans="1:2">
      <c r="A55" t="s">
        <v>629</v>
      </c>
      <c r="B55" t="s">
        <v>751</v>
      </c>
    </row>
    <row r="56" spans="1:2">
      <c r="A56" t="s">
        <v>636</v>
      </c>
      <c r="B56" t="s">
        <v>758</v>
      </c>
    </row>
    <row r="57" spans="1:2">
      <c r="A57" t="s">
        <v>656</v>
      </c>
      <c r="B57" t="s">
        <v>761</v>
      </c>
    </row>
    <row r="58" spans="1:2">
      <c r="A58" t="s">
        <v>719</v>
      </c>
      <c r="B58" t="s">
        <v>764</v>
      </c>
    </row>
    <row r="59" spans="1:2">
      <c r="A59" t="s">
        <v>750</v>
      </c>
      <c r="B59" t="s">
        <v>767</v>
      </c>
    </row>
    <row r="60" spans="1:2">
      <c r="A60" t="s">
        <v>757</v>
      </c>
      <c r="B60" t="s">
        <v>770</v>
      </c>
    </row>
    <row r="61" spans="1:2">
      <c r="A61" t="s">
        <v>760</v>
      </c>
      <c r="B61" t="s">
        <v>776</v>
      </c>
    </row>
    <row r="62" spans="1:2">
      <c r="A62" t="s">
        <v>763</v>
      </c>
      <c r="B62" t="s">
        <v>780</v>
      </c>
    </row>
    <row r="63" spans="1:2">
      <c r="A63" t="s">
        <v>766</v>
      </c>
      <c r="B63" t="s">
        <v>783</v>
      </c>
    </row>
    <row r="64" spans="1:2">
      <c r="A64" t="s">
        <v>769</v>
      </c>
      <c r="B64" t="s">
        <v>786</v>
      </c>
    </row>
    <row r="65" spans="1:2">
      <c r="A65" t="s">
        <v>775</v>
      </c>
      <c r="B65" t="s">
        <v>789</v>
      </c>
    </row>
    <row r="66" spans="1:2">
      <c r="A66" t="s">
        <v>779</v>
      </c>
      <c r="B66" t="s">
        <v>3324</v>
      </c>
    </row>
    <row r="67" spans="1:2">
      <c r="A67" t="s">
        <v>782</v>
      </c>
      <c r="B67" t="s">
        <v>3324</v>
      </c>
    </row>
    <row r="68" spans="1:2">
      <c r="A68" t="s">
        <v>785</v>
      </c>
      <c r="B68" t="s">
        <v>934</v>
      </c>
    </row>
    <row r="69" spans="1:2">
      <c r="A69" t="s">
        <v>788</v>
      </c>
      <c r="B69" t="s">
        <v>941</v>
      </c>
    </row>
    <row r="70" spans="1:2">
      <c r="A70" t="s">
        <v>838</v>
      </c>
      <c r="B70" t="s">
        <v>944</v>
      </c>
    </row>
    <row r="71" spans="1:2">
      <c r="A71" t="s">
        <v>840</v>
      </c>
      <c r="B71" t="s">
        <v>951</v>
      </c>
    </row>
    <row r="72" spans="1:2">
      <c r="A72" t="s">
        <v>910</v>
      </c>
      <c r="B72" t="s">
        <v>991</v>
      </c>
    </row>
    <row r="73" spans="1:2">
      <c r="A73" t="s">
        <v>933</v>
      </c>
      <c r="B73" t="s">
        <v>1031</v>
      </c>
    </row>
    <row r="74" spans="1:2">
      <c r="A74" t="s">
        <v>3325</v>
      </c>
      <c r="B74" t="s">
        <v>1055</v>
      </c>
    </row>
    <row r="75" spans="1:2">
      <c r="A75" t="s">
        <v>943</v>
      </c>
      <c r="B75" t="s">
        <v>1058</v>
      </c>
    </row>
    <row r="76" spans="1:2">
      <c r="A76" t="s">
        <v>950</v>
      </c>
      <c r="B76" t="s">
        <v>1061</v>
      </c>
    </row>
    <row r="77" spans="1:2">
      <c r="A77" t="s">
        <v>990</v>
      </c>
      <c r="B77" t="s">
        <v>657</v>
      </c>
    </row>
    <row r="78" spans="1:2" ht="14.25" customHeight="1">
      <c r="A78" t="s">
        <v>1030</v>
      </c>
      <c r="B78" t="s">
        <v>3326</v>
      </c>
    </row>
    <row r="79" spans="1:2">
      <c r="A79" t="s">
        <v>1054</v>
      </c>
    </row>
    <row r="80" spans="1:2">
      <c r="A80" t="s">
        <v>1060</v>
      </c>
    </row>
    <row r="81" spans="1:1">
      <c r="A81" t="s">
        <v>1094</v>
      </c>
    </row>
    <row r="82" spans="1:1">
      <c r="A82" t="s">
        <v>1126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topLeftCell="A19" workbookViewId="0">
      <selection activeCell="B2" sqref="B2"/>
    </sheetView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3327</v>
      </c>
    </row>
    <row r="2" spans="1:2">
      <c r="B2" t="s">
        <v>3328</v>
      </c>
    </row>
    <row r="3" spans="1:2" ht="18" customHeight="1">
      <c r="A3" s="11" t="s">
        <v>3329</v>
      </c>
      <c r="B3" s="12"/>
    </row>
    <row r="4" spans="1:2" ht="30" customHeight="1">
      <c r="A4" s="25" t="s">
        <v>3330</v>
      </c>
      <c r="B4" s="26" t="s">
        <v>3331</v>
      </c>
    </row>
    <row r="5" spans="1:2" ht="30" customHeight="1">
      <c r="A5" s="25" t="s">
        <v>3332</v>
      </c>
      <c r="B5" s="26" t="s">
        <v>3333</v>
      </c>
    </row>
    <row r="6" spans="1:2" ht="30" customHeight="1">
      <c r="A6" s="25" t="s">
        <v>3334</v>
      </c>
      <c r="B6" s="26" t="s">
        <v>3335</v>
      </c>
    </row>
    <row r="7" spans="1:2" ht="18" customHeight="1">
      <c r="A7" s="27"/>
      <c r="B7" s="27"/>
    </row>
    <row r="8" spans="1:2" ht="18" customHeight="1">
      <c r="A8" s="11" t="s">
        <v>3336</v>
      </c>
      <c r="B8" s="12"/>
    </row>
    <row r="9" spans="1:2" ht="30" customHeight="1">
      <c r="A9" s="25" t="s">
        <v>3337</v>
      </c>
      <c r="B9" s="26" t="s">
        <v>3338</v>
      </c>
    </row>
    <row r="10" spans="1:2" ht="30" customHeight="1">
      <c r="A10" s="25" t="s">
        <v>3339</v>
      </c>
      <c r="B10" s="26" t="s">
        <v>3340</v>
      </c>
    </row>
    <row r="11" spans="1:2" ht="30" customHeight="1">
      <c r="A11" s="25" t="s">
        <v>3341</v>
      </c>
      <c r="B11" s="26" t="s">
        <v>3342</v>
      </c>
    </row>
    <row r="12" spans="1:2" ht="30" customHeight="1">
      <c r="A12" s="25" t="s">
        <v>3343</v>
      </c>
      <c r="B12" s="26" t="s">
        <v>3344</v>
      </c>
    </row>
    <row r="13" spans="1:2" ht="30" customHeight="1">
      <c r="A13" s="25" t="s">
        <v>3345</v>
      </c>
      <c r="B13" s="26" t="s">
        <v>3346</v>
      </c>
    </row>
    <row r="14" spans="1:2" ht="18" customHeight="1">
      <c r="A14" s="27"/>
      <c r="B14" s="27"/>
    </row>
    <row r="15" spans="1:2" ht="18" customHeight="1">
      <c r="A15" s="11" t="s">
        <v>3347</v>
      </c>
      <c r="B15" s="12"/>
    </row>
    <row r="16" spans="1:2" ht="30" customHeight="1">
      <c r="A16" s="25" t="s">
        <v>3348</v>
      </c>
      <c r="B16" s="26" t="s">
        <v>3349</v>
      </c>
    </row>
    <row r="17" spans="1:2" ht="18" customHeight="1">
      <c r="A17" s="27"/>
      <c r="B17" s="27"/>
    </row>
    <row r="18" spans="1:2" ht="18" customHeight="1">
      <c r="A18" s="11" t="s">
        <v>3350</v>
      </c>
      <c r="B18" s="12"/>
    </row>
    <row r="19" spans="1:2" ht="30" customHeight="1">
      <c r="A19" s="25" t="s">
        <v>3351</v>
      </c>
      <c r="B19" s="26" t="s">
        <v>3352</v>
      </c>
    </row>
    <row r="20" spans="1:2" ht="30" customHeight="1">
      <c r="A20" s="25" t="s">
        <v>3353</v>
      </c>
      <c r="B20" s="26" t="s">
        <v>3354</v>
      </c>
    </row>
    <row r="21" spans="1:2" ht="30" customHeight="1">
      <c r="A21" s="25" t="s">
        <v>3355</v>
      </c>
      <c r="B21" s="26" t="s">
        <v>3356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Lauro Sastre</cp:lastModifiedBy>
  <cp:revision/>
  <dcterms:created xsi:type="dcterms:W3CDTF">2026-04-02T12:24:04Z</dcterms:created>
  <dcterms:modified xsi:type="dcterms:W3CDTF">2026-10-14T20:07:02Z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