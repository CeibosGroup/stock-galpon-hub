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C8E279EB-B696-424E-96FF-053D9EAAF86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9" i="1" l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H276" i="1"/>
  <c r="R276" i="1"/>
  <c r="H287" i="1"/>
  <c r="R287" i="1"/>
  <c r="H298" i="1"/>
  <c r="R298" i="1"/>
  <c r="H309" i="1"/>
  <c r="R309" i="1"/>
  <c r="H320" i="1"/>
  <c r="R320" i="1"/>
  <c r="H331" i="1"/>
  <c r="R331" i="1"/>
  <c r="H342" i="1"/>
  <c r="R342" i="1"/>
  <c r="H353" i="1"/>
  <c r="R353" i="1"/>
  <c r="H364" i="1"/>
  <c r="R364" i="1"/>
  <c r="H375" i="1"/>
  <c r="R375" i="1"/>
  <c r="H386" i="1"/>
  <c r="R386" i="1"/>
  <c r="H397" i="1"/>
  <c r="R397" i="1"/>
  <c r="H408" i="1"/>
  <c r="R408" i="1"/>
  <c r="H419" i="1"/>
  <c r="R419" i="1"/>
  <c r="H430" i="1"/>
  <c r="R430" i="1"/>
  <c r="H441" i="1"/>
  <c r="R441" i="1"/>
  <c r="H452" i="1"/>
  <c r="R452" i="1"/>
  <c r="H463" i="1"/>
  <c r="R463" i="1"/>
  <c r="H474" i="1"/>
  <c r="R474" i="1"/>
  <c r="H485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1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H268" i="1"/>
  <c r="R268" i="1"/>
  <c r="H269" i="1"/>
  <c r="R269" i="1"/>
  <c r="H270" i="1"/>
  <c r="R270" i="1"/>
  <c r="H271" i="1"/>
  <c r="R271" i="1"/>
  <c r="H272" i="1"/>
  <c r="R272" i="1"/>
  <c r="H273" i="1"/>
  <c r="R273" i="1"/>
  <c r="H274" i="1"/>
  <c r="R274" i="1"/>
  <c r="H275" i="1"/>
  <c r="R275" i="1"/>
  <c r="H277" i="1"/>
  <c r="R277" i="1"/>
  <c r="H278" i="1"/>
  <c r="R278" i="1"/>
  <c r="H279" i="1"/>
  <c r="R279" i="1"/>
  <c r="H280" i="1"/>
  <c r="R280" i="1"/>
  <c r="H281" i="1"/>
  <c r="R281" i="1"/>
  <c r="H282" i="1"/>
  <c r="R282" i="1"/>
  <c r="H283" i="1"/>
  <c r="R283" i="1"/>
  <c r="H284" i="1"/>
  <c r="R284" i="1"/>
  <c r="H285" i="1"/>
  <c r="R285" i="1"/>
  <c r="H286" i="1"/>
  <c r="R286" i="1"/>
  <c r="H288" i="1"/>
  <c r="R288" i="1"/>
  <c r="H289" i="1"/>
  <c r="R289" i="1"/>
  <c r="H290" i="1"/>
  <c r="R290" i="1"/>
  <c r="H291" i="1"/>
  <c r="R291" i="1"/>
  <c r="H292" i="1"/>
  <c r="R292" i="1"/>
  <c r="H293" i="1"/>
  <c r="R293" i="1"/>
  <c r="H294" i="1"/>
  <c r="R294" i="1"/>
  <c r="H295" i="1"/>
  <c r="R295" i="1"/>
  <c r="H296" i="1"/>
  <c r="R296" i="1"/>
  <c r="H297" i="1"/>
  <c r="R297" i="1"/>
  <c r="H299" i="1"/>
  <c r="R299" i="1"/>
  <c r="H300" i="1"/>
  <c r="R300" i="1"/>
  <c r="H301" i="1"/>
  <c r="R301" i="1"/>
  <c r="H302" i="1"/>
  <c r="R302" i="1"/>
  <c r="H303" i="1"/>
  <c r="R303" i="1"/>
  <c r="H304" i="1"/>
  <c r="R304" i="1"/>
  <c r="H305" i="1"/>
  <c r="R305" i="1"/>
  <c r="H306" i="1"/>
  <c r="R306" i="1"/>
  <c r="H307" i="1"/>
  <c r="R307" i="1"/>
  <c r="H308" i="1"/>
  <c r="R308" i="1"/>
  <c r="H310" i="1"/>
  <c r="R310" i="1"/>
  <c r="H311" i="1"/>
  <c r="R311" i="1"/>
  <c r="H312" i="1"/>
  <c r="R312" i="1"/>
  <c r="H313" i="1"/>
  <c r="R313" i="1"/>
  <c r="H314" i="1"/>
  <c r="R314" i="1"/>
  <c r="H315" i="1"/>
  <c r="R315" i="1"/>
  <c r="H316" i="1"/>
  <c r="R316" i="1"/>
  <c r="H317" i="1"/>
  <c r="R317" i="1"/>
  <c r="H318" i="1"/>
  <c r="R318" i="1"/>
  <c r="H319" i="1"/>
  <c r="R319" i="1"/>
  <c r="H321" i="1"/>
  <c r="R321" i="1"/>
  <c r="H322" i="1"/>
  <c r="R322" i="1"/>
  <c r="H323" i="1"/>
  <c r="R323" i="1"/>
  <c r="H324" i="1"/>
  <c r="R324" i="1"/>
  <c r="H325" i="1"/>
  <c r="R325" i="1"/>
  <c r="H326" i="1"/>
  <c r="R326" i="1"/>
  <c r="H327" i="1"/>
  <c r="R327" i="1"/>
  <c r="H328" i="1"/>
  <c r="R328" i="1"/>
  <c r="H329" i="1"/>
  <c r="R329" i="1"/>
  <c r="H330" i="1"/>
  <c r="R330" i="1"/>
  <c r="H332" i="1"/>
  <c r="R332" i="1"/>
  <c r="H333" i="1"/>
  <c r="R333" i="1"/>
  <c r="H334" i="1"/>
  <c r="R334" i="1"/>
  <c r="H335" i="1"/>
  <c r="R335" i="1"/>
  <c r="H336" i="1"/>
  <c r="R336" i="1"/>
  <c r="H337" i="1"/>
  <c r="R337" i="1"/>
  <c r="H338" i="1"/>
  <c r="R338" i="1"/>
  <c r="H339" i="1"/>
  <c r="R339" i="1"/>
  <c r="H340" i="1"/>
  <c r="R340" i="1"/>
  <c r="H341" i="1"/>
  <c r="R341" i="1"/>
  <c r="H343" i="1"/>
  <c r="R343" i="1"/>
  <c r="H344" i="1"/>
  <c r="R344" i="1"/>
  <c r="H345" i="1"/>
  <c r="R345" i="1"/>
  <c r="H346" i="1"/>
  <c r="R346" i="1"/>
  <c r="H347" i="1"/>
  <c r="R347" i="1"/>
  <c r="H348" i="1"/>
  <c r="R348" i="1"/>
  <c r="H349" i="1"/>
  <c r="R349" i="1"/>
  <c r="H350" i="1"/>
  <c r="R350" i="1"/>
  <c r="H351" i="1"/>
  <c r="R351" i="1"/>
  <c r="H352" i="1"/>
  <c r="R352" i="1"/>
  <c r="H354" i="1"/>
  <c r="R354" i="1"/>
  <c r="H355" i="1"/>
  <c r="R355" i="1"/>
  <c r="H356" i="1"/>
  <c r="R356" i="1"/>
  <c r="H357" i="1"/>
  <c r="R357" i="1"/>
  <c r="H358" i="1"/>
  <c r="R358" i="1"/>
  <c r="H359" i="1"/>
  <c r="R359" i="1"/>
  <c r="H360" i="1"/>
  <c r="R360" i="1"/>
  <c r="H361" i="1"/>
  <c r="R361" i="1"/>
  <c r="H362" i="1"/>
  <c r="R362" i="1"/>
  <c r="H363" i="1"/>
  <c r="R363" i="1"/>
  <c r="H365" i="1"/>
  <c r="R365" i="1"/>
  <c r="H366" i="1"/>
  <c r="R366" i="1"/>
  <c r="H367" i="1"/>
  <c r="R367" i="1"/>
  <c r="H368" i="1"/>
  <c r="R368" i="1"/>
  <c r="H369" i="1"/>
  <c r="R369" i="1"/>
  <c r="H370" i="1"/>
  <c r="R370" i="1"/>
  <c r="H371" i="1"/>
  <c r="R371" i="1"/>
  <c r="H372" i="1"/>
  <c r="R372" i="1"/>
  <c r="H373" i="1"/>
  <c r="R373" i="1"/>
  <c r="H374" i="1"/>
  <c r="R374" i="1"/>
  <c r="H376" i="1"/>
  <c r="R376" i="1"/>
  <c r="H377" i="1"/>
  <c r="R377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7" i="1"/>
  <c r="R387" i="1"/>
  <c r="H388" i="1"/>
  <c r="R388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8" i="1"/>
  <c r="R398" i="1"/>
  <c r="H399" i="1"/>
  <c r="R399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9" i="1"/>
  <c r="R409" i="1"/>
  <c r="H410" i="1"/>
  <c r="R410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20" i="1"/>
  <c r="R420" i="1"/>
  <c r="H421" i="1"/>
  <c r="R421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1" i="1"/>
  <c r="R431" i="1"/>
  <c r="H432" i="1"/>
  <c r="R432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2" i="1"/>
  <c r="R442" i="1"/>
  <c r="H443" i="1"/>
  <c r="R443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3" i="1"/>
  <c r="R453" i="1"/>
  <c r="H454" i="1"/>
  <c r="R454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4" i="1"/>
  <c r="R464" i="1"/>
  <c r="H465" i="1"/>
  <c r="R465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5" i="1"/>
  <c r="R475" i="1"/>
  <c r="H476" i="1"/>
  <c r="R476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6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J18" i="2" l="1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<sst xmlns="http://schemas.openxmlformats.org/spreadsheetml/2006/main" count="5498" uniqueCount="3248">
  <si>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</si>
  <si>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</si>
  <si>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</si>
  <si>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</si>
  <si>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</si>
  <si>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</si>
  <si>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</si>
  <si>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</si>
  <si>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</si>
  <si>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</si>
  <si>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</si>
  <si>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</si>
  <si>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</si>
  <si>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</si>
  <si>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</si>
  <si>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</si>
  <si>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</si>
  <si>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</si>
  <si>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</si>
  <si>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</si>
  <si>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</si>
  <si>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</si>
  <si>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</si>
  <si>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</si>
  <si>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</si>
  <si>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</si>
  <si>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</si>
  <si>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</si>
  <si>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</si>
  <si>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</si>
  <si>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</si>
  <si>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</si>
  <si>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</si>
  <si>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</si>
  <si>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</si>
  <si>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</si>
  <si>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</si>
  <si>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</si>
  <si>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</si>
  <si>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</si>
  <si>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</si>
  <si>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</si>
  <si>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</si>
  <si>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</si>
  <si>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</si>
  <si>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</si>
  <si>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</si>
  <si>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</si>
  <si>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</si>
  <si>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</si>
  <si>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</si>
  <si>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</si>
  <si>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</si>
  <si>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</si>
  <si>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</si>
  <si>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</si>
  <si>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</si>
  <si>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</si>
  <si>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</si>
  <si>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</si>
  <si>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</si>
  <si>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</si>
  <si>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</si>
  <si>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</si>
  <si>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</si>
  <si>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</si>
  <si>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</si>
  <si>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</si>
  <si>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</si>
  <si>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</si>
  <si>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</si>
  <si>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</si>
  <si>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</si>
  <si>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</si>
  <si>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</si>
  <si>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</si>
  <si>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</si>
  <si>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</si>
  <si>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</si>
  <si>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</si>
  <si>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</si>
  <si>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</si>
  <si>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</si>
  <si>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</si>
  <si>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</si>
  <si>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</si>
  <si>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</si>
  <si>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</si>
  <si>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</si>
  <si>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</si>
  <si>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</si>
  <si>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</si>
  <si>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</si>
  <si>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</si>
  <si>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</si>
  <si>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</si>
  <si>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</si>
  <si>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</si>
  <si>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</si>
  <si>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</si>
  <si>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</si>
  <si>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</si>
  <si>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</si>
  <si>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</si>
  <si>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</si>
  <si>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</si>
  <si>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</si>
  <si>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</si>
  <si>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</si>
  <si>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</si>
  <si>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</si>
  <si>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</si>
  <si>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</si>
  <si>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</si>
  <si>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</si>
  <si>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</si>
  <si>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</si>
  <si>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</si>
  <si>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</si>
  <si>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</si>
  <si>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</si>
  <si>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</si>
  <si>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</si>
  <si>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</si>
  <si>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</si>
  <si>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</si>
  <si>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</si>
  <si>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</si>
  <si>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</si>
  <si>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</si>
  <si>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</si>
  <si>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</si>
  <si>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</si>
  <si>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</si>
  <si>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</si>
  <si>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</si>
  <si>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</si>
  <si>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</si>
  <si>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</si>
  <si>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</si>
  <si>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</si>
  <si>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</si>
  <si>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</si>
  <si>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</si>
  <si>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</si>
  <si>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</si>
  <si>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</si>
  <si>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</si>
  <si>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</si>
  <si>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</si>
  <si>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</si>
  <si>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</si>
  <si>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</si>
  <si>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</si>
  <si>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</si>
  <si>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</si>
  <si>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</si>
  <si>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</si>
  <si>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</si>
  <si>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</si>
  <si>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</si>
  <si>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</si>
  <si>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</si>
  <si>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</si>
  <si>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</si>
  <si>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</si>
  <si>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</si>
  <si>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</si>
  <si>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</si>
  <si>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</si>
  <si>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</si>
  <si>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</si>
  <si>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</si>
  <si>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</si>
  <si>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</si>
  <si>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</si>
  <si>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</si>
  <si>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</si>
  <si>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</si>
  <si>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</si>
  <si>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</si>
  <si>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</si>
  <si>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</si>
  <si>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</si>
  <si>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</si>
  <si>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</si>
  <si>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</si>
  <si>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</si>
  <si>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</si>
  <si>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</si>
  <si>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</si>
  <si>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</si>
  <si>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</si>
  <si>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</si>
  <si>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</si>
  <si>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</si>
  <si>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</si>
  <si>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</si>
  <si>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</si>
  <si>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</si>
  <si>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</si>
  <si>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</si>
  <si>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</si>
  <si>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</si>
  <si>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</si>
  <si>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</si>
  <si>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</si>
  <si>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</si>
  <si>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</si>
  <si>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</si>
  <si>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</si>
  <si>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</si>
  <si>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</si>
  <si>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</si>
  <si>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</si>
  <si>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</si>
  <si>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</si>
  <si>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</si>
  <si>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</si>
  <si>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</si>
  <si>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</si>
  <si>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</si>
  <si>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</si>
  <si>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</si>
  <si>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</si>
  <si>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</si>
  <si>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</si>
  <si>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</si>
  <si>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</si>
  <si>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</si>
  <si>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</si>
  <si>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</si>
  <si>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</si>
  <si>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</si>
  <si>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</si>
  <si>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</si>
  <si>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</si>
  <si>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</si>
  <si>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</si>
  <si>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</si>
  <si>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</si>
  <si>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</si>
  <si>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</si>
  <si>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</si>
  <si>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</si>
  <si>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</si>
  <si>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</si>
  <si>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</si>
  <si>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</si>
  <si>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</si>
  <si>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</si>
  <si>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</si>
  <si>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</si>
  <si>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</si>
  <si>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</si>
  <si>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</si>
  <si>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</si>
  <si>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</si>
  <si>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</si>
  <si>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</si>
  <si>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</si>
  <si>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</si>
  <si>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</si>
  <si>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</si>
  <si>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</si>
  <si>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</si>
  <si>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</si>
  <si>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</si>
  <si>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</si>
  <si>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</si>
  <si>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</si>
  <si>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</si>
  <si>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</si>
  <si>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</si>
  <si>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</si>
  <si>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</si>
  <si>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</si>
  <si>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</si>
  <si>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</si>
  <si>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</si>
  <si>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</si>
  <si>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</si>
  <si>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</si>
  <si>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</si>
  <si>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</si>
  <si>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</si>
  <si>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</si>
  <si>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</si>
  <si>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</si>
  <si>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</si>
  <si>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</si>
  <si>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</si>
  <si>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</si>
  <si>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</si>
  <si>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</si>
  <si>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</si>
  <si>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</si>
  <si>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</si>
  <si>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</si>
  <si>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</si>
  <si>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</si>
  <si>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</si>
  <si>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</si>
  <si>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</si>
  <si>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</si>
  <si>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</si>
  <si>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</si>
  <si>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</si>
  <si>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</si>
  <si>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</si>
  <si>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</si>
  <si>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</si>
  <si>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</si>
  <si>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</si>
  <si>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</si>
  <si>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</si>
  <si>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</si>
  <si>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</si>
  <si>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</si>
  <si>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</si>
  <si>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</si>
  <si>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</si>
  <si>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</si>
  <si>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</si>
  <si>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</si>
  <si>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</si>
  <si>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</si>
  <si>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</si>
  <si>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</si>
  <si>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</si>
  <si>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</si>
  <si>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</si>
  <si>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</si>
  <si>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</si>
  <si>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</si>
  <si>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</si>
  <si>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</si>
  <si>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</si>
  <si>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</si>
  <si>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</si>
  <si>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</si>
  <si>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</si>
  <si>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</si>
  <si>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</si>
  <si>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</si>
  <si>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</si>
  <si>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</si>
  <si>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</si>
  <si>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</si>
  <si>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</si>
  <si>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</si>
  <si>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</si>
  <si>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</si>
  <si>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</si>
  <si>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</si>
  <si>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</si>
  <si>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</si>
  <si>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</si>
  <si>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</si>
  <si>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</si>
  <si>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</si>
  <si>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</si>
  <si>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</si>
  <si>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</si>
  <si>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</si>
  <si>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</si>
  <si>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</si>
  <si>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</si>
  <si>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</si>
  <si>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</si>
  <si>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</si>
  <si>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</si>
  <si>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</si>
  <si>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</si>
  <si>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</si>
  <si>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</si>
  <si>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</si>
  <si>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</si>
  <si>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</si>
  <si>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</si>
  <si>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</si>
  <si>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</si>
  <si>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</si>
  <si>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</si>
  <si>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</si>
  <si>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</si>
  <si>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</si>
  <si>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</si>
  <si>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</si>
  <si>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</si>
  <si>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</si>
  <si>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</si>
  <si>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</si>
  <si>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</si>
  <si>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</si>
  <si>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</si>
  <si>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</si>
  <si>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</si>
  <si>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</si>
  <si>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</si>
  <si>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</si>
  <si>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</si>
  <si>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</si>
  <si>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</si>
  <si>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</si>
  <si>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</si>
  <si>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</si>
  <si>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</si>
  <si>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</si>
  <si>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</si>
  <si>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</si>
  <si>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</si>
  <si>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</si>
  <si>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</si>
  <si>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</si>
  <si>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</si>
  <si>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</si>
  <si>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</si>
  <si>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</si>
  <si>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</si>
  <si>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</si>
  <si>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</si>
  <si>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</si>
  <si>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</si>
  <si>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</si>
  <si>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</si>
  <si>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</si>
  <si>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</si>
  <si>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</si>
  <si>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</si>
  <si>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</si>
  <si>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</si>
  <si>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</si>
  <si>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</si>
  <si>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</si>
  <si>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</si>
  <si>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</si>
  <si>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</si>
  <si>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</si>
  <si>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</si>
  <si>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</si>
  <si>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</si>
  <si>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</si>
  <si>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</si>
  <si>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</si>
  <si>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</si>
  <si>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</si>
  <si>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</si>
  <si>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</si>
  <si>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</si>
  <si>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n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</si>
  <si>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</si>
  <si>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</si>
  <si>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</si>
  <si>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</si>
  <si>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</si>
  <si>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</si>
  <si>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</si>
  <si>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</si>
  <si>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</si>
  <si>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</si>
  <si>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</si>
  <si>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</si>
  <si>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</si>
  <si>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</si>
  <si>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</si>
  <si>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</si>
  <si>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</si>
  <si>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</si>
  <si>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</si>
  <si>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</si>
  <si>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</si>
  <si>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</si>
  <si>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</si>
  <si>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</si>
  <si>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</si>
  <si>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</si>
  <si>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</si>
  <si>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</si>
  <si>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</si>
  <si>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</si>
  <si>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</si>
  <si>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</si>
  <si>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</si>
  <si>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</si>
  <si>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</si>
  <si>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</si>
  <si>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</si>
  <si>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</si>
  <si>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</si>
  <si>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</si>
  <si>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</si>
  <si>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</si>
  <si>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</si>
  <si>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</si>
  <si>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</si>
  <si>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</si>
  <si>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</si>
  <si>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</si>
  <si>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</si>
  <si>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</si>
  <si>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</si>
  <si>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</si>
  <si>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</si>
  <si>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</si>
  <si>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</si>
  <si>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</si>
  <si>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</si>
  <si>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</si>
  <si>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</si>
  <si>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</si>
  <si>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</si>
  <si>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</si>
  <si>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</si>
  <si>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</si>
  <si>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</si>
  <si>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</si>
  <si>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</si>
  <si>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</si>
  <si>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</si>
  <si>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</si>
  <si>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</si>
  <si>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</si>
  <si>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</si>
  <si>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</si>
  <si>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</si>
  <si>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</si>
  <si>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</si>
  <si>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</si>
  <si>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</si>
  <si>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</si>
  <si>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</si>
  <si>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</si>
  <si>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</si>
  <si>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</si>
  <si>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</si>
  <si>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</si>
  <si>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</si>
  <si>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</si>
  <si>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</si>
  <si>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</si>
  <si>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</si>
  <si>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</si>
  <si>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</si>
  <si>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</si>
  <si>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</si>
  <si>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</si>
  <si>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</si>
  <si>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</si>
  <si>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</si>
  <si>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</si>
  <si>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</si>
  <si>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</si>
  <si>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</si>
  <si>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</si>
  <si>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</si>
  <si>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</si>
  <si>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</si>
  <si>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</si>
  <si>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</si>
  <si>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</si>
  <si>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</si>
  <si>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</si>
  <si>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</si>
  <si>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</si>
  <si>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</si>
  <si>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</si>
  <si>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</si>
  <si>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</si>
  <si>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</si>
  <si>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</si>
  <si>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</si>
  <si>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</si>
  <si>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</si>
  <si>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</si>
  <si>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</si>
  <si>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</si>
  <si>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</si>
  <si>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</si>
  <si>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</si>
  <si>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</si>
  <si>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</si>
  <si>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</si>
  <si>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</si>
  <si>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</si>
  <si>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</si>
  <si>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</si>
  <si>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</si>
  <si>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</si>
  <si>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</si>
  <si>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</si>
  <si>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</si>
  <si>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</si>
  <si>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</si>
  <si>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</si>
  <si>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</si>
  <si>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</si>
  <si>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</si>
  <si>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</si>
  <si>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</si>
  <si>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</si>
  <si>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</si>
  <si>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</si>
  <si>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</si>
  <si>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</si>
  <si>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</si>
  <si>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</si>
  <si>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</si>
  <si>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</si>
  <si>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</si>
  <si>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</si>
  <si>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</si>
  <si>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</si>
  <si>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</si>
  <si>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</si>
  <si>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</si>
  <si>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</si>
  <si>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</si>
  <si>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</si>
  <si>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</si>
  <si>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</si>
  <si>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</si>
  <si>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</si>
  <si>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</si>
  <si>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</si>
  <si>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</si>
  <si>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</si>
  <si>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</si>
  <si>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</si>
  <si>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</si>
  <si>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</si>
  <si>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</si>
  <si>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</si>
  <si>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</si>
  <si>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</si>
  <si>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</si>
  <si>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</si>
  <si>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</si>
  <si>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</si>
  <si>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</si>
  <si>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</si>
  <si>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</si>
  <si>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</si>
  <si>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</si>
  <si>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</si>
  <si>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</si>
  <si>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</si>
  <si>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</si>
  <si>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</si>
  <si>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</si>
  <si>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</si>
  <si>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</si>
  <si>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</si>
  <si>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</si>
  <si>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</si>
  <si>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</si>
  <si>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</si>
  <si>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</si>
  <si>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</si>
  <si>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</si>
  <si>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</si>
  <si>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</si>
  <si>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</si>
  <si>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</si>
  <si>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</si>
  <si>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</si>
  <si>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</si>
  <si>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</si>
  <si>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</si>
  <si>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</si>
  <si>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</si>
  <si>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</si>
  <si>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</si>
  <si>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</si>
  <si>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</si>
  <si>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</si>
  <si>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</si>
  <si>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</si>
  <si>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</si>
  <si>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</si>
  <si>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</si>
  <si>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</si>
  <si>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</si>
  <si>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</si>
  <si>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</si>
  <si>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</si>
  <si>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</si>
  <si>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</si>
  <si>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</si>
  <si>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</si>
  <si>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</si>
  <si>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</si>
  <si>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</si>
  <si>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</si>
  <si>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</si>
  <si>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</si>
  <si>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</si>
  <si>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</si>
  <si>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</si>
  <si>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</si>
  <si>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</si>
  <si>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</si>
  <si>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</si>
  <si>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</si>
  <si>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</si>
  <si>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</si>
  <si>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</si>
  <si>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</si>
  <si>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</si>
  <si>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</si>
  <si>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</si>
  <si>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</si>
  <si>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</si>
  <si>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</si>
  <si>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</si>
  <si>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</si>
  <si>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</si>
  <si>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</si>
  <si>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</si>
  <si>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</si>
  <si>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</si>
  <si>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</si>
  <si>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</si>
  <si>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</si>
  <si>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</si>
  <si>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</si>
  <si>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</si>
  <si>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</si>
  <si>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</si>
  <si>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</si>
  <si>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</si>
  <si>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</si>
  <si>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</si>
  <si>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</si>
  <si>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</si>
  <si>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</si>
  <si>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</si>
  <si>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</si>
  <si>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</si>
  <si>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</si>
  <si>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</si>
  <si>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</si>
  <si>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</si>
  <si>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</si>
  <si>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</si>
  <si>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</si>
  <si>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</si>
  <si>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</si>
  <si>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</si>
  <si>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</si>
  <si>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</si>
  <si>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</si>
  <si>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</si>
  <si>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</si>
  <si>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</si>
  <si>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</si>
  <si>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</si>
  <si>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</si>
  <si>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</si>
  <si>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</si>
  <si>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</si>
  <si>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</si>
  <si>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</si>
  <si>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</si>
  <si>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</si>
  <si>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</si>
  <si>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</si>
  <si>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</si>
  <si>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</si>
  <si>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</si>
  <si>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</si>
  <si>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</si>
  <si>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</si>
  <si>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</si>
  <si>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</si>
  <si>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</si>
  <si>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</si>
  <si>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</si>
  <si>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</si>
  <si>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</si>
  <si>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</si>
  <si>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</si>
  <si>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</si>
  <si>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</si>
  <si>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</si>
  <si>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</si>
  <si>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</si>
  <si>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</si>
  <si>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</si>
  <si>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</si>
  <si>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</si>
  <si>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</si>
  <si>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</si>
  <si>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</si>
  <si>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</si>
  <si>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</si>
  <si>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</si>
  <si>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</si>
  <si>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</si>
  <si>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</si>
  <si>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</si>
  <si>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</si>
  <si>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</si>
  <si>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</si>
  <si>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</si>
  <si>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</si>
  <si>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</si>
  <si>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</si>
  <si>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</si>
  <si>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</si>
  <si>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</si>
  <si>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</si>
  <si>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</si>
  <si>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</si>
  <si>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</si>
  <si>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</si>
  <si>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</si>
  <si>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</si>
  <si>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</si>
  <si>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</si>
  <si>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</si>
  <si>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</si>
  <si>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</si>
  <si>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</si>
  <si>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</si>
  <si>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</si>
  <si>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</si>
  <si>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</si>
  <si>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</si>
  <si>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</si>
  <si>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</si>
  <si>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</si>
  <si>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</si>
  <si>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</si>
  <si>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</si>
  <si>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</si>
  <si>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</si>
  <si>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</si>
  <si>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</si>
  <si>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</si>
  <si>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</si>
  <si>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</si>
  <si>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</si>
  <si>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</si>
  <si>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</si>
  <si>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</si>
  <si>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</si>
  <si>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</si>
  <si>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</si>
  <si>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</si>
  <si>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</si>
  <si>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</si>
  <si>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</si>
  <si>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</si>
  <si>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</si>
  <si>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</si>
  <si>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</si>
  <si>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</si>
  <si>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</si>
  <si>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</si>
  <si>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</si>
  <si>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</si>
  <si>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</si>
  <si>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</si>
  <si>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</si>
  <si>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</si>
  <si>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</si>
  <si>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</si>
  <si>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</si>
  <si>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</si>
  <si>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</si>
  <si>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</si>
  <si>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</si>
  <si>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</si>
  <si>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</si>
  <si>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</si>
  <si>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</si>
  <si>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</si>
  <si>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</si>
  <si>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</si>
  <si>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</si>
  <si>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</si>
  <si>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</si>
  <si>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</si>
  <si>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</si>
  <si>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</si>
  <si>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</si>
  <si>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</si>
  <si>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</si>
  <si>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</si>
  <si>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</si>
  <si>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</si>
  <si>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</si>
  <si>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</si>
  <si>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</si>
  <si>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</si>
  <si>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</si>
  <si>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</si>
  <si>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</si>
  <si>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</si>
  <si>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</si>
  <si>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</si>
  <si>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</si>
  <si>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</si>
  <si>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</si>
  <si>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</si>
  <si>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</si>
  <si>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</si>
  <si>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</si>
  <si>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</si>
  <si>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</si>
  <si>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</si>
  <si>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</si>
  <si>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</si>
  <si>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</si>
  <si>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</si>
  <si>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</si>
  <si>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</si>
  <si>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</si>
  <si>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</si>
  <si>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</si>
  <si>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</si>
  <si>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</si>
  <si>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</si>
  <si>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</si>
  <si>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</si>
  <si>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</si>
  <si>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</si>
  <si>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</si>
  <si>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</si>
  <si>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</si>
  <si>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</si>
  <si>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</si>
  <si>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</si>
  <si>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</si>
  <si>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</si>
  <si>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</si>
  <si>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</si>
  <si>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</si>
  <si>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</si>
  <si>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</si>
  <si>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</si>
  <si>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</si>
  <si>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</si>
  <si>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</si>
  <si>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</si>
  <si>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</si>
  <si>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</si>
  <si>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</si>
  <si>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</si>
  <si>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</si>
  <si>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</si>
  <si>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</si>
  <si>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</si>
  <si>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</si>
  <si>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</si>
  <si>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</si>
  <si>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</si>
  <si>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</si>
  <si>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</si>
  <si>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</si>
  <si>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</si>
  <si>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</si>
  <si>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</si>
  <si>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</si>
  <si>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</si>
  <si>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</si>
  <si>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</si>
  <si>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</si>
  <si>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</si>
  <si>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</si>
  <si>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</si>
  <si>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</si>
  <si>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</si>
  <si>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</si>
  <si>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</si>
  <si>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</si>
  <si>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</si>
  <si>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</si>
  <si>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</si>
  <si>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</si>
  <si>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</si>
  <si>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</si>
  <si>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</si>
  <si>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</si>
  <si>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</si>
  <si>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</si>
  <si>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</si>
  <si>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</si>
  <si>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</si>
  <si>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</si>
  <si>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</si>
  <si>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</si>
  <si>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</si>
  <si>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</si>
  <si>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</si>
  <si>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</si>
  <si>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</si>
  <si>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</si>
  <si>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</si>
  <si>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</si>
  <si>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</si>
  <si>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</si>
  <si>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</si>
  <si>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</si>
  <si>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</si>
  <si>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</si>
  <si>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</si>
  <si>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</si>
  <si>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</si>
  <si>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</si>
  <si>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</si>
  <si>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</si>
  <si>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</si>
  <si>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</si>
  <si>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</si>
  <si>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</si>
  <si>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</si>
  <si>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</si>
  <si>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</si>
  <si>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</si>
  <si>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</si>
  <si>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</si>
  <si>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</si>
  <si>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</si>
  <si>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</si>
  <si>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</si>
  <si>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</si>
  <si>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</si>
  <si>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</si>
  <si>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</si>
  <si>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</si>
  <si>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</si>
  <si>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</si>
  <si>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</si>
  <si>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</si>
  <si>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</si>
  <si>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</si>
  <si>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</si>
  <si>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</si>
  <si>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</si>
  <si>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</si>
  <si>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</si>
  <si>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</si>
  <si>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</si>
  <si>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</si>
  <si>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</si>
  <si>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</si>
  <si>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</si>
  <si>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</si>
  <si>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</si>
  <si>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</si>
  <si>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</si>
  <si>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</si>
  <si>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</si>
  <si>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</si>
  <si>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</si>
  <si>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</si>
  <si>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</si>
  <si>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</si>
  <si>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</si>
  <si>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</si>
  <si>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</si>
  <si>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</si>
  <si>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</si>
  <si>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</si>
  <si>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</si>
  <si>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</si>
  <si>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</si>
  <si>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</si>
  <si>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</si>
  <si>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</si>
  <si>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</si>
  <si>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</si>
  <si>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</si>
  <si>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</si>
  <si>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</si>
  <si>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</si>
  <si>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</si>
  <si>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</si>
  <si>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</si>
  <si>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</si>
  <si>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</si>
  <si>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</si>
  <si>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</si>
  <si>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</si>
  <si>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</si>
  <si>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</si>
  <si>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</si>
  <si>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</si>
  <si>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</si>
  <si>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</si>
  <si>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</si>
  <si>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</si>
  <si>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</si>
  <si>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</si>
  <si>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</si>
  <si>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</si>
  <si>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</si>
  <si>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</si>
  <si>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</si>
  <si>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</si>
  <si>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</si>
  <si>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</si>
  <si>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</si>
  <si>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</si>
  <si>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</si>
  <si>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</si>
  <si>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</si>
  <si>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</si>
  <si>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</si>
  <si>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</si>
  <si>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</si>
  <si>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</si>
  <si>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</si>
  <si>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</si>
  <si>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</si>
  <si>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</si>
  <si>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</si>
  <si>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</si>
  <si>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</si>
  <si>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</si>
  <si>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</si>
  <si>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</si>
  <si>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</si>
  <si>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</si>
  <si>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</si>
  <si>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</si>
  <si>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</si>
  <si>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</si>
  <si>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</si>
  <si>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</si>
  <si>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</si>
  <si>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</si>
  <si>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</si>
  <si>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</si>
  <si>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</si>
  <si>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</si>
  <si>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</si>
  <si>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</si>
  <si>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</si>
  <si>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</si>
  <si>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</si>
  <si>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</si>
  <si>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</si>
  <si>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</si>
  <si>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</si>
  <si>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</si>
  <si>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</si>
  <si>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</si>
  <si>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</si>
  <si>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</si>
  <si>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</si>
  <si>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</si>
  <si>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</si>
  <si>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</si>
  <si>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</si>
  <si>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</si>
  <si>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</si>
  <si>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</si>
  <si>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</si>
  <si>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</si>
  <si>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</si>
  <si>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</si>
  <si>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</si>
  <si>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</si>
  <si>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</si>
  <si>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</si>
  <si>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</si>
  <si>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</si>
  <si>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</si>
  <si>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</si>
  <si>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</si>
  <si>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</si>
  <si>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</si>
  <si>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</si>
  <si>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</si>
  <si>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</si>
  <si>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</si>
  <si>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</si>
  <si>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</si>
  <si>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</si>
  <si>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</si>
  <si>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</si>
  <si>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</si>
  <si>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</si>
  <si>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</si>
  <si>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</si>
  <si>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</si>
  <si>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</si>
  <si>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</si>
  <si>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</si>
  <si>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</si>
  <si>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</si>
  <si>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</si>
  <si>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</si>
  <si>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</si>
  <si>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</si>
  <si>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</si>
  <si>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</si>
  <si>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</si>
  <si>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</si>
  <si>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</si>
  <si>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</si>
  <si>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</si>
  <si>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</si>
  <si>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</si>
  <si>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</si>
  <si>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</si>
  <si>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</si>
  <si>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</si>
  <si>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</si>
  <si>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</si>
  <si>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</si>
  <si>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</si>
  <si>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</si>
  <si>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</si>
  <si>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</si>
  <si>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</si>
  <si>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</si>
  <si>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</si>
  <si>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</si>
  <si>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</si>
  <si>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</si>
  <si>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</si>
  <si>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</si>
  <si>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</si>
  <si>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</si>
  <si>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</si>
  <si>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</si>
  <si>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</si>
  <si>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</si>
  <si>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</si>
  <si>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</si>
  <si>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</si>
  <si>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</si>
  <si>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</si>
  <si>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</si>
  <si>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</si>
  <si>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</si>
  <si>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</si>
  <si>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</si>
  <si>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</si>
  <si>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</si>
  <si>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</si>
  <si>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</si>
  <si>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</si>
  <si>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</si>
  <si>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</si>
  <si>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</si>
  <si>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</si>
  <si>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</si>
  <si>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</si>
  <si>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</si>
  <si>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</si>
  <si>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</si>
  <si>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</si>
  <si>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</si>
  <si>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</si>
  <si>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</si>
  <si>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</si>
  <si>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</si>
  <si>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</si>
  <si>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</si>
  <si>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</si>
  <si>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</si>
  <si>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</si>
  <si>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</si>
  <si>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</si>
  <si>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</si>
  <si>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</si>
  <si>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</si>
  <si>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</si>
  <si>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</si>
  <si>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</si>
  <si>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</si>
  <si>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</si>
  <si>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</si>
  <si>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</si>
  <si>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</si>
  <si>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</si>
  <si>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</si>
  <si>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</si>
  <si>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</si>
  <si>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</si>
  <si>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</si>
  <si>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</si>
  <si>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</si>
  <si>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</si>
  <si>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</si>
  <si>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</si>
  <si>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</si>
  <si>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</si>
  <si>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</si>
  <si>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</si>
  <si>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</si>
  <si>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</si>
  <si>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</si>
  <si>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</si>
  <si>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</si>
  <si>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</si>
  <si>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</si>
  <si>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</si>
  <si>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</si>
  <si>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</si>
  <si>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</si>
  <si>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</si>
  <si>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</si>
  <si>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</si>
  <si>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</si>
  <si>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</si>
  <si>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</si>
  <si>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</si>
  <si>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</si>
  <si>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</si>
  <si>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</si>
  <si>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</si>
  <si>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</si>
  <si>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</si>
  <si>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</si>
  <si>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</si>
  <si>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</si>
  <si>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</si>
  <si>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</si>
  <si>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</si>
  <si>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</si>
  <si>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</si>
  <si>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</si>
  <si>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</si>
  <si>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</si>
  <si>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</si>
  <si>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</si>
  <si>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</si>
  <si>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</si>
  <si>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</si>
  <si>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</si>
  <si>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</si>
  <si>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</si>
  <si>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</si>
  <si>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</si>
  <si>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</si>
  <si>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</si>
  <si>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</si>
  <si>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</si>
  <si>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</si>
  <si>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</si>
  <si>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</si>
  <si>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</si>
  <si>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</si>
  <si>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</si>
  <si>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</si>
  <si>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</si>
  <si>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</si>
  <si>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</si>
  <si>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</si>
  <si>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</si>
  <si>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</si>
  <si>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</si>
  <si>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</si>
  <si>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</si>
  <si>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</si>
  <si>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</si>
  <si>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</si>
  <si>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</si>
  <si>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</si>
  <si>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</si>
  <si>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</si>
  <si>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</si>
  <si>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</si>
  <si>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</si>
  <si>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</si>
  <si>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</si>
  <si>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</si>
  <si>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</si>
  <si>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</si>
  <si>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</si>
  <si>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</si>
  <si>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</si>
  <si>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</si>
  <si>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</si>
  <si>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</si>
  <si>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</si>
  <si>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</si>
  <si>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</si>
  <si>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</si>
  <si>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</si>
  <si>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</si>
  <si>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</si>
  <si>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</si>
  <si>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</si>
  <si>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</si>
  <si>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</si>
  <si>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</si>
  <si>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</si>
  <si>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</si>
  <si>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</si>
  <si>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</si>
  <si>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</si>
  <si>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</si>
  <si>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</si>
  <si>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</si>
  <si>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</si>
  <si>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</si>
  <si>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</si>
  <si>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</si>
  <si>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</si>
  <si>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</si>
  <si>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</si>
  <si>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</si>
  <si>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</si>
  <si>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</si>
  <si>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</si>
  <si>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</si>
  <si>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</si>
  <si>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</si>
  <si>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</si>
  <si>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</si>
  <si>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</si>
  <si>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</si>
  <si>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</si>
  <si>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</si>
  <si>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</si>
  <si>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</si>
  <si>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</si>
  <si>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</si>
  <si>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</si>
  <si>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</si>
  <si>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</si>
  <si>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</si>
  <si>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</si>
  <si>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</si>
  <si>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</si>
  <si>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</si>
  <si>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</si>
  <si>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</si>
  <si>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</si>
  <si>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</si>
  <si>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</si>
  <si>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</si>
  <si>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</si>
  <si>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</si>
  <si>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</si>
  <si>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</si>
  <si>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</si>
  <si>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</si>
  <si>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</si>
  <si>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</si>
  <si>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</si>
  <si>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</si>
  <si>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</si>
  <si>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</si>
  <si>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</si>
  <si>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</si>
  <si>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</si>
  <si>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</si>
  <si>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</si>
  <si>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</si>
  <si>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</si>
  <si>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</si>
  <si>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</si>
  <si>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</si>
  <si>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</si>
  <si>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</si>
  <si>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</si>
  <si>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</si>
  <si>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</si>
  <si>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</si>
  <si>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</si>
  <si>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</si>
  <si>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</si>
  <si>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</si>
  <si>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</si>
  <si>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</si>
  <si>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</si>
  <si>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</si>
  <si>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</si>
  <si>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</si>
  <si>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</si>
  <si>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</si>
  <si>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</si>
  <si>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</si>
  <si>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</si>
  <si>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</si>
  <si>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</si>
  <si>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</si>
  <si>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</si>
  <si>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</si>
  <si>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</si>
  <si>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</si>
  <si>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</si>
  <si>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</si>
  <si>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</si>
  <si>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</si>
  <si>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</si>
  <si>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</si>
  <si>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</si>
  <si>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</si>
  <si>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</si>
  <si>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</si>
  <si>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</si>
  <si>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</si>
  <si>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</si>
  <si>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</si>
  <si>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</si>
  <si>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</si>
  <si>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</si>
  <si>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</si>
  <si>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</si>
  <si>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</si>
  <si>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</si>
  <si>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</si>
  <si>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</si>
  <si>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</si>
  <si>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</si>
  <si>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</si>
  <si>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</si>
  <si>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</si>
  <si>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</si>
  <si>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</si>
  <si>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</si>
  <si>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</si>
  <si>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</si>
  <si>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</si>
  <si>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</si>
  <si>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</si>
  <si>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</si>
  <si>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</si>
  <si>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</si>
  <si>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</si>
  <si>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</si>
  <si>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</si>
  <si>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</si>
  <si>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</si>
  <si>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</si>
  <si>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</si>
  <si>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</si>
  <si>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</si>
  <si>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</si>
  <si>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</si>
  <si>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</si>
  <si>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</si>
  <si>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</si>
  <si>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</si>
  <si>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</si>
  <si>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</si>
  <si>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</si>
  <si>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</si>
  <si>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</si>
  <si>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</si>
  <si>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</si>
  <si>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</si>
  <si>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</si>
  <si>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</si>
  <si>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</si>
  <si>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</si>
  <si>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</si>
  <si>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</si>
  <si>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</si>
  <si>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</si>
  <si>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</si>
  <si>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</si>
  <si>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</si>
  <si>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</si>
  <si>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</si>
  <si>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</si>
  <si>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</si>
  <si>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</si>
  <si>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</si>
  <si>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</si>
  <si>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</si>
  <si>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</si>
  <si>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</si>
  <si>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</si>
  <si>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</si>
  <si>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</si>
  <si>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</si>
  <si>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</si>
  <si>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</si>
  <si>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</si>
  <si>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</si>
  <si>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</si>
  <si>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</si>
  <si>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</si>
  <si>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</si>
  <si>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</si>
  <si>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</si>
  <si>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</si>
  <si>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</si>
  <si>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</si>
  <si>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</si>
  <si>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</si>
  <si>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</si>
  <si>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</si>
  <si>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</si>
  <si>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</si>
  <si>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</si>
  <si>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</si>
  <si>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</si>
  <si>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</si>
  <si>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</si>
  <si>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</si>
  <si>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</si>
  <si>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</si>
  <si>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</si>
  <si>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</si>
  <si>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</si>
  <si>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</si>
  <si>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</si>
  <si>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</si>
  <si>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</si>
  <si>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</si>
  <si>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</si>
  <si>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</si>
  <si>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</si>
  <si>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</si>
  <si>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</si>
  <si>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</si>
  <si>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</si>
  <si>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</si>
  <si>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</si>
  <si>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</si>
  <si>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</si>
  <si>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</si>
  <si>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</si>
  <si>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</si>
  <si>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</si>
  <si>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</si>
  <si>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</si>
  <si>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</si>
  <si>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</si>
  <si>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</si>
  <si>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</si>
  <si>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</si>
  <si>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</si>
  <si>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</si>
  <si>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</si>
  <si>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</si>
  <si>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</si>
  <si>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</si>
  <si>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</si>
  <si>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</si>
  <si>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</si>
  <si>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</si>
  <si>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</si>
  <si>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</si>
  <si>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</si>
  <si>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</si>
  <si>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</si>
  <si>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</si>
  <si>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</si>
  <si>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</si>
  <si>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</si>
  <si>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</si>
  <si>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</si>
  <si>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</si>
  <si>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</si>
  <si>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</si>
  <si>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</si>
  <si>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</si>
  <si>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</si>
  <si>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</si>
  <si>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</si>
  <si>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</si>
  <si>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</si>
  <si>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</si>
  <si>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</si>
  <si>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</si>
  <si>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</si>
  <si>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</si>
  <si>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</si>
  <si>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</si>
  <si>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</si>
  <si>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</si>
  <si>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</si>
  <si>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</si>
  <si>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</si>
  <si>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</si>
  <si>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</si>
  <si>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</si>
  <si>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</si>
  <si>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</si>
  <si>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</si>
  <si>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</si>
  <si>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</si>
  <si>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</si>
  <si>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</si>
  <si>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</si>
  <si>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</si>
  <si>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</si>
  <si>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</si>
  <si>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</si>
  <si>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</si>
  <si>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</si>
  <si>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</si>
  <si>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</si>
  <si>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</si>
  <si>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</si>
  <si>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</si>
  <si>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</si>
  <si>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</si>
  <si>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</si>
  <si>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</si>
  <si>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</si>
  <si>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</si>
  <si>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</si>
  <si>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</si>
  <si>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</si>
  <si>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</si>
  <si>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</si>
  <si>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</si>
  <si>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</si>
  <si>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</si>
  <si>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</si>
  <si>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</si>
  <si>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</si>
  <si>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</si>
  <si>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</si>
  <si>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</si>
  <si>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</si>
  <si>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</si>
  <si>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</si>
  <si>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</si>
  <si>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</si>
  <si>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</si>
  <si>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</si>
  <si>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</si>
  <si>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</si>
  <si>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</si>
  <si>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</si>
  <si>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</si>
  <si>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</si>
  <si>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</si>
  <si>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</si>
  <si>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</si>
  <si>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</si>
  <si>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</si>
  <si>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</si>
  <si>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</si>
  <si>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</si>
  <si>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</si>
  <si>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</si>
  <si>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</si>
  <si>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</si>
  <si>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</si>
  <si>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</si>
  <si>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</si>
  <si>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</si>
  <si>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</si>
  <si>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</si>
  <si>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</si>
  <si>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</si>
  <si>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</si>
  <si>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</si>
  <si>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</si>
  <si>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</si>
  <si>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</si>
  <si>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</si>
  <si>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</si>
  <si>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</si>
  <si>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</si>
  <si>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</si>
  <si>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</si>
  <si>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</si>
  <si>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</si>
  <si>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</si>
  <si>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</si>
  <si>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</si>
  <si>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</si>
  <si>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</si>
  <si>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</si>
  <si>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</si>
  <si>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</si>
  <si>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</si>
  <si>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</si>
  <si>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</si>
  <si>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</si>
  <si>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</si>
  <si>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</si>
  <si>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</si>
  <si>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</si>
  <si>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</si>
  <si>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</si>
  <si>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</si>
  <si>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</si>
  <si>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</si>
  <si>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</si>
  <si>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</si>
  <si>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</si>
  <si>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</si>
  <si>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</si>
  <si>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</si>
  <si>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</si>
  <si>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</si>
  <si>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</si>
  <si>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</si>
  <si>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</si>
  <si>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</si>
  <si>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</si>
  <si>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</si>
  <si>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</si>
  <si>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</si>
  <si>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</si>
  <si>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</si>
  <si>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</si>
  <si>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</si>
  <si>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</si>
  <si>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</si>
  <si>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</si>
  <si>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</si>
  <si>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</si>
  <si>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</si>
  <si>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</si>
  <si>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</si>
  <si>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</si>
  <si>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</si>
  <si>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</si>
  <si>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</si>
  <si>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</si>
  <si>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</si>
  <si>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</si>
  <si>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</si>
  <si>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</si>
  <si>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</si>
  <si>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</si>
  <si>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</si>
  <si>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</si>
  <si>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</si>
  <si>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</si>
  <si>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</si>
  <si>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</si>
  <si>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</si>
  <si>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</si>
  <si>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</si>
  <si>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</si>
  <si>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</si>
  <si>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</si>
  <si>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</si>
  <si>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</si>
  <si>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</si>
  <si>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</si>
  <si>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</si>
  <si>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</si>
  <si>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</si>
  <si>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</si>
  <si>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</si>
  <si>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</si>
  <si>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</si>
  <si>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</si>
  <si>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</si>
  <si>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</si>
  <si>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</si>
  <si>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</si>
  <si>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</si>
  <si>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</si>
  <si>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</si>
  <si>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</si>
  <si>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</si>
  <si>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</si>
  <si>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</si>
  <si>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</si>
  <si>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</si>
  <si>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</si>
  <si>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</si>
  <si>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</si>
  <si>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</si>
  <si>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</si>
  <si>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</si>
  <si>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</si>
  <si>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</si>
  <si>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</si>
  <si>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</si>
  <si>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</si>
  <si>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</si>
  <si>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</si>
  <si>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</si>
  <si>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</si>
  <si>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</si>
  <si>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</si>
  <si>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</si>
  <si>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</si>
  <si>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</si>
  <si>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</si>
  <si>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</si>
  <si>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</si>
  <si>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</si>
  <si>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</si>
  <si>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</si>
  <si>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</si>
  <si>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</si>
  <si>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</si>
  <si>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</si>
  <si>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</si>
  <si>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</si>
  <si>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</si>
  <si>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</si>
  <si>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</si>
  <si>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</si>
  <si>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</si>
  <si>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</si>
  <si>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</si>
  <si>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</si>
  <si>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</si>
  <si>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</si>
  <si>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</si>
  <si>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</si>
  <si>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</si>
  <si>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</si>
  <si>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</si>
  <si>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</si>
  <si>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</si>
  <si>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</si>
  <si>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</si>
  <si>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</si>
  <si>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</si>
  <si>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</si>
  <si>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</si>
  <si>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</si>
  <si>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</si>
  <si>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</si>
  <si>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</si>
  <si>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</si>
  <si>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</si>
  <si>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</si>
  <si>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</si>
  <si>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</si>
  <si>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</si>
  <si>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</si>
  <si>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</si>
  <si>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</si>
  <si>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</si>
  <si>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</si>
  <si>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</si>
  <si>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</si>
  <si>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</si>
  <si>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</si>
  <si>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</si>
  <si>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</si>
  <si>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</si>
  <si>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</si>
  <si>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</si>
  <si>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</si>
  <si>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</si>
  <si>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</si>
  <si>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</si>
  <si>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</si>
  <si>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</si>
  <si>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</si>
  <si>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</si>
  <si>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</si>
  <si>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</si>
  <si>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</si>
  <si>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</si>
  <si>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</si>
  <si>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</si>
  <si>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</si>
  <si>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</si>
  <si>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</si>
  <si>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</si>
  <si>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</si>
  <si>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</si>
  <si>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</si>
  <si>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</si>
  <si>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</si>
  <si>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</si>
  <si>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</si>
  <si>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</si>
  <si>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</si>
  <si>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</si>
  <si>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</si>
  <si>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</si>
  <si>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</si>
  <si>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</si>
  <si>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</si>
  <si>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</si>
  <si>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</si>
  <si>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</si>
  <si>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</si>
  <si>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</si>
  <si>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</si>
  <si>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</si>
  <si>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</si>
  <si>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</si>
  <si>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</si>
  <si>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</si>
  <si>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</si>
  <si>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</si>
  <si>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</si>
  <si>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</si>
  <si>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</si>
  <si>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</si>
  <si>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</si>
  <si>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</si>
  <si>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</si>
  <si>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</si>
  <si>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</si>
  <si>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</si>
  <si>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</si>
  <si>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</si>
  <si>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</si>
  <si>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</si>
  <si>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</si>
  <si>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</si>
  <si>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</si>
  <si>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</si>
  <si>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</si>
  <si>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</si>
  <si>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</si>
  <si>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</si>
  <si>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</si>
  <si>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</si>
  <si>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</si>
  <si>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</si>
  <si>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</si>
  <si>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</si>
  <si>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</si>
  <si>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</si>
  <si>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</si>
  <si>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</si>
  <si>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</si>
  <si>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</si>
  <si>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</si>
  <si>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</si>
  <si>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</si>
  <si>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</si>
  <si>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</si>
  <si>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</si>
  <si>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</si>
  <si>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</si>
  <si>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</si>
  <si>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</si>
  <si>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</si>
  <si>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</si>
  <si>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</si>
  <si>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</si>
  <si>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</si>
  <si>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</si>
  <si>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</si>
  <si>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</si>
  <si>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</si>
  <si>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</si>
  <si>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</si>
  <si>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</si>
  <si>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</si>
  <si>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</si>
  <si>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</si>
  <si>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</si>
  <si>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</si>
  <si>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</si>
  <si>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</si>
  <si>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</si>
  <si>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</si>
  <si>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</si>
  <si>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</si>
  <si>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</si>
  <si>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</si>
  <si>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</si>
  <si>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</si>
  <si>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</si>
  <si>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</si>
  <si>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</si>
  <si>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</si>
  <si>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</si>
  <si>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</si>
  <si>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</si>
  <si>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</si>
  <si>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</si>
  <si>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</si>
  <si>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</si>
  <si>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</si>
  <si>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</si>
  <si>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</si>
  <si>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</si>
  <si>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</si>
  <si>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</si>
  <si>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</si>
  <si>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</si>
  <si>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</si>
  <si>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</si>
  <si>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</si>
  <si>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</si>
  <si>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</si>
  <si>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</si>
  <si>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</si>
  <si>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</si>
  <si>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</si>
  <si>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</si>
  <si>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</si>
  <si>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</si>
  <si>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</si>
  <si>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</si>
  <si>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</si>
  <si>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</si>
  <si>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</si>
  <si>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</si>
  <si>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</si>
  <si>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</si>
  <si>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</si>
  <si>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</si>
  <si>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</si>
  <si>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</si>
  <si>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</si>
  <si>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</si>
  <si>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</si>
  <si>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</si>
  <si>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</si>
  <si>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</si>
  <si>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</si>
  <si>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</si>
  <si>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</si>
  <si>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</si>
  <si>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</si>
  <si>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</si>
  <si>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</si>
  <si>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</si>
  <si>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</si>
  <si>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</si>
  <si>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</si>
  <si>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</si>
  <si>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</si>
  <si>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</si>
  <si>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</si>
  <si>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</si>
  <si>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</si>
  <si>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</si>
  <si>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</si>
  <si>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</si>
  <si>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</si>
  <si>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</si>
  <si>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</si>
  <si>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</si>
  <si>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</si>
  <si>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</si>
  <si>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</si>
  <si>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</si>
  <si>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</si>
  <si>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</si>
  <si>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</si>
  <si>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</si>
  <si>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</si>
  <si>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</si>
  <si>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</si>
  <si>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</si>
  <si>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</si>
  <si>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</si>
  <si>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</si>
  <si>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</si>
  <si>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</si>
  <si>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</si>
  <si>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</si>
  <si>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</si>
  <si>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</si>
  <si>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</si>
  <si>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</si>
  <si>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</si>
  <si>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</si>
  <si>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</si>
  <si>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</si>
  <si>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</si>
  <si>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</si>
  <si>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</si>
  <si>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</si>
  <si>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</si>
  <si>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</si>
  <si>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</si>
  <si>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</si>
  <si>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</si>
  <si>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</si>
  <si>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</si>
  <si>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</si>
  <si>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</si>
  <si>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</si>
  <si>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</si>
  <si>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</si>
  <si>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</si>
  <si>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</si>
  <si>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</si>
  <si>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</si>
  <si>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</si>
  <si>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</si>
  <si>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</si>
  <si>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</si>
  <si>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</si>
  <si>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</si>
  <si>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</si>
  <si>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</si>
  <si>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</si>
  <si>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</si>
  <si>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</si>
  <si>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</si>
  <si>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</si>
  <si>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</si>
  <si>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</si>
  <si>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</si>
  <si>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</si>
  <si>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</si>
  <si>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</si>
  <si>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</si>
  <si>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</si>
  <si>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</si>
  <si>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</si>
  <si>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</si>
  <si>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</si>
  <si>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</si>
  <si>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</si>
  <si>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</si>
  <si>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</si>
  <si>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</si>
  <si>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</si>
  <si>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</si>
  <si>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</si>
  <si>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</si>
  <si>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</si>
  <si>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</si>
  <si>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</si>
  <si>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</si>
  <si>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</si>
  <si>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</si>
  <si>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</si>
  <si>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</si>
  <si>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</si>
  <si>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</si>
  <si>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</si>
  <si>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</si>
  <si>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</si>
  <si>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</si>
  <si>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</si>
  <si>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</si>
  <si>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</si>
  <si>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</si>
  <si>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</si>
  <si>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</si>
  <si>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</si>
  <si>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</si>
  <si>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</si>
  <si>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</si>
  <si>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</si>
  <si>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</si>
  <si>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260415-032</t>
  </si>
  <si>
    <t>260423-083</t>
  </si>
  <si>
    <t>260521-206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</si>
  <si>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</si>
  <si>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</si>
  <si>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</si>
  <si>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</si>
  <si>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</si>
  <si>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</si>
  <si>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</si>
  <si>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</si>
  <si>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</si>
  <si>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</si>
  <si>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</si>
  <si>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</si>
  <si>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</si>
  <si>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</si>
  <si>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</si>
  <si>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</si>
  <si>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</si>
  <si>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</si>
  <si>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</si>
  <si>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</si>
  <si>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</si>
  <si>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</si>
  <si>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</si>
  <si>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</si>
  <si>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</si>
  <si>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</si>
  <si>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</si>
  <si>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</si>
  <si>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</si>
  <si>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</si>
  <si>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</si>
  <si>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</si>
  <si>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</si>
  <si>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</si>
  <si>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</si>
  <si>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</si>
  <si>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</si>
  <si>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</si>
  <si>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</si>
  <si>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</si>
  <si>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</si>
  <si>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</si>
  <si>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</si>
  <si>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</si>
  <si>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</si>
  <si>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</si>
  <si>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</si>
  <si>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</si>
  <si>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</si>
  <si>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</si>
  <si>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</si>
  <si>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</si>
  <si>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</si>
  <si>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</si>
  <si>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</si>
  <si>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</si>
  <si>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</si>
  <si>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</si>
  <si>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</si>
  <si>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</si>
  <si>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</si>
  <si>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</si>
  <si>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</si>
  <si>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</si>
  <si>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</si>
  <si>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</si>
  <si>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</si>
  <si>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</si>
  <si>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</si>
  <si>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</si>
  <si>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</si>
  <si>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</si>
  <si>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</si>
  <si>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</si>
  <si>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</si>
  <si>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</si>
  <si>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</si>
  <si>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</si>
  <si>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</si>
  <si>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</si>
  <si>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</si>
  <si>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</si>
  <si>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</si>
  <si>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</si>
  <si>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</si>
  <si>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</si>
  <si>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</si>
  <si>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</si>
  <si>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</si>
  <si>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</si>
  <si>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</si>
  <si>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</si>
  <si>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</si>
  <si>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</si>
  <si>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</si>
  <si>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</si>
  <si>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</si>
  <si>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</si>
  <si>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</si>
  <si>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</si>
  <si>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</si>
  <si>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</si>
  <si>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</si>
  <si>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</si>
  <si>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</si>
  <si>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</si>
  <si>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</si>
  <si>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</si>
  <si>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</si>
  <si>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</si>
  <si>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</si>
  <si>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</si>
  <si>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</si>
  <si>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</si>
  <si>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</si>
  <si>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</si>
  <si>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</si>
  <si>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</si>
  <si>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</si>
  <si>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</si>
  <si>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</si>
  <si>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</si>
  <si>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</si>
  <si>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</si>
  <si>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</si>
  <si>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</si>
  <si>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</si>
  <si>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</si>
  <si>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</si>
  <si>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</si>
  <si>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</si>
  <si>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</si>
  <si>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</si>
  <si>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</si>
  <si>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</si>
  <si>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</si>
  <si>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</si>
  <si>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</si>
  <si>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</si>
  <si>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</si>
  <si>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</si>
  <si>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</si>
  <si>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</si>
  <si>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</si>
  <si>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</si>
  <si>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</si>
  <si>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</si>
  <si>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</si>
  <si>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</si>
  <si>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</si>
  <si>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</si>
  <si>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</si>
  <si>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</si>
  <si>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</si>
  <si>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</si>
  <si>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</si>
  <si>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</si>
  <si>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</si>
  <si>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</si>
  <si>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</si>
  <si>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</si>
  <si>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</si>
  <si>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</si>
  <si>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</si>
  <si>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</si>
  <si>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</si>
  <si>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</si>
  <si>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</si>
  <si>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</si>
  <si>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</si>
  <si>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</si>
  <si>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</si>
  <si>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</si>
  <si>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</si>
  <si>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</si>
  <si>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</si>
  <si>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</si>
  <si>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</si>
  <si>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</si>
  <si>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</si>
  <si>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</si>
  <si>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</si>
  <si>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</si>
  <si>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</si>
  <si>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</si>
  <si>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</si>
  <si>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</si>
  <si>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</si>
  <si>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</si>
  <si>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</si>
  <si>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</si>
  <si>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</si>
  <si>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</si>
  <si>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</si>
  <si>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</si>
  <si>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</si>
  <si>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</si>
  <si>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</si>
  <si>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</si>
  <si>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</si>
  <si>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</si>
  <si>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</si>
  <si>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</si>
  <si>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</si>
  <si>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</si>
  <si>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</si>
  <si>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</si>
  <si>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</si>
  <si>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</si>
  <si>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</si>
  <si>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</si>
  <si>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</si>
  <si>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</si>
  <si>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</si>
  <si>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</si>
  <si>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</si>
  <si>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</si>
  <si>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</si>
  <si>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</si>
  <si>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</si>
  <si>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</si>
  <si>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</si>
  <si>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</si>
  <si>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</si>
  <si>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</si>
  <si>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</si>
  <si>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</si>
  <si>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</si>
  <si>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</si>
  <si>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</si>
  <si>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</si>
  <si>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</si>
  <si>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</si>
  <si>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</si>
  <si>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</si>
  <si>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</si>
  <si>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</si>
  <si>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</si>
  <si>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</si>
  <si>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</si>
  <si>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</si>
  <si>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</si>
  <si>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</si>
  <si>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</si>
  <si>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</si>
  <si>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</si>
  <si>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</si>
  <si>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</si>
  <si>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</si>
  <si>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</si>
  <si>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</si>
  <si>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</si>
  <si>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</si>
  <si>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</si>
  <si>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</si>
  <si>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</si>
  <si>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</si>
  <si>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</si>
  <si>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</si>
  <si>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</si>
  <si>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</si>
  <si>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</si>
  <si>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</si>
  <si>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</si>
  <si>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</si>
  <si>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</si>
  <si>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</si>
  <si>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</si>
  <si>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</si>
  <si>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</si>
  <si>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</si>
  <si>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</si>
  <si>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</si>
  <si>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</si>
  <si>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</si>
  <si>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</si>
  <si>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</si>
  <si>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</si>
  <si>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</si>
  <si>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</si>
  <si>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</si>
  <si>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</si>
  <si>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</si>
  <si>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</si>
  <si>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</si>
  <si>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</si>
  <si>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</si>
  <si>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</si>
  <si>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</si>
  <si>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</si>
  <si>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</si>
  <si>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</si>
  <si>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</si>
  <si>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</si>
  <si>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</si>
  <si>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</si>
  <si>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</si>
  <si>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</si>
  <si>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</si>
  <si>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</si>
  <si>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</si>
  <si>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</si>
  <si>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</si>
  <si>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</si>
  <si>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</si>
  <si>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</si>
  <si>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</si>
  <si>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</si>
  <si>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</si>
  <si>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</si>
  <si>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</si>
  <si>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</si>
  <si>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</si>
  <si>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</si>
  <si>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</si>
  <si>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</si>
  <si>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</si>
  <si>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</si>
  <si>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</si>
  <si>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</si>
  <si>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</si>
  <si>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</si>
  <si>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</si>
  <si>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</si>
  <si>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</si>
  <si>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</si>
  <si>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</si>
  <si>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</si>
  <si>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</si>
  <si>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</si>
  <si>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</si>
  <si>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</si>
  <si>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</si>
  <si>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</si>
  <si>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</si>
  <si>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</si>
  <si>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</si>
  <si>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</si>
  <si>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</si>
  <si>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</si>
  <si>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</si>
  <si>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</si>
  <si>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</si>
  <si>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</si>
  <si>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</si>
  <si>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</si>
  <si>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</si>
  <si>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</si>
  <si>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</si>
  <si>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</si>
  <si>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</si>
  <si>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</si>
  <si>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</si>
  <si>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</si>
  <si>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</si>
  <si>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</si>
  <si>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</si>
  <si>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</si>
  <si>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</si>
  <si>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</si>
  <si>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</si>
  <si>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</si>
  <si>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</si>
  <si>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</si>
  <si>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</si>
  <si>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</si>
  <si>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</si>
  <si>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</si>
  <si>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</si>
  <si>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</si>
  <si>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</si>
  <si>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</si>
  <si>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</si>
  <si>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</si>
  <si>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</si>
  <si>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</si>
  <si>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</si>
  <si>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</si>
  <si>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</si>
  <si>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</si>
  <si>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</si>
  <si>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</si>
  <si>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</si>
  <si>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</si>
  <si>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</si>
  <si>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</si>
  <si>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</si>
  <si>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</si>
  <si>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</si>
  <si>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</si>
  <si>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</si>
  <si>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</si>
  <si>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</si>
  <si>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</si>
  <si>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</si>
  <si>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</si>
  <si>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</si>
  <si>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</si>
  <si>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</si>
  <si>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</si>
  <si>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</si>
  <si>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</si>
  <si>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</si>
  <si>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</si>
  <si>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</si>
  <si>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</si>
  <si>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</si>
  <si>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</si>
  <si>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</si>
  <si>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</si>
  <si>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</si>
  <si>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</si>
  <si>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</si>
  <si>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</si>
  <si>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</si>
  <si>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</si>
  <si>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</si>
  <si>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</si>
  <si>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</si>
  <si>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</si>
  <si>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</si>
  <si>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</si>
  <si>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</si>
  <si>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</si>
  <si>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</si>
  <si>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</si>
  <si>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</si>
  <si>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</si>
  <si>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</si>
  <si>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</si>
  <si>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</si>
  <si>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</si>
  <si>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</si>
  <si>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</si>
  <si>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</si>
  <si>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</si>
  <si>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</si>
  <si>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</si>
  <si>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</si>
  <si>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</si>
  <si>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</si>
  <si>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</si>
  <si>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</si>
  <si>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</si>
  <si>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</si>
  <si>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</si>
  <si>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</si>
  <si>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</si>
  <si>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</si>
  <si>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</si>
  <si>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</si>
  <si>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</si>
  <si>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</si>
  <si>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</si>
  <si>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</si>
  <si>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</si>
  <si>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</si>
  <si>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</si>
  <si>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</si>
  <si>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</si>
  <si>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</si>
  <si>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</si>
  <si>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</si>
  <si>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</si>
  <si>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</si>
  <si>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</si>
  <si>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</si>
  <si>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</si>
  <si>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</si>
  <si>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</si>
  <si>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</si>
  <si>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</si>
  <si>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</si>
  <si>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</si>
  <si>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</si>
  <si>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</si>
  <si>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</si>
  <si>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</si>
  <si>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</si>
  <si>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</si>
  <si>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</si>
  <si>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</si>
  <si>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</si>
  <si>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</si>
  <si>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</si>
  <si>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</si>
  <si>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</si>
  <si>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</si>
  <si>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</si>
  <si>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</si>
  <si>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</si>
  <si>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</si>
  <si>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</si>
  <si>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</si>
  <si>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</si>
  <si>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</si>
  <si>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</si>
  <si>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</si>
  <si>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</si>
  <si>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</si>
  <si>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</si>
  <si>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</si>
  <si>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</si>
  <si>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</si>
  <si>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</si>
  <si>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</si>
  <si>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</si>
  <si>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</si>
  <si>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</si>
  <si>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</si>
  <si>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</si>
  <si>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</si>
  <si>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</si>
  <si>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</si>
  <si>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</si>
  <si>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</si>
  <si>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</si>
  <si>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</si>
  <si>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</si>
  <si>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</si>
  <si>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</si>
  <si>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</si>
  <si>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</si>
  <si>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</si>
  <si>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</si>
  <si>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</si>
  <si>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</si>
  <si>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</si>
  <si>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</si>
  <si>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</si>
  <si>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</si>
  <si>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</si>
  <si>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</si>
  <si>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</si>
  <si>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</si>
  <si>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</si>
  <si>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</si>
  <si>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</si>
  <si>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</si>
  <si>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</si>
  <si>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</si>
  <si>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</si>
  <si>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</si>
  <si>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</si>
  <si>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</si>
  <si>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</si>
  <si>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</si>
  <si>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</si>
  <si>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</si>
  <si>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</si>
  <si>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</si>
  <si>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</si>
  <si>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</si>
  <si>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</si>
  <si>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</si>
  <si>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</si>
  <si>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</si>
  <si>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</si>
  <si>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</si>
  <si>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</si>
  <si>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</si>
  <si>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</si>
  <si>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</si>
  <si>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</si>
  <si>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</si>
  <si>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</si>
  <si>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</si>
  <si>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</si>
  <si>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</si>
  <si>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</si>
  <si>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</si>
  <si>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</si>
  <si>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</si>
  <si>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</si>
  <si>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</si>
  <si>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</si>
  <si>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</si>
  <si>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</si>
  <si>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</si>
  <si>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</si>
  <si>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</si>
  <si>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</si>
  <si>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</si>
  <si>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</si>
  <si>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</si>
  <si>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</si>
  <si>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</si>
  <si>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</si>
  <si>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</si>
  <si>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</si>
  <si>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</si>
  <si>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</si>
  <si>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</si>
  <si>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</si>
  <si>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</si>
  <si>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</si>
  <si>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</si>
  <si>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</si>
  <si>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</si>
  <si>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</si>
  <si>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</si>
  <si>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</si>
  <si>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</si>
  <si>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</si>
  <si>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</si>
  <si>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</si>
  <si>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</si>
  <si>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</si>
  <si>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</si>
  <si>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</si>
  <si>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</si>
  <si>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</si>
  <si>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</si>
  <si>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</si>
  <si>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</si>
  <si>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</si>
  <si>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</si>
  <si>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</si>
  <si>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</si>
  <si>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</si>
  <si>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</si>
  <si>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</si>
  <si>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</si>
  <si>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</si>
  <si>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</si>
  <si>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</si>
  <si>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</si>
  <si>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</si>
  <si>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</si>
  <si>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</si>
  <si>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</si>
  <si>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</si>
  <si>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</si>
  <si>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</si>
  <si>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</si>
  <si>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</si>
  <si>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</si>
  <si>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</si>
  <si>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</si>
  <si>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</si>
  <si>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</si>
  <si>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</si>
  <si>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</si>
  <si>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</si>
  <si>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</si>
  <si>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</si>
  <si>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</si>
  <si>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</si>
  <si>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</si>
  <si>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</si>
  <si>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</si>
  <si>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</si>
  <si>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</si>
  <si>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</si>
  <si>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</si>
  <si>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</si>
  <si>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</si>
  <si>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</si>
  <si>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</si>
  <si>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</si>
  <si>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</si>
  <si>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</si>
  <si>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</si>
  <si>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</si>
  <si>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</si>
  <si>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</si>
  <si>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</si>
  <si>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</si>
  <si>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</si>
  <si>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</si>
  <si>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</si>
  <si>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</si>
  <si>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</si>
  <si>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</si>
  <si>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</si>
  <si>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</si>
  <si>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</si>
  <si>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</si>
  <si>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</si>
  <si>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</si>
  <si>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</si>
  <si>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</si>
  <si>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</si>
  <si>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</si>
  <si>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</si>
  <si>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</si>
  <si>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</si>
  <si>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</si>
  <si>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</si>
  <si>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</si>
  <si>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</si>
  <si>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</si>
  <si>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</si>
  <si>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</si>
  <si>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</si>
  <si>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</si>
  <si>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</si>
  <si>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</si>
  <si>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</si>
  <si>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</si>
  <si>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</si>
  <si>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</si>
  <si>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</si>
  <si>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</si>
  <si>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</si>
  <si>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</si>
  <si>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</si>
  <si>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</si>
  <si>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</si>
  <si>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</si>
  <si>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</si>
  <si>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</si>
  <si>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</si>
  <si>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</si>
  <si>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</si>
  <si>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</si>
  <si>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</si>
  <si>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</si>
  <si>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</si>
  <si>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</si>
  <si>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</si>
  <si>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</si>
  <si>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</si>
  <si>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</si>
  <si>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</si>
  <si>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</si>
  <si>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</si>
  <si>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</si>
  <si>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</si>
  <si>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</si>
  <si>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</si>
  <si>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</si>
  <si>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</si>
  <si>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</si>
  <si>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</si>
  <si>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</si>
  <si>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</si>
  <si>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</si>
  <si>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</si>
  <si>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</si>
  <si>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</si>
  <si>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</si>
  <si>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</si>
  <si>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</si>
  <si>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</si>
  <si>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</si>
  <si>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</si>
  <si>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</si>
  <si>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</si>
  <si>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</si>
  <si>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</si>
  <si>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</si>
  <si>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</si>
  <si>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</si>
  <si>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</si>
  <si>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</si>
  <si>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</si>
  <si>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</si>
  <si>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</si>
  <si>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</si>
  <si>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</si>
  <si>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</si>
  <si>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</si>
  <si>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</si>
  <si>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</si>
  <si>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</si>
  <si>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</si>
  <si>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</si>
  <si>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</si>
  <si>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</si>
  <si>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</si>
  <si>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</si>
  <si>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</si>
  <si>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</si>
  <si>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</si>
  <si>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</si>
  <si>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</si>
  <si>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</si>
  <si>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</si>
  <si>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</si>
  <si>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</si>
  <si>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</si>
  <si>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</si>
  <si>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</si>
  <si>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</si>
  <si>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</si>
  <si>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</si>
  <si>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</si>
  <si>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</si>
  <si>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</si>
  <si>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</si>
  <si>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</si>
  <si>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</si>
  <si>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</si>
  <si>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</si>
  <si>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</si>
  <si>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</si>
  <si>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</si>
  <si>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</si>
  <si>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</si>
  <si>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</si>
  <si>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</si>
  <si>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</si>
  <si>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</si>
  <si>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</si>
  <si>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</si>
  <si>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</si>
  <si>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</si>
  <si>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</si>
  <si>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</si>
  <si>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</si>
  <si>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</si>
  <si>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</si>
  <si>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</si>
  <si>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</si>
  <si>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</si>
  <si>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</si>
  <si>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</si>
  <si>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</si>
  <si>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</si>
  <si>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</si>
  <si>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</si>
  <si>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</si>
  <si>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</si>
  <si>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</si>
  <si>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</si>
  <si>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</si>
  <si>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</si>
  <si>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</si>
  <si>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</si>
  <si>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</si>
  <si>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</si>
  <si>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</si>
  <si>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</si>
  <si>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</si>
  <si>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</si>
  <si>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</si>
  <si>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</si>
  <si>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</si>
  <si>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</si>
  <si>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</si>
  <si>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</si>
  <si>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</si>
  <si>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</si>
  <si>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</si>
  <si>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</si>
  <si>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</si>
  <si>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</si>
  <si>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</si>
  <si>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</si>
  <si>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</si>
  <si>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</si>
  <si>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</si>
  <si>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</si>
  <si>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</si>
  <si>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</si>
  <si>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</si>
  <si>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</si>
  <si>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</si>
  <si>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</si>
  <si>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</si>
  <si>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</si>
  <si>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</si>
  <si>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</si>
  <si>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</si>
  <si>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</si>
  <si>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</si>
  <si>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</si>
  <si>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</si>
  <si>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</si>
  <si>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</si>
  <si>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</si>
  <si>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</si>
  <si>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</si>
  <si>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</si>
  <si>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</si>
  <si>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</si>
  <si>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</si>
  <si>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</si>
  <si>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</si>
  <si>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</si>
  <si>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</si>
  <si>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</si>
  <si>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</si>
  <si>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</si>
  <si>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</si>
  <si>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</si>
  <si>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</si>
  <si>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</si>
  <si>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</si>
  <si>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</si>
  <si>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</si>
  <si>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</si>
  <si>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</si>
  <si>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</si>
  <si>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</si>
  <si>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</si>
  <si>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</si>
  <si>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</si>
  <si>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</si>
  <si>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</si>
  <si>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</si>
  <si>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</si>
  <si>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</si>
  <si>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</si>
  <si>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</si>
  <si>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</si>
  <si>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</si>
  <si>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</si>
  <si>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</si>
  <si>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</si>
  <si>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</si>
  <si>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</si>
  <si>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</si>
  <si>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</si>
  <si>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</si>
  <si>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</si>
  <si>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</si>
  <si>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</si>
  <si>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</si>
  <si>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</si>
  <si>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</si>
  <si>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</si>
  <si>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</si>
  <si>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</si>
  <si>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</si>
  <si>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</si>
  <si>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</si>
  <si>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</si>
  <si>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</si>
  <si>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</si>
  <si>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</si>
  <si>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</si>
  <si>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</si>
  <si>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</si>
  <si>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</si>
  <si>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</si>
  <si>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</si>
  <si>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</si>
  <si>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</si>
  <si>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</si>
  <si>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</si>
  <si>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</si>
  <si>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</si>
  <si>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</si>
  <si>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</si>
  <si>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</si>
  <si>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</si>
  <si>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</si>
  <si>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</si>
  <si>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</si>
  <si>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</si>
  <si>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</si>
  <si>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</si>
  <si>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</si>
  <si>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</si>
  <si>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</si>
  <si>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</si>
  <si>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</si>
  <si>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</si>
  <si>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</si>
  <si>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</si>
  <si>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</si>
  <si>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</si>
  <si>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</si>
  <si>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</si>
  <si>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</si>
  <si>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</si>
  <si>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</si>
  <si>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</si>
  <si>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</si>
  <si>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</si>
  <si>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</si>
  <si>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</si>
  <si>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</si>
  <si>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</si>
  <si>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 xml:space="preserve">tipa </t>
  </si>
  <si>
    <t>aromo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</si>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</sst>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</cellXfs>
  <cellStyles count="1">
    <cellStyle name="Normal" xfId="0" builtinId="0"/>
  </cellStyles>
  <dxfs count="13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7" totalsRowShown="0">
  <autoFilter ref="A1:U11997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8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7"/>
  <sheetViews>
    <sheetView showGridLines="0" tabSelected="1" workbookViewId="0">
      <selection activeCell="M267" sqref="M267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38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38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22">
        <f t="shared" ref="K192:K253" si="0"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380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22">
        <f t="shared" si="0"/>
        <v>-120</v>
      </c>
      <c r="L193" s="34" t="s">
        <v>36</v>
      </c>
      <c r="M193" s="34"/>
      <c r="N193" s="34">
        <v>65065</v>
      </c>
      <c r="O193" s="34" t="s">
        <v>380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38">
        <v>15</v>
      </c>
      <c r="K194" s="22">
        <f t="shared" si="0"/>
        <v>-15</v>
      </c>
      <c r="L194" s="34" t="s">
        <v>36</v>
      </c>
      <c r="M194" s="34"/>
      <c r="N194" s="34">
        <v>65065</v>
      </c>
      <c r="O194" s="34" t="s">
        <v>380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22">
        <f t="shared" si="0"/>
        <v>-300</v>
      </c>
      <c r="L195" s="34" t="s">
        <v>28</v>
      </c>
      <c r="M195" s="34"/>
      <c r="N195" s="34">
        <v>65066</v>
      </c>
      <c r="O195" s="34" t="s">
        <v>216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22">
        <f t="shared" si="0"/>
        <v>-25</v>
      </c>
      <c r="L196" s="34" t="s">
        <v>28</v>
      </c>
      <c r="M196" s="34"/>
      <c r="N196" s="34">
        <v>65066</v>
      </c>
      <c r="O196" s="34" t="s">
        <v>216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22">
        <f t="shared" si="0"/>
        <v>-448</v>
      </c>
      <c r="L197" s="34" t="s">
        <v>28</v>
      </c>
      <c r="M197" s="34"/>
      <c r="N197" s="34">
        <v>65068</v>
      </c>
      <c r="O197" s="34" t="s">
        <v>211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22">
        <f t="shared" si="0"/>
        <v>-200</v>
      </c>
      <c r="L198" s="34" t="s">
        <v>28</v>
      </c>
      <c r="M198" s="34"/>
      <c r="N198" s="34">
        <v>65068</v>
      </c>
      <c r="O198" s="34" t="s">
        <v>211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38">
        <v>15</v>
      </c>
      <c r="K199" s="22">
        <f t="shared" si="0"/>
        <v>-15</v>
      </c>
      <c r="L199" s="34" t="s">
        <v>36</v>
      </c>
      <c r="M199" s="34"/>
      <c r="N199" s="34">
        <v>65067</v>
      </c>
      <c r="O199" s="34" t="s">
        <v>380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 t="shared" si="0"/>
        <v>-600</v>
      </c>
      <c r="L200" s="34" t="s">
        <v>36</v>
      </c>
      <c r="M200" s="34"/>
      <c r="N200" s="34">
        <v>65067</v>
      </c>
      <c r="O200" s="34" t="s">
        <v>380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 t="shared" si="0"/>
        <v>-80</v>
      </c>
      <c r="L201" s="35" t="s">
        <v>36</v>
      </c>
      <c r="M201" s="35"/>
      <c r="N201" s="35">
        <v>65067</v>
      </c>
      <c r="O201" s="35" t="s">
        <v>380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219</v>
      </c>
      <c r="I202" t="s">
        <v>64</v>
      </c>
      <c r="J202" s="30">
        <v>40</v>
      </c>
      <c r="K202" s="22">
        <f t="shared" si="0"/>
        <v>-40</v>
      </c>
      <c r="L202" t="s">
        <v>36</v>
      </c>
      <c r="N202">
        <v>65067</v>
      </c>
      <c r="O202" t="s">
        <v>380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22">
        <f t="shared" si="0"/>
        <v>-1740</v>
      </c>
      <c r="L203" t="s">
        <v>28</v>
      </c>
      <c r="N203">
        <v>65062</v>
      </c>
      <c r="O203" t="s">
        <v>216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22">
        <f t="shared" si="0"/>
        <v>-1225</v>
      </c>
      <c r="L204" t="s">
        <v>28</v>
      </c>
      <c r="N204">
        <v>65062</v>
      </c>
      <c r="O204" t="s">
        <v>216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22">
        <f t="shared" si="0"/>
        <v>-480</v>
      </c>
      <c r="L205" t="s">
        <v>28</v>
      </c>
      <c r="O205" t="s">
        <v>216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22">
        <f t="shared" si="0"/>
        <v>-180</v>
      </c>
      <c r="L206" t="s">
        <v>28</v>
      </c>
      <c r="O206" t="s">
        <v>216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22">
        <f t="shared" si="0"/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419</v>
      </c>
      <c r="B208" s="48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 t="shared" si="0"/>
        <v>-500</v>
      </c>
      <c r="L208" t="s">
        <v>36</v>
      </c>
      <c r="N208">
        <v>65071</v>
      </c>
      <c r="O208" t="s">
        <v>380</v>
      </c>
      <c r="P208">
        <v>1701</v>
      </c>
      <c r="Q208" s="43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420</v>
      </c>
      <c r="B209" s="48">
        <v>46164</v>
      </c>
      <c r="C209" t="s">
        <v>135</v>
      </c>
      <c r="D209" t="s">
        <v>136</v>
      </c>
      <c r="E209" t="s">
        <v>130</v>
      </c>
      <c r="G209" t="s">
        <v>131</v>
      </c>
      <c r="H209" s="20" t="s">
        <v>209</v>
      </c>
      <c r="I209" t="s">
        <v>64</v>
      </c>
      <c r="J209" s="30">
        <v>15</v>
      </c>
      <c r="K209" s="22">
        <f t="shared" si="0"/>
        <v>-15</v>
      </c>
      <c r="L209" t="s">
        <v>36</v>
      </c>
      <c r="N209">
        <v>65071</v>
      </c>
      <c r="O209" t="s">
        <v>380</v>
      </c>
      <c r="P209">
        <v>1701</v>
      </c>
      <c r="Q209" s="43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421</v>
      </c>
      <c r="B210" s="48">
        <v>46164</v>
      </c>
      <c r="C210" t="s">
        <v>128</v>
      </c>
      <c r="D210" t="s">
        <v>129</v>
      </c>
      <c r="E210" t="s">
        <v>130</v>
      </c>
      <c r="G210" t="s">
        <v>131</v>
      </c>
      <c r="H210" s="20" t="s">
        <v>219</v>
      </c>
      <c r="I210" t="s">
        <v>64</v>
      </c>
      <c r="J210" s="30">
        <v>20</v>
      </c>
      <c r="K210" s="22">
        <f t="shared" si="0"/>
        <v>-20</v>
      </c>
      <c r="L210" t="s">
        <v>36</v>
      </c>
      <c r="N210">
        <v>65071</v>
      </c>
      <c r="O210" t="s">
        <v>380</v>
      </c>
      <c r="P210">
        <v>1701</v>
      </c>
      <c r="Q210" s="43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422</v>
      </c>
      <c r="B211" s="48">
        <v>46164</v>
      </c>
      <c r="C211" s="35" t="s">
        <v>423</v>
      </c>
      <c r="D211" s="35" t="s">
        <v>424</v>
      </c>
      <c r="E211" s="35" t="s">
        <v>24</v>
      </c>
      <c r="F211" s="35"/>
      <c r="G211" s="35" t="s">
        <v>26</v>
      </c>
      <c r="H211" s="20" t="str">
        <f>+T211</f>
        <v>260522-210</v>
      </c>
      <c r="I211" s="35" t="s">
        <v>27</v>
      </c>
      <c r="J211" s="37">
        <v>12000</v>
      </c>
      <c r="K211" s="22">
        <f t="shared" si="0"/>
        <v>12000</v>
      </c>
      <c r="L211" s="35" t="s">
        <v>28</v>
      </c>
      <c r="M211" s="35"/>
      <c r="N211" s="35">
        <v>48489</v>
      </c>
      <c r="O211" s="35"/>
      <c r="P211" s="35">
        <v>14559</v>
      </c>
      <c r="Q211" s="21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425</v>
      </c>
      <c r="B212" s="48">
        <v>46164</v>
      </c>
      <c r="C212" t="s">
        <v>426</v>
      </c>
      <c r="D212" t="s">
        <v>427</v>
      </c>
      <c r="E212" t="s">
        <v>24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 t="shared" si="0"/>
        <v>600</v>
      </c>
      <c r="L212" t="s">
        <v>28</v>
      </c>
      <c r="N212" s="35">
        <v>48489</v>
      </c>
      <c r="P212">
        <v>14559</v>
      </c>
      <c r="Q212" s="21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428</v>
      </c>
      <c r="B213" s="48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201</v>
      </c>
      <c r="I213" t="s">
        <v>64</v>
      </c>
      <c r="J213" s="30">
        <v>110</v>
      </c>
      <c r="K213" s="22">
        <f t="shared" si="0"/>
        <v>-110</v>
      </c>
      <c r="L213" t="s">
        <v>36</v>
      </c>
      <c r="N213">
        <v>65073</v>
      </c>
      <c r="O213" t="s">
        <v>216</v>
      </c>
      <c r="P213">
        <v>1702</v>
      </c>
      <c r="Q213" s="43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429</v>
      </c>
      <c r="B214" s="48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 t="shared" si="0"/>
        <v>-500</v>
      </c>
      <c r="L214" t="s">
        <v>36</v>
      </c>
      <c r="N214">
        <v>65073</v>
      </c>
      <c r="O214" t="s">
        <v>216</v>
      </c>
      <c r="P214">
        <v>1702</v>
      </c>
      <c r="Q214" s="43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430</v>
      </c>
      <c r="B215" s="48">
        <v>46164</v>
      </c>
      <c r="C215" t="s">
        <v>135</v>
      </c>
      <c r="D215" t="s">
        <v>136</v>
      </c>
      <c r="E215" t="s">
        <v>130</v>
      </c>
      <c r="G215" t="s">
        <v>131</v>
      </c>
      <c r="H215" s="20" t="s">
        <v>209</v>
      </c>
      <c r="I215" t="s">
        <v>64</v>
      </c>
      <c r="J215" s="30">
        <v>15</v>
      </c>
      <c r="K215" s="22">
        <f t="shared" si="0"/>
        <v>-15</v>
      </c>
      <c r="L215" t="s">
        <v>36</v>
      </c>
      <c r="N215">
        <v>65073</v>
      </c>
      <c r="O215" t="s">
        <v>216</v>
      </c>
      <c r="P215">
        <v>1702</v>
      </c>
      <c r="Q215" s="43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431</v>
      </c>
      <c r="B216" s="48">
        <v>46164</v>
      </c>
      <c r="C216" t="s">
        <v>128</v>
      </c>
      <c r="D216" t="s">
        <v>129</v>
      </c>
      <c r="E216" t="s">
        <v>130</v>
      </c>
      <c r="G216" t="s">
        <v>131</v>
      </c>
      <c r="H216" s="20" t="s">
        <v>219</v>
      </c>
      <c r="I216" t="s">
        <v>64</v>
      </c>
      <c r="J216" s="30">
        <v>60</v>
      </c>
      <c r="K216" s="22">
        <f t="shared" si="0"/>
        <v>-60</v>
      </c>
      <c r="L216" t="s">
        <v>36</v>
      </c>
      <c r="N216">
        <v>65073</v>
      </c>
      <c r="O216" t="s">
        <v>216</v>
      </c>
      <c r="P216">
        <v>1702</v>
      </c>
      <c r="Q216" s="43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432</v>
      </c>
      <c r="B217" s="48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373</v>
      </c>
      <c r="I217" t="s">
        <v>64</v>
      </c>
      <c r="J217" s="30">
        <v>300</v>
      </c>
      <c r="K217" s="22">
        <f t="shared" si="0"/>
        <v>-300</v>
      </c>
      <c r="L217" t="s">
        <v>36</v>
      </c>
      <c r="N217">
        <v>65076</v>
      </c>
      <c r="O217" t="s">
        <v>329</v>
      </c>
      <c r="P217">
        <v>1704</v>
      </c>
      <c r="Q217" s="43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433</v>
      </c>
      <c r="B218" s="48">
        <v>46103</v>
      </c>
      <c r="C218" t="s">
        <v>79</v>
      </c>
      <c r="D218" t="s">
        <v>80</v>
      </c>
      <c r="E218" t="s">
        <v>24</v>
      </c>
      <c r="G218" t="s">
        <v>82</v>
      </c>
      <c r="H218" s="20" t="s">
        <v>149</v>
      </c>
      <c r="I218" t="s">
        <v>64</v>
      </c>
      <c r="J218" s="30">
        <v>2500</v>
      </c>
      <c r="K218" s="22">
        <f t="shared" si="0"/>
        <v>-2500</v>
      </c>
      <c r="L218" t="s">
        <v>28</v>
      </c>
      <c r="N218">
        <v>65075</v>
      </c>
      <c r="O218" t="s">
        <v>385</v>
      </c>
      <c r="P218">
        <v>1703</v>
      </c>
      <c r="Q218" s="43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434</v>
      </c>
      <c r="B219" s="48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373</v>
      </c>
      <c r="I219" t="s">
        <v>64</v>
      </c>
      <c r="J219" s="30">
        <v>10</v>
      </c>
      <c r="K219" s="22">
        <f t="shared" si="0"/>
        <v>-10</v>
      </c>
      <c r="L219" t="s">
        <v>36</v>
      </c>
      <c r="N219">
        <v>65077</v>
      </c>
      <c r="O219" t="s">
        <v>380</v>
      </c>
      <c r="P219">
        <v>1708</v>
      </c>
      <c r="Q219" s="43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435</v>
      </c>
      <c r="B220" s="48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373</v>
      </c>
      <c r="I220" t="s">
        <v>64</v>
      </c>
      <c r="J220" s="30">
        <v>50</v>
      </c>
      <c r="K220" s="22">
        <f t="shared" si="0"/>
        <v>-50</v>
      </c>
      <c r="L220" t="s">
        <v>36</v>
      </c>
      <c r="N220">
        <v>65078</v>
      </c>
      <c r="O220" t="s">
        <v>235</v>
      </c>
      <c r="P220">
        <v>1709</v>
      </c>
      <c r="Q220" s="43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436</v>
      </c>
      <c r="B221" s="48">
        <v>46167</v>
      </c>
      <c r="C221" s="35" t="s">
        <v>89</v>
      </c>
      <c r="D221" s="35" t="s">
        <v>90</v>
      </c>
      <c r="E221" s="35" t="s">
        <v>33</v>
      </c>
      <c r="F221" s="35" t="s">
        <v>34</v>
      </c>
      <c r="G221" s="35" t="s">
        <v>35</v>
      </c>
      <c r="H221" s="20" t="s">
        <v>373</v>
      </c>
      <c r="I221" s="35" t="s">
        <v>64</v>
      </c>
      <c r="J221" s="37">
        <v>80</v>
      </c>
      <c r="K221" s="22">
        <f t="shared" si="0"/>
        <v>-80</v>
      </c>
      <c r="L221" s="35" t="s">
        <v>36</v>
      </c>
      <c r="M221" s="35"/>
      <c r="N221" s="35">
        <v>65079</v>
      </c>
      <c r="O221" s="35" t="s">
        <v>216</v>
      </c>
      <c r="P221" s="35">
        <v>1711</v>
      </c>
      <c r="Q221" s="43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437</v>
      </c>
      <c r="B222" s="48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 t="shared" si="0"/>
        <v>-500</v>
      </c>
      <c r="L222" t="s">
        <v>36</v>
      </c>
      <c r="N222">
        <v>65079</v>
      </c>
      <c r="O222" t="s">
        <v>216</v>
      </c>
      <c r="P222">
        <v>1711</v>
      </c>
      <c r="Q222" s="43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438</v>
      </c>
      <c r="B223" s="48">
        <v>46167</v>
      </c>
      <c r="C223" t="s">
        <v>135</v>
      </c>
      <c r="D223" t="s">
        <v>136</v>
      </c>
      <c r="E223" t="s">
        <v>130</v>
      </c>
      <c r="G223" t="s">
        <v>131</v>
      </c>
      <c r="H223" s="20" t="s">
        <v>209</v>
      </c>
      <c r="I223" t="s">
        <v>64</v>
      </c>
      <c r="J223" s="30">
        <v>15</v>
      </c>
      <c r="K223" s="22">
        <f t="shared" si="0"/>
        <v>-15</v>
      </c>
      <c r="L223" t="s">
        <v>36</v>
      </c>
      <c r="N223">
        <v>65079</v>
      </c>
      <c r="O223" t="s">
        <v>216</v>
      </c>
      <c r="P223">
        <v>1711</v>
      </c>
      <c r="Q223" s="43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439</v>
      </c>
      <c r="B224" s="48">
        <v>46167</v>
      </c>
      <c r="C224" t="s">
        <v>128</v>
      </c>
      <c r="D224" t="s">
        <v>129</v>
      </c>
      <c r="E224" t="s">
        <v>130</v>
      </c>
      <c r="G224" t="s">
        <v>131</v>
      </c>
      <c r="H224" s="20" t="s">
        <v>219</v>
      </c>
      <c r="I224" t="s">
        <v>64</v>
      </c>
      <c r="J224" s="30">
        <v>60</v>
      </c>
      <c r="K224" s="22">
        <f t="shared" si="0"/>
        <v>-60</v>
      </c>
      <c r="L224" t="s">
        <v>36</v>
      </c>
      <c r="N224">
        <v>65079</v>
      </c>
      <c r="O224" t="s">
        <v>216</v>
      </c>
      <c r="P224">
        <v>1711</v>
      </c>
      <c r="Q224" s="43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440</v>
      </c>
      <c r="B225" s="48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 t="shared" si="0"/>
        <v>-2880</v>
      </c>
      <c r="L225" t="s">
        <v>36</v>
      </c>
      <c r="N225">
        <v>65080</v>
      </c>
      <c r="O225" t="s">
        <v>211</v>
      </c>
      <c r="P225">
        <v>1712</v>
      </c>
      <c r="Q225" s="43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441</v>
      </c>
      <c r="B226" s="48">
        <v>46168</v>
      </c>
      <c r="C226" t="s">
        <v>154</v>
      </c>
      <c r="D226" t="s">
        <v>155</v>
      </c>
      <c r="E226" t="s">
        <v>24</v>
      </c>
      <c r="F226" t="s">
        <v>25</v>
      </c>
      <c r="G226" t="s">
        <v>299</v>
      </c>
      <c r="H226" s="20" t="str">
        <f>+T226</f>
        <v>260526-226</v>
      </c>
      <c r="I226" t="s">
        <v>27</v>
      </c>
      <c r="J226" s="30">
        <v>1000</v>
      </c>
      <c r="K226" s="22">
        <f t="shared" si="0"/>
        <v>1000</v>
      </c>
      <c r="L226" t="s">
        <v>28</v>
      </c>
      <c r="N226">
        <v>21574</v>
      </c>
      <c r="P226">
        <v>14546</v>
      </c>
      <c r="Q226" s="43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442</v>
      </c>
      <c r="B227" s="48">
        <v>46170</v>
      </c>
      <c r="C227" t="s">
        <v>154</v>
      </c>
      <c r="D227" t="s">
        <v>155</v>
      </c>
      <c r="E227" t="s">
        <v>24</v>
      </c>
      <c r="F227" t="s">
        <v>25</v>
      </c>
      <c r="G227" t="s">
        <v>299</v>
      </c>
      <c r="H227" s="20" t="s">
        <v>443</v>
      </c>
      <c r="I227" t="s">
        <v>64</v>
      </c>
      <c r="J227" s="30">
        <v>180</v>
      </c>
      <c r="K227" s="22">
        <f t="shared" si="0"/>
        <v>-180</v>
      </c>
      <c r="L227" t="s">
        <v>28</v>
      </c>
      <c r="N227">
        <v>65081</v>
      </c>
      <c r="O227" t="s">
        <v>307</v>
      </c>
      <c r="P227">
        <v>1707</v>
      </c>
      <c r="Q227" s="43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444</v>
      </c>
      <c r="B228" s="48">
        <v>46171</v>
      </c>
      <c r="C228" t="s">
        <v>265</v>
      </c>
      <c r="D228" t="s">
        <v>265</v>
      </c>
      <c r="E228" t="s">
        <v>24</v>
      </c>
      <c r="G228" t="s">
        <v>35</v>
      </c>
      <c r="H228" s="20" t="s">
        <v>445</v>
      </c>
      <c r="I228" t="s">
        <v>64</v>
      </c>
      <c r="J228" s="30">
        <v>200</v>
      </c>
      <c r="K228" s="22">
        <f t="shared" si="0"/>
        <v>-200</v>
      </c>
      <c r="L228" t="s">
        <v>28</v>
      </c>
      <c r="N228">
        <v>65083</v>
      </c>
      <c r="O228" t="s">
        <v>385</v>
      </c>
      <c r="P228">
        <v>1716</v>
      </c>
      <c r="Q228" s="43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446</v>
      </c>
      <c r="B229" s="48">
        <v>46171</v>
      </c>
      <c r="C229" t="s">
        <v>154</v>
      </c>
      <c r="D229" t="s">
        <v>155</v>
      </c>
      <c r="E229" t="s">
        <v>24</v>
      </c>
      <c r="F229" t="s">
        <v>25</v>
      </c>
      <c r="G229" t="s">
        <v>299</v>
      </c>
      <c r="H229" s="20" t="s">
        <v>443</v>
      </c>
      <c r="I229" t="s">
        <v>64</v>
      </c>
      <c r="J229" s="30">
        <v>200</v>
      </c>
      <c r="K229" s="22">
        <f t="shared" si="0"/>
        <v>-200</v>
      </c>
      <c r="L229" t="s">
        <v>28</v>
      </c>
      <c r="N229">
        <v>65083</v>
      </c>
      <c r="O229" t="s">
        <v>385</v>
      </c>
      <c r="P229">
        <v>1716</v>
      </c>
      <c r="Q229" s="43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447</v>
      </c>
      <c r="B230" s="48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 t="shared" si="0"/>
        <v>-1500</v>
      </c>
      <c r="L230" t="s">
        <v>36</v>
      </c>
      <c r="N230">
        <v>65084</v>
      </c>
      <c r="O230" t="s">
        <v>380</v>
      </c>
      <c r="P230">
        <v>1717</v>
      </c>
      <c r="Q230" s="43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448</v>
      </c>
      <c r="B231" s="48">
        <v>46171</v>
      </c>
      <c r="C231" t="s">
        <v>135</v>
      </c>
      <c r="D231" t="s">
        <v>136</v>
      </c>
      <c r="E231" t="s">
        <v>130</v>
      </c>
      <c r="G231" t="s">
        <v>131</v>
      </c>
      <c r="H231" s="20" t="s">
        <v>209</v>
      </c>
      <c r="I231" t="s">
        <v>64</v>
      </c>
      <c r="J231" s="30">
        <v>15</v>
      </c>
      <c r="K231" s="22">
        <f t="shared" si="0"/>
        <v>-15</v>
      </c>
      <c r="L231" t="s">
        <v>36</v>
      </c>
      <c r="N231">
        <v>65084</v>
      </c>
      <c r="O231" t="s">
        <v>380</v>
      </c>
      <c r="P231">
        <v>1717</v>
      </c>
      <c r="Q231" s="43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449</v>
      </c>
      <c r="B232" s="48">
        <v>46171</v>
      </c>
      <c r="C232" s="35" t="s">
        <v>128</v>
      </c>
      <c r="D232" s="35" t="s">
        <v>129</v>
      </c>
      <c r="E232" s="35" t="s">
        <v>130</v>
      </c>
      <c r="F232" s="35"/>
      <c r="G232" s="35" t="s">
        <v>131</v>
      </c>
      <c r="H232" s="20" t="s">
        <v>219</v>
      </c>
      <c r="I232" s="35" t="s">
        <v>64</v>
      </c>
      <c r="J232" s="37">
        <v>60</v>
      </c>
      <c r="K232" s="22">
        <f t="shared" si="0"/>
        <v>-60</v>
      </c>
      <c r="L232" s="35" t="s">
        <v>36</v>
      </c>
      <c r="M232" s="35"/>
      <c r="N232" s="35">
        <v>65084</v>
      </c>
      <c r="O232" s="35" t="s">
        <v>380</v>
      </c>
      <c r="P232">
        <v>1717</v>
      </c>
      <c r="Q232" s="43" t="s">
        <v>450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451</v>
      </c>
      <c r="B233" s="48">
        <v>46171</v>
      </c>
      <c r="C233" t="s">
        <v>154</v>
      </c>
      <c r="D233" t="s">
        <v>155</v>
      </c>
      <c r="E233" t="s">
        <v>24</v>
      </c>
      <c r="F233" t="s">
        <v>25</v>
      </c>
      <c r="G233" t="s">
        <v>299</v>
      </c>
      <c r="H233" s="20" t="s">
        <v>443</v>
      </c>
      <c r="I233" t="s">
        <v>64</v>
      </c>
      <c r="J233" s="30">
        <v>400</v>
      </c>
      <c r="K233" s="22">
        <f t="shared" si="0"/>
        <v>-400</v>
      </c>
      <c r="L233" t="s">
        <v>28</v>
      </c>
      <c r="N233">
        <v>65085</v>
      </c>
      <c r="O233" t="s">
        <v>380</v>
      </c>
      <c r="P233">
        <v>1718</v>
      </c>
      <c r="Q233" s="43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452</v>
      </c>
      <c r="B234" s="48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 t="shared" si="0"/>
        <v>-600</v>
      </c>
      <c r="L234" t="s">
        <v>36</v>
      </c>
      <c r="N234">
        <v>65086</v>
      </c>
      <c r="O234" t="s">
        <v>385</v>
      </c>
      <c r="P234">
        <v>1719</v>
      </c>
      <c r="Q234" s="43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453</v>
      </c>
      <c r="B235" s="48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373</v>
      </c>
      <c r="I235" t="s">
        <v>64</v>
      </c>
      <c r="J235" s="30">
        <v>135</v>
      </c>
      <c r="K235" s="22">
        <f t="shared" si="0"/>
        <v>-135</v>
      </c>
      <c r="L235" t="s">
        <v>36</v>
      </c>
      <c r="N235">
        <v>65086</v>
      </c>
      <c r="O235" t="s">
        <v>385</v>
      </c>
      <c r="P235">
        <v>1719</v>
      </c>
      <c r="Q235" s="43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454</v>
      </c>
      <c r="B236" s="48">
        <v>46171</v>
      </c>
      <c r="C236" t="s">
        <v>154</v>
      </c>
      <c r="D236" t="s">
        <v>155</v>
      </c>
      <c r="E236" t="s">
        <v>24</v>
      </c>
      <c r="F236" t="s">
        <v>25</v>
      </c>
      <c r="G236" t="s">
        <v>299</v>
      </c>
      <c r="H236" s="20" t="s">
        <v>443</v>
      </c>
      <c r="I236" t="s">
        <v>64</v>
      </c>
      <c r="J236" s="30">
        <v>220</v>
      </c>
      <c r="K236" s="22">
        <f t="shared" si="0"/>
        <v>-220</v>
      </c>
      <c r="L236" t="s">
        <v>28</v>
      </c>
      <c r="N236">
        <v>65086</v>
      </c>
      <c r="O236" t="s">
        <v>385</v>
      </c>
      <c r="P236">
        <v>1719</v>
      </c>
      <c r="Q236" s="43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455</v>
      </c>
      <c r="B237" s="48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 t="shared" si="0"/>
        <v>-1060</v>
      </c>
      <c r="L237" t="s">
        <v>36</v>
      </c>
      <c r="N237">
        <v>65087</v>
      </c>
      <c r="O237" t="s">
        <v>216</v>
      </c>
      <c r="P237">
        <v>1720</v>
      </c>
      <c r="Q237" s="43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456</v>
      </c>
      <c r="B238" s="48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373</v>
      </c>
      <c r="I238" t="s">
        <v>64</v>
      </c>
      <c r="J238" s="30">
        <v>120</v>
      </c>
      <c r="K238" s="22">
        <f t="shared" si="0"/>
        <v>-120</v>
      </c>
      <c r="L238" t="s">
        <v>36</v>
      </c>
      <c r="N238">
        <v>65087</v>
      </c>
      <c r="O238" t="s">
        <v>216</v>
      </c>
      <c r="P238">
        <v>1720</v>
      </c>
      <c r="Q238" s="43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457</v>
      </c>
      <c r="B239" s="48">
        <v>46174</v>
      </c>
      <c r="C239" t="s">
        <v>79</v>
      </c>
      <c r="D239" t="s">
        <v>80</v>
      </c>
      <c r="E239" t="s">
        <v>24</v>
      </c>
      <c r="G239" t="s">
        <v>82</v>
      </c>
      <c r="H239" s="20" t="s">
        <v>149</v>
      </c>
      <c r="I239" t="s">
        <v>64</v>
      </c>
      <c r="J239" s="30">
        <v>625</v>
      </c>
      <c r="K239" s="22">
        <f t="shared" si="0"/>
        <v>-625</v>
      </c>
      <c r="L239" t="s">
        <v>28</v>
      </c>
      <c r="N239">
        <v>65088</v>
      </c>
      <c r="O239" t="s">
        <v>385</v>
      </c>
      <c r="P239">
        <v>1721</v>
      </c>
      <c r="Q239" s="43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458</v>
      </c>
      <c r="B240" s="48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201</v>
      </c>
      <c r="I240" t="s">
        <v>64</v>
      </c>
      <c r="J240" s="30">
        <v>200</v>
      </c>
      <c r="K240" s="22">
        <f t="shared" si="0"/>
        <v>-200</v>
      </c>
      <c r="L240" t="s">
        <v>36</v>
      </c>
      <c r="N240">
        <v>65089</v>
      </c>
      <c r="O240" t="s">
        <v>211</v>
      </c>
      <c r="P240">
        <v>1722</v>
      </c>
      <c r="Q240" s="43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459</v>
      </c>
      <c r="B241" s="48">
        <v>46174</v>
      </c>
      <c r="C241" t="s">
        <v>128</v>
      </c>
      <c r="D241" t="s">
        <v>129</v>
      </c>
      <c r="E241" t="s">
        <v>130</v>
      </c>
      <c r="G241" t="s">
        <v>131</v>
      </c>
      <c r="H241" s="20" t="s">
        <v>219</v>
      </c>
      <c r="I241" t="s">
        <v>64</v>
      </c>
      <c r="J241" s="30">
        <v>200</v>
      </c>
      <c r="K241" s="22">
        <f t="shared" si="0"/>
        <v>-200</v>
      </c>
      <c r="L241" t="s">
        <v>36</v>
      </c>
      <c r="N241">
        <v>65089</v>
      </c>
      <c r="O241" t="s">
        <v>211</v>
      </c>
      <c r="P241">
        <v>1722</v>
      </c>
      <c r="Q241" s="43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460</v>
      </c>
      <c r="B242" s="48">
        <v>46174</v>
      </c>
      <c r="C242" t="s">
        <v>243</v>
      </c>
      <c r="D242" t="s">
        <v>244</v>
      </c>
      <c r="E242" t="s">
        <v>33</v>
      </c>
      <c r="F242" t="s">
        <v>34</v>
      </c>
      <c r="G242" t="s">
        <v>26</v>
      </c>
      <c r="H242" s="20" t="s">
        <v>461</v>
      </c>
      <c r="I242" t="s">
        <v>64</v>
      </c>
      <c r="J242" s="30">
        <v>60</v>
      </c>
      <c r="K242" s="22">
        <f t="shared" si="0"/>
        <v>-60</v>
      </c>
      <c r="L242" t="s">
        <v>36</v>
      </c>
      <c r="N242">
        <v>65089</v>
      </c>
      <c r="O242" t="s">
        <v>211</v>
      </c>
      <c r="P242">
        <v>1722</v>
      </c>
      <c r="Q242" s="43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462</v>
      </c>
      <c r="B243" s="48">
        <v>46174</v>
      </c>
      <c r="C243" s="35" t="s">
        <v>121</v>
      </c>
      <c r="D243" s="35" t="s">
        <v>122</v>
      </c>
      <c r="E243" s="35" t="s">
        <v>33</v>
      </c>
      <c r="F243" s="35" t="s">
        <v>34</v>
      </c>
      <c r="G243" s="35" t="s">
        <v>116</v>
      </c>
      <c r="H243" s="20" t="s">
        <v>201</v>
      </c>
      <c r="I243" s="35" t="s">
        <v>64</v>
      </c>
      <c r="J243" s="37">
        <v>20</v>
      </c>
      <c r="K243" s="22">
        <f t="shared" si="0"/>
        <v>-20</v>
      </c>
      <c r="L243" s="35" t="s">
        <v>36</v>
      </c>
      <c r="M243" s="35"/>
      <c r="N243" s="35">
        <v>65093</v>
      </c>
      <c r="O243" s="35" t="s">
        <v>380</v>
      </c>
      <c r="P243" s="35">
        <v>1723</v>
      </c>
      <c r="Q243" s="43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463</v>
      </c>
      <c r="B244" s="48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 t="shared" si="0"/>
        <v>-600</v>
      </c>
      <c r="L244" t="s">
        <v>36</v>
      </c>
      <c r="N244">
        <v>65094</v>
      </c>
      <c r="O244" t="s">
        <v>216</v>
      </c>
      <c r="P244">
        <v>1724</v>
      </c>
      <c r="Q244" s="43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464</v>
      </c>
      <c r="B245" s="48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373</v>
      </c>
      <c r="I245" t="s">
        <v>64</v>
      </c>
      <c r="J245" s="30">
        <v>80</v>
      </c>
      <c r="K245" s="22">
        <f t="shared" si="0"/>
        <v>-80</v>
      </c>
      <c r="L245" t="s">
        <v>36</v>
      </c>
      <c r="N245">
        <v>65095</v>
      </c>
      <c r="O245" t="s">
        <v>216</v>
      </c>
      <c r="P245">
        <v>1729</v>
      </c>
      <c r="Q245" s="43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465</v>
      </c>
      <c r="B246" s="48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 t="shared" si="0"/>
        <v>-1600</v>
      </c>
      <c r="L246" t="s">
        <v>36</v>
      </c>
      <c r="N246">
        <v>65095</v>
      </c>
      <c r="O246" t="s">
        <v>216</v>
      </c>
      <c r="P246">
        <v>1729</v>
      </c>
      <c r="Q246" s="43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466</v>
      </c>
      <c r="B247" s="48">
        <v>46176</v>
      </c>
      <c r="C247" t="s">
        <v>139</v>
      </c>
      <c r="D247" t="s">
        <v>140</v>
      </c>
      <c r="E247" t="s">
        <v>130</v>
      </c>
      <c r="G247" t="s">
        <v>131</v>
      </c>
      <c r="H247" s="20" t="s">
        <v>467</v>
      </c>
      <c r="I247" t="s">
        <v>64</v>
      </c>
      <c r="J247" s="30">
        <v>15</v>
      </c>
      <c r="K247" s="22">
        <f t="shared" si="0"/>
        <v>-15</v>
      </c>
      <c r="L247" t="s">
        <v>36</v>
      </c>
      <c r="N247">
        <v>65095</v>
      </c>
      <c r="O247" t="s">
        <v>216</v>
      </c>
      <c r="P247">
        <v>1729</v>
      </c>
      <c r="Q247" s="43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468</v>
      </c>
      <c r="B248" s="48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469</v>
      </c>
      <c r="I248" t="s">
        <v>64</v>
      </c>
      <c r="J248" s="30">
        <v>10</v>
      </c>
      <c r="K248" s="22">
        <f t="shared" si="0"/>
        <v>-10</v>
      </c>
      <c r="L248" t="s">
        <v>36</v>
      </c>
      <c r="N248">
        <v>65095</v>
      </c>
      <c r="O248" t="s">
        <v>216</v>
      </c>
      <c r="P248">
        <v>1729</v>
      </c>
      <c r="Q248" s="43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470</v>
      </c>
      <c r="B249" s="48">
        <v>46176</v>
      </c>
      <c r="C249" t="s">
        <v>49</v>
      </c>
      <c r="D249" t="s">
        <v>278</v>
      </c>
      <c r="E249" t="s">
        <v>33</v>
      </c>
      <c r="F249" t="s">
        <v>34</v>
      </c>
      <c r="G249" t="s">
        <v>35</v>
      </c>
      <c r="H249" s="20" t="s">
        <v>279</v>
      </c>
      <c r="I249" t="s">
        <v>64</v>
      </c>
      <c r="J249" s="30">
        <v>10</v>
      </c>
      <c r="K249" s="22">
        <f t="shared" si="0"/>
        <v>-10</v>
      </c>
      <c r="L249" t="s">
        <v>36</v>
      </c>
      <c r="N249">
        <v>65095</v>
      </c>
      <c r="O249" t="s">
        <v>216</v>
      </c>
      <c r="P249">
        <v>1729</v>
      </c>
      <c r="Q249" s="43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471</v>
      </c>
      <c r="B250" s="48">
        <v>46176</v>
      </c>
      <c r="C250" t="s">
        <v>128</v>
      </c>
      <c r="D250" t="s">
        <v>129</v>
      </c>
      <c r="E250" t="s">
        <v>130</v>
      </c>
      <c r="G250" t="s">
        <v>131</v>
      </c>
      <c r="H250" s="20" t="s">
        <v>219</v>
      </c>
      <c r="I250" t="s">
        <v>64</v>
      </c>
      <c r="J250" s="30">
        <v>40</v>
      </c>
      <c r="K250" s="22">
        <f t="shared" si="0"/>
        <v>-40</v>
      </c>
      <c r="L250" t="s">
        <v>36</v>
      </c>
      <c r="N250">
        <v>65095</v>
      </c>
      <c r="O250" t="s">
        <v>216</v>
      </c>
      <c r="P250">
        <v>1729</v>
      </c>
      <c r="Q250" s="43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472</v>
      </c>
      <c r="B251" s="48">
        <v>46176</v>
      </c>
      <c r="C251" t="s">
        <v>302</v>
      </c>
      <c r="D251" t="s">
        <v>303</v>
      </c>
      <c r="E251" t="s">
        <v>24</v>
      </c>
      <c r="F251" t="s">
        <v>186</v>
      </c>
      <c r="G251" t="s">
        <v>299</v>
      </c>
      <c r="H251" s="20" t="s">
        <v>407</v>
      </c>
      <c r="I251" t="s">
        <v>64</v>
      </c>
      <c r="J251" s="30">
        <v>125</v>
      </c>
      <c r="K251" s="22">
        <f t="shared" si="0"/>
        <v>-125</v>
      </c>
      <c r="L251" t="s">
        <v>28</v>
      </c>
      <c r="N251">
        <v>65097</v>
      </c>
      <c r="O251" t="s">
        <v>307</v>
      </c>
      <c r="P251">
        <v>1730</v>
      </c>
      <c r="Q251" s="43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473</v>
      </c>
      <c r="B252" s="48">
        <v>46176</v>
      </c>
      <c r="C252" t="s">
        <v>135</v>
      </c>
      <c r="D252" t="s">
        <v>136</v>
      </c>
      <c r="E252" t="s">
        <v>130</v>
      </c>
      <c r="G252" t="s">
        <v>131</v>
      </c>
      <c r="H252" s="20" t="s">
        <v>209</v>
      </c>
      <c r="I252" t="s">
        <v>64</v>
      </c>
      <c r="J252" s="30">
        <v>30</v>
      </c>
      <c r="K252" s="22">
        <f t="shared" si="0"/>
        <v>-30</v>
      </c>
      <c r="L252" t="s">
        <v>36</v>
      </c>
      <c r="N252">
        <v>65097</v>
      </c>
      <c r="O252" t="s">
        <v>307</v>
      </c>
      <c r="P252">
        <v>1730</v>
      </c>
      <c r="Q252" s="43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474</v>
      </c>
      <c r="B253" s="48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 t="shared" si="0"/>
        <v>-96</v>
      </c>
      <c r="L253" t="s">
        <v>55</v>
      </c>
      <c r="N253">
        <v>65098</v>
      </c>
      <c r="O253" t="s">
        <v>235</v>
      </c>
      <c r="P253">
        <v>1738</v>
      </c>
      <c r="Q253" s="43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475</v>
      </c>
      <c r="B254" s="48">
        <v>46177</v>
      </c>
      <c r="C254" s="35" t="s">
        <v>114</v>
      </c>
      <c r="D254" s="35" t="s">
        <v>115</v>
      </c>
      <c r="E254" s="35" t="s">
        <v>33</v>
      </c>
      <c r="F254" s="35" t="s">
        <v>34</v>
      </c>
      <c r="G254" s="35" t="s">
        <v>116</v>
      </c>
      <c r="H254" s="20" t="s">
        <v>119</v>
      </c>
      <c r="I254" s="35" t="s">
        <v>64</v>
      </c>
      <c r="J254" s="37">
        <v>520</v>
      </c>
      <c r="K254" s="22">
        <f t="shared" ref="K254:K317" si="1">IF(I254="","",IF(I254="ENTRADA",ABS(J254),-ABS(J254)))</f>
        <v>-520</v>
      </c>
      <c r="L254" s="35" t="s">
        <v>36</v>
      </c>
      <c r="M254" s="35"/>
      <c r="N254" s="35">
        <v>65099</v>
      </c>
      <c r="O254" s="35" t="s">
        <v>216</v>
      </c>
      <c r="P254">
        <v>1732</v>
      </c>
      <c r="Q254" s="43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476</v>
      </c>
      <c r="B255" s="48">
        <v>46177</v>
      </c>
      <c r="C255" t="s">
        <v>135</v>
      </c>
      <c r="D255" t="s">
        <v>136</v>
      </c>
      <c r="E255" t="s">
        <v>130</v>
      </c>
      <c r="G255" t="s">
        <v>131</v>
      </c>
      <c r="H255" s="20" t="s">
        <v>209</v>
      </c>
      <c r="I255" t="s">
        <v>64</v>
      </c>
      <c r="J255" s="30">
        <v>4</v>
      </c>
      <c r="K255" s="22">
        <f t="shared" si="1"/>
        <v>-4</v>
      </c>
      <c r="L255" t="s">
        <v>36</v>
      </c>
      <c r="N255">
        <v>65099</v>
      </c>
      <c r="O255" t="s">
        <v>216</v>
      </c>
      <c r="P255">
        <v>1732</v>
      </c>
      <c r="Q255" s="43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477</v>
      </c>
      <c r="B256" s="48">
        <v>46177</v>
      </c>
      <c r="C256" t="s">
        <v>128</v>
      </c>
      <c r="D256" t="s">
        <v>129</v>
      </c>
      <c r="E256" t="s">
        <v>130</v>
      </c>
      <c r="G256" t="s">
        <v>131</v>
      </c>
      <c r="H256" s="20" t="s">
        <v>219</v>
      </c>
      <c r="I256" t="s">
        <v>64</v>
      </c>
      <c r="J256" s="30">
        <v>20</v>
      </c>
      <c r="K256" s="22">
        <f t="shared" si="1"/>
        <v>-20</v>
      </c>
      <c r="L256" t="s">
        <v>36</v>
      </c>
      <c r="N256">
        <v>65099</v>
      </c>
      <c r="O256" t="s">
        <v>216</v>
      </c>
      <c r="P256">
        <v>1732</v>
      </c>
      <c r="Q256" s="43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478</v>
      </c>
      <c r="B257" s="48">
        <v>46178</v>
      </c>
      <c r="C257" t="s">
        <v>423</v>
      </c>
      <c r="D257" t="s">
        <v>424</v>
      </c>
      <c r="E257" t="s">
        <v>24</v>
      </c>
      <c r="G257" t="s">
        <v>26</v>
      </c>
      <c r="H257" s="20" t="s">
        <v>479</v>
      </c>
      <c r="I257" t="s">
        <v>64</v>
      </c>
      <c r="J257" s="30">
        <v>2400</v>
      </c>
      <c r="K257" s="22">
        <f t="shared" si="1"/>
        <v>-2400</v>
      </c>
      <c r="L257" t="s">
        <v>28</v>
      </c>
      <c r="N257">
        <v>65100</v>
      </c>
      <c r="O257" t="s">
        <v>216</v>
      </c>
      <c r="P257">
        <v>1733</v>
      </c>
      <c r="Q257" s="43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480</v>
      </c>
      <c r="B258" s="48">
        <v>46178</v>
      </c>
      <c r="C258" t="s">
        <v>423</v>
      </c>
      <c r="D258" t="s">
        <v>424</v>
      </c>
      <c r="E258" t="s">
        <v>24</v>
      </c>
      <c r="G258" t="s">
        <v>26</v>
      </c>
      <c r="H258" s="20" t="s">
        <v>479</v>
      </c>
      <c r="I258" t="s">
        <v>64</v>
      </c>
      <c r="J258" s="30">
        <v>6000</v>
      </c>
      <c r="K258" s="22">
        <f t="shared" si="1"/>
        <v>-6000</v>
      </c>
      <c r="L258" t="s">
        <v>28</v>
      </c>
      <c r="N258">
        <v>65101</v>
      </c>
      <c r="O258" t="s">
        <v>216</v>
      </c>
      <c r="P258">
        <v>1734</v>
      </c>
      <c r="Q258" s="43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481</v>
      </c>
      <c r="B259" s="48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 t="shared" si="1"/>
        <v>-720</v>
      </c>
      <c r="L259" t="s">
        <v>36</v>
      </c>
      <c r="N259">
        <v>65102</v>
      </c>
      <c r="O259" t="s">
        <v>216</v>
      </c>
      <c r="P259">
        <v>1735</v>
      </c>
      <c r="Q259" s="43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482</v>
      </c>
      <c r="B260" s="48">
        <v>46178</v>
      </c>
      <c r="C260" t="s">
        <v>128</v>
      </c>
      <c r="D260" t="s">
        <v>129</v>
      </c>
      <c r="E260" t="s">
        <v>130</v>
      </c>
      <c r="G260" t="s">
        <v>131</v>
      </c>
      <c r="H260" s="20" t="s">
        <v>219</v>
      </c>
      <c r="I260" t="s">
        <v>64</v>
      </c>
      <c r="J260" s="30">
        <v>20</v>
      </c>
      <c r="K260" s="22">
        <f t="shared" si="1"/>
        <v>-20</v>
      </c>
      <c r="L260" t="s">
        <v>36</v>
      </c>
      <c r="N260">
        <v>65102</v>
      </c>
      <c r="O260" t="s">
        <v>216</v>
      </c>
      <c r="P260">
        <v>1735</v>
      </c>
      <c r="Q260" s="43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483</v>
      </c>
      <c r="B261" s="48">
        <v>46178</v>
      </c>
      <c r="C261" t="s">
        <v>135</v>
      </c>
      <c r="D261" t="s">
        <v>136</v>
      </c>
      <c r="E261" t="s">
        <v>130</v>
      </c>
      <c r="G261" t="s">
        <v>131</v>
      </c>
      <c r="H261" s="20" t="s">
        <v>209</v>
      </c>
      <c r="I261" t="s">
        <v>64</v>
      </c>
      <c r="J261" s="30">
        <v>3</v>
      </c>
      <c r="K261" s="22">
        <f t="shared" si="1"/>
        <v>-3</v>
      </c>
      <c r="L261" t="s">
        <v>36</v>
      </c>
      <c r="N261">
        <v>65102</v>
      </c>
      <c r="O261" t="s">
        <v>216</v>
      </c>
      <c r="P261">
        <v>1735</v>
      </c>
      <c r="Q261" s="43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484</v>
      </c>
      <c r="B262" s="48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373</v>
      </c>
      <c r="I262" t="s">
        <v>64</v>
      </c>
      <c r="J262" s="30">
        <v>80</v>
      </c>
      <c r="K262" s="22">
        <f t="shared" si="1"/>
        <v>-80</v>
      </c>
      <c r="L262" t="s">
        <v>36</v>
      </c>
      <c r="N262">
        <v>65102</v>
      </c>
      <c r="O262" t="s">
        <v>216</v>
      </c>
      <c r="P262">
        <v>1735</v>
      </c>
      <c r="Q262" s="43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485</v>
      </c>
      <c r="B263" s="48">
        <v>46178</v>
      </c>
      <c r="C263" t="s">
        <v>423</v>
      </c>
      <c r="D263" t="s">
        <v>424</v>
      </c>
      <c r="E263" t="s">
        <v>24</v>
      </c>
      <c r="G263" t="s">
        <v>26</v>
      </c>
      <c r="H263" s="20" t="s">
        <v>479</v>
      </c>
      <c r="I263" t="s">
        <v>64</v>
      </c>
      <c r="J263" s="30">
        <v>3600</v>
      </c>
      <c r="K263" s="22">
        <f t="shared" si="1"/>
        <v>-3600</v>
      </c>
      <c r="L263" t="s">
        <v>28</v>
      </c>
      <c r="N263">
        <v>65103</v>
      </c>
      <c r="O263" t="s">
        <v>216</v>
      </c>
      <c r="P263">
        <v>1736</v>
      </c>
      <c r="Q263" s="43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486</v>
      </c>
      <c r="B264" s="48">
        <v>46178</v>
      </c>
      <c r="C264" t="s">
        <v>426</v>
      </c>
      <c r="D264" t="s">
        <v>427</v>
      </c>
      <c r="E264" t="s">
        <v>24</v>
      </c>
      <c r="G264" t="s">
        <v>26</v>
      </c>
      <c r="H264" s="20" t="s">
        <v>487</v>
      </c>
      <c r="I264" t="s">
        <v>64</v>
      </c>
      <c r="J264" s="30">
        <v>600</v>
      </c>
      <c r="K264" s="22">
        <f t="shared" si="1"/>
        <v>-600</v>
      </c>
      <c r="L264" t="s">
        <v>28</v>
      </c>
      <c r="N264">
        <v>65103</v>
      </c>
      <c r="O264" t="s">
        <v>216</v>
      </c>
      <c r="P264">
        <v>1736</v>
      </c>
      <c r="Q264" s="43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488</v>
      </c>
      <c r="B265" s="48">
        <v>46183</v>
      </c>
      <c r="C265" s="35" t="s">
        <v>489</v>
      </c>
      <c r="D265" s="35" t="s">
        <v>490</v>
      </c>
      <c r="E265" s="35" t="s">
        <v>491</v>
      </c>
      <c r="F265" s="35"/>
      <c r="G265" s="35" t="s">
        <v>35</v>
      </c>
      <c r="H265" s="20" t="str">
        <f>+T265</f>
        <v>260610-265</v>
      </c>
      <c r="I265" s="35" t="s">
        <v>27</v>
      </c>
      <c r="J265" s="37">
        <v>21120</v>
      </c>
      <c r="K265" s="22">
        <f t="shared" si="1"/>
        <v>21120</v>
      </c>
      <c r="L265" s="35" t="s">
        <v>36</v>
      </c>
      <c r="M265" s="35"/>
      <c r="N265" s="35">
        <v>13080</v>
      </c>
      <c r="O265" s="35"/>
      <c r="P265" s="35"/>
      <c r="Q265" s="21"/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492</v>
      </c>
      <c r="B266" s="48">
        <v>46183</v>
      </c>
      <c r="C266" t="s">
        <v>489</v>
      </c>
      <c r="D266" t="s">
        <v>490</v>
      </c>
      <c r="E266" t="s">
        <v>491</v>
      </c>
      <c r="G266" t="s">
        <v>35</v>
      </c>
      <c r="H266" s="20" t="s">
        <v>493</v>
      </c>
      <c r="I266" t="s">
        <v>64</v>
      </c>
      <c r="J266" s="30">
        <v>3840</v>
      </c>
      <c r="K266" s="22">
        <f t="shared" si="1"/>
        <v>-3840</v>
      </c>
      <c r="L266" t="s">
        <v>36</v>
      </c>
      <c r="N266">
        <v>65105</v>
      </c>
      <c r="O266" t="s">
        <v>307</v>
      </c>
      <c r="Q266" s="34"/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494</v>
      </c>
      <c r="B267" s="48">
        <v>46183</v>
      </c>
      <c r="C267" t="s">
        <v>281</v>
      </c>
      <c r="D267" t="s">
        <v>282</v>
      </c>
      <c r="E267" t="s">
        <v>283</v>
      </c>
      <c r="F267" t="s">
        <v>284</v>
      </c>
      <c r="G267" t="s">
        <v>82</v>
      </c>
      <c r="H267" s="20" t="s">
        <v>495</v>
      </c>
      <c r="I267" t="s">
        <v>64</v>
      </c>
      <c r="J267" s="30">
        <v>7300</v>
      </c>
      <c r="K267" s="22">
        <f t="shared" si="1"/>
        <v>-7300</v>
      </c>
      <c r="L267" t="s">
        <v>36</v>
      </c>
      <c r="N267">
        <v>65105</v>
      </c>
      <c r="O267" t="s">
        <v>307</v>
      </c>
      <c r="Q267" s="34"/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496</v>
      </c>
      <c r="H268" s="20" t="str">
        <f>+T268</f>
        <v/>
      </c>
      <c r="J268" s="30"/>
      <c r="K268" s="22" t="str">
        <f t="shared" si="1"/>
        <v/>
      </c>
      <c r="Q268" s="34"/>
      <c r="R268" s="22" t="str">
        <f>IF(H268="","",H268&amp;I268)</f>
        <v/>
      </c>
      <c r="S268" s="22" t="str">
        <f>IF(C268="","",C268&amp;I268)</f>
        <v/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497</v>
      </c>
      <c r="H269" s="20" t="str">
        <f>+T269</f>
        <v/>
      </c>
      <c r="J269" s="30"/>
      <c r="K269" s="22" t="str">
        <f t="shared" si="1"/>
        <v/>
      </c>
      <c r="Q269" s="34"/>
      <c r="R269" s="22" t="str">
        <f>IF(H269="","",H269&amp;I269)</f>
        <v/>
      </c>
      <c r="S269" s="22" t="str">
        <f>IF(C269="","",C269&amp;I269)</f>
        <v/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498</v>
      </c>
      <c r="H270" s="20" t="str">
        <f>+T270</f>
        <v/>
      </c>
      <c r="J270" s="30"/>
      <c r="K270" s="22" t="str">
        <f t="shared" si="1"/>
        <v/>
      </c>
      <c r="Q270" s="34"/>
      <c r="R270" s="22" t="str">
        <f>IF(H270="","",H270&amp;I270)</f>
        <v/>
      </c>
      <c r="S270" s="22" t="str">
        <f>IF(C270="","",C270&amp;I270)</f>
        <v/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499</v>
      </c>
      <c r="H271" s="20" t="str">
        <f>+T271</f>
        <v/>
      </c>
      <c r="J271" s="30"/>
      <c r="K271" s="22" t="str">
        <f t="shared" si="1"/>
        <v/>
      </c>
      <c r="Q271" s="34"/>
      <c r="R271" s="22" t="str">
        <f>IF(H271="","",H271&amp;I271)</f>
        <v/>
      </c>
      <c r="S271" s="22" t="str">
        <f>IF(C271="","",C271&amp;I271)</f>
        <v/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500</v>
      </c>
      <c r="H272" s="20" t="str">
        <f>+T272</f>
        <v/>
      </c>
      <c r="J272" s="30"/>
      <c r="K272" s="22" t="str">
        <f t="shared" si="1"/>
        <v/>
      </c>
      <c r="Q272" s="34"/>
      <c r="R272" s="22" t="str">
        <f>IF(H272="","",H272&amp;I272)</f>
        <v/>
      </c>
      <c r="S272" s="22" t="str">
        <f>IF(C272="","",C272&amp;I272)</f>
        <v/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501</v>
      </c>
      <c r="H273" s="20" t="str">
        <f>+T273</f>
        <v/>
      </c>
      <c r="J273" s="30"/>
      <c r="K273" s="22" t="str">
        <f t="shared" si="1"/>
        <v/>
      </c>
      <c r="Q273" s="34"/>
      <c r="R273" s="22" t="str">
        <f>IF(H273="","",H273&amp;I273)</f>
        <v/>
      </c>
      <c r="S273" s="22" t="str">
        <f>IF(C273="","",C273&amp;I273)</f>
        <v/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502</v>
      </c>
      <c r="H274" s="20" t="str">
        <f>+T274</f>
        <v/>
      </c>
      <c r="J274" s="30"/>
      <c r="K274" s="22" t="str">
        <f t="shared" si="1"/>
        <v/>
      </c>
      <c r="Q274" s="34"/>
      <c r="R274" s="22" t="str">
        <f>IF(H274="","",H274&amp;I274)</f>
        <v/>
      </c>
      <c r="S274" s="22" t="str">
        <f>IF(C274="","",C274&amp;I274)</f>
        <v/>
      </c>
      <c r="T274" t="str">
        <f>IF(OR(C274="",I274&lt;&gt;"ENTRADA"),"",TEXT(B274,"AAMMDD")&amp;"-"&amp;TEXT(VALUE(SUBSTITUTE(A274,"MOV-","")),"000"))</f>
        <v/>
      </c>
    </row>
    <row r="275" spans="1:20">
      <c r="A275" s="20" t="s">
        <v>503</v>
      </c>
      <c r="H275" s="20" t="str">
        <f>+T275</f>
        <v/>
      </c>
      <c r="J275" s="30"/>
      <c r="K275" s="22" t="str">
        <f t="shared" si="1"/>
        <v/>
      </c>
      <c r="Q275" s="34"/>
      <c r="R275" s="22" t="str">
        <f>IF(H275="","",H275&amp;I275)</f>
        <v/>
      </c>
      <c r="S275" s="22" t="str">
        <f>IF(C275="","",C275&amp;I275)</f>
        <v/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504</v>
      </c>
      <c r="B276" s="35"/>
      <c r="C276" s="35"/>
      <c r="D276" s="35"/>
      <c r="E276" s="35"/>
      <c r="F276" s="35"/>
      <c r="G276" s="35"/>
      <c r="H276" s="20" t="str">
        <f>+T276</f>
        <v/>
      </c>
      <c r="I276" s="35"/>
      <c r="J276" s="37"/>
      <c r="K276" s="22" t="str">
        <f t="shared" si="1"/>
        <v/>
      </c>
      <c r="L276" s="35"/>
      <c r="M276" s="35"/>
      <c r="N276" s="35"/>
      <c r="O276" s="35"/>
      <c r="P276" s="35"/>
      <c r="Q276" s="21"/>
      <c r="R276" s="22" t="str">
        <f>IF(H276="","",H276&amp;I276)</f>
        <v/>
      </c>
      <c r="S276" s="22" t="str">
        <f>IF(C276="","",C276&amp;I276)</f>
        <v/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505</v>
      </c>
      <c r="H277" s="20" t="str">
        <f>+T277</f>
        <v/>
      </c>
      <c r="J277" s="30"/>
      <c r="K277" s="22" t="str">
        <f t="shared" si="1"/>
        <v/>
      </c>
      <c r="Q277" s="34"/>
      <c r="R277" s="22" t="str">
        <f>IF(H277="","",H277&amp;I277)</f>
        <v/>
      </c>
      <c r="S277" s="22" t="str">
        <f>IF(C277="","",C277&amp;I277)</f>
        <v/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506</v>
      </c>
      <c r="H278" s="20" t="str">
        <f>+T278</f>
        <v/>
      </c>
      <c r="J278" s="30"/>
      <c r="K278" s="22" t="str">
        <f t="shared" si="1"/>
        <v/>
      </c>
      <c r="Q278" s="34"/>
      <c r="R278" s="22" t="str">
        <f>IF(H278="","",H278&amp;I278)</f>
        <v/>
      </c>
      <c r="S278" s="22" t="str">
        <f>IF(C278="","",C278&amp;I278)</f>
        <v/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507</v>
      </c>
      <c r="H279" s="20" t="str">
        <f>+T279</f>
        <v/>
      </c>
      <c r="J279" s="30"/>
      <c r="K279" s="22" t="str">
        <f t="shared" si="1"/>
        <v/>
      </c>
      <c r="Q279" s="34"/>
      <c r="R279" s="22" t="str">
        <f>IF(H279="","",H279&amp;I279)</f>
        <v/>
      </c>
      <c r="S279" s="22" t="str">
        <f>IF(C279="","",C279&amp;I279)</f>
        <v/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508</v>
      </c>
      <c r="H280" s="20" t="str">
        <f>+T280</f>
        <v/>
      </c>
      <c r="J280" s="30"/>
      <c r="K280" s="22" t="str">
        <f t="shared" si="1"/>
        <v/>
      </c>
      <c r="Q280" s="34"/>
      <c r="R280" s="22" t="str">
        <f>IF(H280="","",H280&amp;I280)</f>
        <v/>
      </c>
      <c r="S280" s="22" t="str">
        <f>IF(C280="","",C280&amp;I280)</f>
        <v/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509</v>
      </c>
      <c r="H281" s="20" t="str">
        <f>+T281</f>
        <v/>
      </c>
      <c r="J281" s="30"/>
      <c r="K281" s="22" t="str">
        <f t="shared" si="1"/>
        <v/>
      </c>
      <c r="Q281" s="34"/>
      <c r="R281" s="22" t="str">
        <f>IF(H281="","",H281&amp;I281)</f>
        <v/>
      </c>
      <c r="S281" s="22" t="str">
        <f>IF(C281="","",C281&amp;I281)</f>
        <v/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510</v>
      </c>
      <c r="H282" s="20" t="str">
        <f>+T282</f>
        <v/>
      </c>
      <c r="J282" s="30"/>
      <c r="K282" s="22" t="str">
        <f t="shared" si="1"/>
        <v/>
      </c>
      <c r="Q282" s="34"/>
      <c r="R282" s="22" t="str">
        <f>IF(H282="","",H282&amp;I282)</f>
        <v/>
      </c>
      <c r="S282" s="22" t="str">
        <f>IF(C282="","",C282&amp;I282)</f>
        <v/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511</v>
      </c>
      <c r="H283" s="20" t="str">
        <f>+T283</f>
        <v/>
      </c>
      <c r="J283" s="30"/>
      <c r="K283" s="22" t="str">
        <f t="shared" si="1"/>
        <v/>
      </c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>
      <c r="A284" s="20" t="s">
        <v>512</v>
      </c>
      <c r="H284" s="20" t="str">
        <f>+T284</f>
        <v/>
      </c>
      <c r="J284" s="30"/>
      <c r="K284" s="22" t="str">
        <f t="shared" si="1"/>
        <v/>
      </c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513</v>
      </c>
      <c r="H285" s="20" t="str">
        <f>+T285</f>
        <v/>
      </c>
      <c r="J285" s="30"/>
      <c r="K285" s="22" t="str">
        <f t="shared" si="1"/>
        <v/>
      </c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514</v>
      </c>
      <c r="H286" s="20" t="str">
        <f>+T286</f>
        <v/>
      </c>
      <c r="J286" s="30"/>
      <c r="K286" s="22" t="str">
        <f t="shared" si="1"/>
        <v/>
      </c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515</v>
      </c>
      <c r="B287" s="35"/>
      <c r="C287" s="35"/>
      <c r="D287" s="35"/>
      <c r="E287" s="35"/>
      <c r="F287" s="35"/>
      <c r="G287" s="35"/>
      <c r="H287" s="20" t="str">
        <f>+T287</f>
        <v/>
      </c>
      <c r="I287" s="35"/>
      <c r="J287" s="37"/>
      <c r="K287" s="22" t="str">
        <f t="shared" si="1"/>
        <v/>
      </c>
      <c r="L287" s="35"/>
      <c r="M287" s="35"/>
      <c r="N287" s="35"/>
      <c r="O287" s="35"/>
      <c r="P287" s="35"/>
      <c r="Q287" s="21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516</v>
      </c>
      <c r="H288" s="20" t="str">
        <f>+T288</f>
        <v/>
      </c>
      <c r="J288" s="30"/>
      <c r="K288" s="22" t="str">
        <f t="shared" si="1"/>
        <v/>
      </c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517</v>
      </c>
      <c r="H289" s="20" t="str">
        <f>+T289</f>
        <v/>
      </c>
      <c r="J289" s="30"/>
      <c r="K289" s="22" t="str">
        <f t="shared" si="1"/>
        <v/>
      </c>
      <c r="Q289" s="34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>
      <c r="A290" s="20" t="s">
        <v>518</v>
      </c>
      <c r="H290" s="20" t="str">
        <f>+T290</f>
        <v/>
      </c>
      <c r="J290" s="30"/>
      <c r="K290" s="22" t="str">
        <f t="shared" si="1"/>
        <v/>
      </c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>
      <c r="A291" s="20" t="s">
        <v>519</v>
      </c>
      <c r="H291" s="20" t="str">
        <f>+T291</f>
        <v/>
      </c>
      <c r="J291" s="30"/>
      <c r="K291" s="22" t="str">
        <f t="shared" si="1"/>
        <v/>
      </c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520</v>
      </c>
      <c r="H292" s="20" t="str">
        <f>+T292</f>
        <v/>
      </c>
      <c r="J292" s="30"/>
      <c r="K292" s="22" t="str">
        <f t="shared" si="1"/>
        <v/>
      </c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521</v>
      </c>
      <c r="H293" s="20" t="str">
        <f>+T293</f>
        <v/>
      </c>
      <c r="J293" s="30"/>
      <c r="K293" s="22" t="str">
        <f t="shared" si="1"/>
        <v/>
      </c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522</v>
      </c>
      <c r="H294" s="20" t="str">
        <f>+T294</f>
        <v/>
      </c>
      <c r="J294" s="30"/>
      <c r="K294" s="22" t="str">
        <f t="shared" si="1"/>
        <v/>
      </c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523</v>
      </c>
      <c r="H295" s="20" t="str">
        <f>+T295</f>
        <v/>
      </c>
      <c r="J295" s="30"/>
      <c r="K295" s="22" t="str">
        <f t="shared" si="1"/>
        <v/>
      </c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>
      <c r="A296" s="20" t="s">
        <v>524</v>
      </c>
      <c r="H296" s="20" t="str">
        <f>+T296</f>
        <v/>
      </c>
      <c r="J296" s="30"/>
      <c r="K296" s="22" t="str">
        <f t="shared" si="1"/>
        <v/>
      </c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525</v>
      </c>
      <c r="H297" s="20" t="str">
        <f>+T297</f>
        <v/>
      </c>
      <c r="J297" s="30"/>
      <c r="K297" s="22" t="str">
        <f t="shared" si="1"/>
        <v/>
      </c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526</v>
      </c>
      <c r="B298" s="35"/>
      <c r="C298" s="35"/>
      <c r="D298" s="35"/>
      <c r="E298" s="35"/>
      <c r="F298" s="35"/>
      <c r="G298" s="35"/>
      <c r="H298" s="20" t="str">
        <f>+T298</f>
        <v/>
      </c>
      <c r="I298" s="35"/>
      <c r="J298" s="37"/>
      <c r="K298" s="22" t="str">
        <f t="shared" si="1"/>
        <v/>
      </c>
      <c r="L298" s="35"/>
      <c r="M298" s="35"/>
      <c r="N298" s="35"/>
      <c r="O298" s="35"/>
      <c r="P298" s="35"/>
      <c r="Q298" s="21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527</v>
      </c>
      <c r="H299" s="20" t="str">
        <f>+T299</f>
        <v/>
      </c>
      <c r="J299" s="30"/>
      <c r="K299" s="22" t="str">
        <f t="shared" si="1"/>
        <v/>
      </c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528</v>
      </c>
      <c r="H300" s="20" t="str">
        <f>+T300</f>
        <v/>
      </c>
      <c r="J300" s="30"/>
      <c r="K300" s="22" t="str">
        <f t="shared" si="1"/>
        <v/>
      </c>
      <c r="Q300" s="34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529</v>
      </c>
      <c r="H301" s="20" t="str">
        <f>+T301</f>
        <v/>
      </c>
      <c r="J301" s="30"/>
      <c r="K301" s="22" t="str">
        <f t="shared" si="1"/>
        <v/>
      </c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530</v>
      </c>
      <c r="H302" s="20" t="str">
        <f>+T302</f>
        <v/>
      </c>
      <c r="J302" s="30"/>
      <c r="K302" s="22" t="str">
        <f t="shared" si="1"/>
        <v/>
      </c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531</v>
      </c>
      <c r="H303" s="20" t="str">
        <f>+T303</f>
        <v/>
      </c>
      <c r="J303" s="30"/>
      <c r="K303" s="22" t="str">
        <f t="shared" si="1"/>
        <v/>
      </c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532</v>
      </c>
      <c r="H304" s="20" t="str">
        <f>+T304</f>
        <v/>
      </c>
      <c r="J304" s="30"/>
      <c r="K304" s="22" t="str">
        <f t="shared" si="1"/>
        <v/>
      </c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533</v>
      </c>
      <c r="H305" s="20" t="str">
        <f>+T305</f>
        <v/>
      </c>
      <c r="J305" s="30"/>
      <c r="K305" s="22" t="str">
        <f t="shared" si="1"/>
        <v/>
      </c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534</v>
      </c>
      <c r="H306" s="20" t="str">
        <f>+T306</f>
        <v/>
      </c>
      <c r="J306" s="30"/>
      <c r="K306" s="22" t="str">
        <f t="shared" si="1"/>
        <v/>
      </c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535</v>
      </c>
      <c r="H307" s="20" t="str">
        <f>+T307</f>
        <v/>
      </c>
      <c r="J307" s="30"/>
      <c r="K307" s="22" t="str">
        <f t="shared" si="1"/>
        <v/>
      </c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536</v>
      </c>
      <c r="H308" s="20" t="str">
        <f>+T308</f>
        <v/>
      </c>
      <c r="J308" s="30"/>
      <c r="K308" s="22" t="str">
        <f t="shared" si="1"/>
        <v/>
      </c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537</v>
      </c>
      <c r="B309" s="35"/>
      <c r="C309" s="35"/>
      <c r="D309" s="35"/>
      <c r="E309" s="35"/>
      <c r="F309" s="35"/>
      <c r="G309" s="35"/>
      <c r="H309" s="20" t="str">
        <f>+T309</f>
        <v/>
      </c>
      <c r="I309" s="35"/>
      <c r="J309" s="37"/>
      <c r="K309" s="22" t="str">
        <f t="shared" si="1"/>
        <v/>
      </c>
      <c r="L309" s="35"/>
      <c r="M309" s="35"/>
      <c r="N309" s="35"/>
      <c r="O309" s="35"/>
      <c r="P309" s="35"/>
      <c r="Q309" s="21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538</v>
      </c>
      <c r="H310" s="20" t="str">
        <f>+T310</f>
        <v/>
      </c>
      <c r="J310" s="30"/>
      <c r="K310" s="22" t="str">
        <f t="shared" si="1"/>
        <v/>
      </c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539</v>
      </c>
      <c r="H311" s="20" t="str">
        <f>+T311</f>
        <v/>
      </c>
      <c r="J311" s="30"/>
      <c r="K311" s="22" t="str">
        <f t="shared" si="1"/>
        <v/>
      </c>
      <c r="Q311" s="34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540</v>
      </c>
      <c r="H312" s="20" t="str">
        <f>+T312</f>
        <v/>
      </c>
      <c r="J312" s="30"/>
      <c r="K312" s="22" t="str">
        <f t="shared" si="1"/>
        <v/>
      </c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541</v>
      </c>
      <c r="H313" s="20" t="str">
        <f>+T313</f>
        <v/>
      </c>
      <c r="J313" s="30"/>
      <c r="K313" s="22" t="str">
        <f t="shared" si="1"/>
        <v/>
      </c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>
      <c r="A314" s="20" t="s">
        <v>542</v>
      </c>
      <c r="H314" s="20" t="str">
        <f>+T314</f>
        <v/>
      </c>
      <c r="J314" s="30"/>
      <c r="K314" s="22" t="str">
        <f t="shared" si="1"/>
        <v/>
      </c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543</v>
      </c>
      <c r="H315" s="20" t="str">
        <f>+T315</f>
        <v/>
      </c>
      <c r="J315" s="30"/>
      <c r="K315" s="22" t="str">
        <f t="shared" si="1"/>
        <v/>
      </c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544</v>
      </c>
      <c r="H316" s="20" t="str">
        <f>+T316</f>
        <v/>
      </c>
      <c r="J316" s="30"/>
      <c r="K316" s="22" t="str">
        <f t="shared" si="1"/>
        <v/>
      </c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545</v>
      </c>
      <c r="H317" s="20" t="str">
        <f>+T317</f>
        <v/>
      </c>
      <c r="J317" s="30"/>
      <c r="K317" s="22" t="str">
        <f t="shared" si="1"/>
        <v/>
      </c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546</v>
      </c>
      <c r="H318" s="20" t="str">
        <f>+T318</f>
        <v/>
      </c>
      <c r="J318" s="30"/>
      <c r="K318" s="22" t="str">
        <f t="shared" ref="K318:K381" si="2">IF(I318="","",IF(I318="ENTRADA",ABS(J318),-ABS(J318)))</f>
        <v/>
      </c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547</v>
      </c>
      <c r="H319" s="20" t="str">
        <f>+T319</f>
        <v/>
      </c>
      <c r="J319" s="30"/>
      <c r="K319" s="22" t="str">
        <f t="shared" si="2"/>
        <v/>
      </c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548</v>
      </c>
      <c r="B320" s="35"/>
      <c r="C320" s="35"/>
      <c r="D320" s="35"/>
      <c r="E320" s="35"/>
      <c r="F320" s="35"/>
      <c r="G320" s="35"/>
      <c r="H320" s="20" t="str">
        <f>+T320</f>
        <v/>
      </c>
      <c r="I320" s="35"/>
      <c r="J320" s="37"/>
      <c r="K320" s="22" t="str">
        <f t="shared" si="2"/>
        <v/>
      </c>
      <c r="L320" s="35"/>
      <c r="M320" s="35"/>
      <c r="N320" s="35"/>
      <c r="O320" s="35"/>
      <c r="P320" s="35"/>
      <c r="Q320" s="21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549</v>
      </c>
      <c r="H321" s="20" t="str">
        <f>+T321</f>
        <v/>
      </c>
      <c r="J321" s="30"/>
      <c r="K321" s="22" t="str">
        <f t="shared" si="2"/>
        <v/>
      </c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550</v>
      </c>
      <c r="H322" s="20" t="str">
        <f>+T322</f>
        <v/>
      </c>
      <c r="J322" s="30"/>
      <c r="K322" s="22" t="str">
        <f t="shared" si="2"/>
        <v/>
      </c>
      <c r="Q322" s="34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551</v>
      </c>
      <c r="H323" s="20" t="str">
        <f>+T323</f>
        <v/>
      </c>
      <c r="J323" s="30"/>
      <c r="K323" s="22" t="str">
        <f t="shared" si="2"/>
        <v/>
      </c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552</v>
      </c>
      <c r="H324" s="20" t="str">
        <f>+T324</f>
        <v/>
      </c>
      <c r="J324" s="30"/>
      <c r="K324" s="22" t="str">
        <f t="shared" si="2"/>
        <v/>
      </c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553</v>
      </c>
      <c r="H325" s="20" t="str">
        <f>+T325</f>
        <v/>
      </c>
      <c r="J325" s="30"/>
      <c r="K325" s="22" t="str">
        <f t="shared" si="2"/>
        <v/>
      </c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554</v>
      </c>
      <c r="H326" s="20" t="str">
        <f>+T326</f>
        <v/>
      </c>
      <c r="J326" s="30"/>
      <c r="K326" s="22" t="str">
        <f t="shared" si="2"/>
        <v/>
      </c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555</v>
      </c>
      <c r="H327" s="20" t="str">
        <f>+T327</f>
        <v/>
      </c>
      <c r="J327" s="30"/>
      <c r="K327" s="22" t="str">
        <f t="shared" si="2"/>
        <v/>
      </c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>
      <c r="A328" s="20" t="s">
        <v>556</v>
      </c>
      <c r="H328" s="20" t="str">
        <f>+T328</f>
        <v/>
      </c>
      <c r="J328" s="30"/>
      <c r="K328" s="22" t="str">
        <f t="shared" si="2"/>
        <v/>
      </c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>
      <c r="A329" s="20" t="s">
        <v>557</v>
      </c>
      <c r="H329" s="20" t="str">
        <f>+T329</f>
        <v/>
      </c>
      <c r="J329" s="30"/>
      <c r="K329" s="22" t="str">
        <f t="shared" si="2"/>
        <v/>
      </c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>
      <c r="A330" s="20" t="s">
        <v>558</v>
      </c>
      <c r="H330" s="20" t="str">
        <f>+T330</f>
        <v/>
      </c>
      <c r="J330" s="30"/>
      <c r="K330" s="22" t="str">
        <f t="shared" si="2"/>
        <v/>
      </c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559</v>
      </c>
      <c r="B331" s="35"/>
      <c r="C331" s="35"/>
      <c r="D331" s="35"/>
      <c r="E331" s="35"/>
      <c r="F331" s="35"/>
      <c r="G331" s="35"/>
      <c r="H331" s="20" t="str">
        <f>+T331</f>
        <v/>
      </c>
      <c r="I331" s="35"/>
      <c r="J331" s="37"/>
      <c r="K331" s="22" t="str">
        <f t="shared" si="2"/>
        <v/>
      </c>
      <c r="L331" s="35"/>
      <c r="M331" s="35"/>
      <c r="N331" s="35"/>
      <c r="O331" s="35"/>
      <c r="P331" s="35"/>
      <c r="Q331" s="21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560</v>
      </c>
      <c r="H332" s="20" t="str">
        <f>+T332</f>
        <v/>
      </c>
      <c r="J332" s="30"/>
      <c r="K332" s="22" t="str">
        <f t="shared" si="2"/>
        <v/>
      </c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561</v>
      </c>
      <c r="H333" s="20" t="str">
        <f>+T333</f>
        <v/>
      </c>
      <c r="J333" s="30"/>
      <c r="K333" s="22" t="str">
        <f t="shared" si="2"/>
        <v/>
      </c>
      <c r="Q333" s="34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562</v>
      </c>
      <c r="H334" s="20" t="str">
        <f>+T334</f>
        <v/>
      </c>
      <c r="J334" s="30"/>
      <c r="K334" s="22" t="str">
        <f t="shared" si="2"/>
        <v/>
      </c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563</v>
      </c>
      <c r="H335" s="20" t="str">
        <f>+T335</f>
        <v/>
      </c>
      <c r="J335" s="30"/>
      <c r="K335" s="22" t="str">
        <f t="shared" si="2"/>
        <v/>
      </c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564</v>
      </c>
      <c r="H336" s="20" t="str">
        <f>+T336</f>
        <v/>
      </c>
      <c r="J336" s="30"/>
      <c r="K336" s="22" t="str">
        <f t="shared" si="2"/>
        <v/>
      </c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565</v>
      </c>
      <c r="H337" s="20" t="str">
        <f>+T337</f>
        <v/>
      </c>
      <c r="J337" s="30"/>
      <c r="K337" s="22" t="str">
        <f t="shared" si="2"/>
        <v/>
      </c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566</v>
      </c>
      <c r="H338" s="20" t="str">
        <f>+T338</f>
        <v/>
      </c>
      <c r="J338" s="30"/>
      <c r="K338" s="22" t="str">
        <f t="shared" si="2"/>
        <v/>
      </c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567</v>
      </c>
      <c r="H339" s="20" t="str">
        <f>+T339</f>
        <v/>
      </c>
      <c r="J339" s="30"/>
      <c r="K339" s="22" t="str">
        <f t="shared" si="2"/>
        <v/>
      </c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568</v>
      </c>
      <c r="H340" s="20" t="str">
        <f>+T340</f>
        <v/>
      </c>
      <c r="J340" s="30"/>
      <c r="K340" s="22" t="str">
        <f t="shared" si="2"/>
        <v/>
      </c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569</v>
      </c>
      <c r="H341" s="20" t="str">
        <f>+T341</f>
        <v/>
      </c>
      <c r="J341" s="30"/>
      <c r="K341" s="22" t="str">
        <f t="shared" si="2"/>
        <v/>
      </c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570</v>
      </c>
      <c r="B342" s="35"/>
      <c r="C342" s="35"/>
      <c r="D342" s="35"/>
      <c r="E342" s="35"/>
      <c r="F342" s="35"/>
      <c r="G342" s="35"/>
      <c r="H342" s="20" t="str">
        <f>+T342</f>
        <v/>
      </c>
      <c r="I342" s="35"/>
      <c r="J342" s="37"/>
      <c r="K342" s="22" t="str">
        <f t="shared" si="2"/>
        <v/>
      </c>
      <c r="L342" s="35"/>
      <c r="M342" s="35"/>
      <c r="N342" s="35"/>
      <c r="O342" s="35"/>
      <c r="P342" s="35"/>
      <c r="Q342" s="21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571</v>
      </c>
      <c r="H343" s="20" t="str">
        <f>+T343</f>
        <v/>
      </c>
      <c r="J343" s="30"/>
      <c r="K343" s="22" t="str">
        <f t="shared" si="2"/>
        <v/>
      </c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>
      <c r="A344" s="20" t="s">
        <v>572</v>
      </c>
      <c r="H344" s="20" t="str">
        <f>+T344</f>
        <v/>
      </c>
      <c r="J344" s="30"/>
      <c r="K344" s="22" t="str">
        <f t="shared" si="2"/>
        <v/>
      </c>
      <c r="Q344" s="34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573</v>
      </c>
      <c r="H345" s="20" t="str">
        <f>+T345</f>
        <v/>
      </c>
      <c r="J345" s="30"/>
      <c r="K345" s="22" t="str">
        <f t="shared" si="2"/>
        <v/>
      </c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574</v>
      </c>
      <c r="H346" s="20" t="str">
        <f>+T346</f>
        <v/>
      </c>
      <c r="J346" s="30"/>
      <c r="K346" s="22" t="str">
        <f t="shared" si="2"/>
        <v/>
      </c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575</v>
      </c>
      <c r="H347" s="20" t="str">
        <f>+T347</f>
        <v/>
      </c>
      <c r="J347" s="30"/>
      <c r="K347" s="22" t="str">
        <f t="shared" si="2"/>
        <v/>
      </c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576</v>
      </c>
      <c r="H348" s="20" t="str">
        <f>+T348</f>
        <v/>
      </c>
      <c r="J348" s="30"/>
      <c r="K348" s="22" t="str">
        <f t="shared" si="2"/>
        <v/>
      </c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577</v>
      </c>
      <c r="H349" s="20" t="str">
        <f>+T349</f>
        <v/>
      </c>
      <c r="J349" s="30"/>
      <c r="K349" s="22" t="str">
        <f t="shared" si="2"/>
        <v/>
      </c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578</v>
      </c>
      <c r="H350" s="20" t="str">
        <f>+T350</f>
        <v/>
      </c>
      <c r="J350" s="30"/>
      <c r="K350" s="22" t="str">
        <f t="shared" si="2"/>
        <v/>
      </c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579</v>
      </c>
      <c r="H351" s="20" t="str">
        <f>+T351</f>
        <v/>
      </c>
      <c r="J351" s="30"/>
      <c r="K351" s="22" t="str">
        <f t="shared" si="2"/>
        <v/>
      </c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580</v>
      </c>
      <c r="H352" s="20" t="str">
        <f>+T352</f>
        <v/>
      </c>
      <c r="J352" s="30"/>
      <c r="K352" s="22" t="str">
        <f t="shared" si="2"/>
        <v/>
      </c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581</v>
      </c>
      <c r="B353" s="35"/>
      <c r="C353" s="35"/>
      <c r="D353" s="35"/>
      <c r="E353" s="35"/>
      <c r="F353" s="35"/>
      <c r="G353" s="35"/>
      <c r="H353" s="20" t="str">
        <f>+T353</f>
        <v/>
      </c>
      <c r="I353" s="35"/>
      <c r="J353" s="37"/>
      <c r="K353" s="22" t="str">
        <f t="shared" si="2"/>
        <v/>
      </c>
      <c r="L353" s="35"/>
      <c r="M353" s="35"/>
      <c r="N353" s="35"/>
      <c r="O353" s="35"/>
      <c r="P353" s="35"/>
      <c r="Q353" s="21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582</v>
      </c>
      <c r="H354" s="20" t="str">
        <f>+T354</f>
        <v/>
      </c>
      <c r="J354" s="30"/>
      <c r="K354" s="22" t="str">
        <f t="shared" si="2"/>
        <v/>
      </c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583</v>
      </c>
      <c r="H355" s="20" t="str">
        <f>+T355</f>
        <v/>
      </c>
      <c r="J355" s="30"/>
      <c r="K355" s="22" t="str">
        <f t="shared" si="2"/>
        <v/>
      </c>
      <c r="Q355" s="34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584</v>
      </c>
      <c r="H356" s="20" t="str">
        <f>+T356</f>
        <v/>
      </c>
      <c r="J356" s="30"/>
      <c r="K356" s="22" t="str">
        <f t="shared" si="2"/>
        <v/>
      </c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585</v>
      </c>
      <c r="H357" s="20" t="str">
        <f>+T357</f>
        <v/>
      </c>
      <c r="J357" s="30"/>
      <c r="K357" s="22" t="str">
        <f t="shared" si="2"/>
        <v/>
      </c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586</v>
      </c>
      <c r="H358" s="20" t="str">
        <f>+T358</f>
        <v/>
      </c>
      <c r="J358" s="30"/>
      <c r="K358" s="22" t="str">
        <f t="shared" si="2"/>
        <v/>
      </c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587</v>
      </c>
      <c r="H359" s="20" t="str">
        <f>+T359</f>
        <v/>
      </c>
      <c r="J359" s="30"/>
      <c r="K359" s="22" t="str">
        <f t="shared" si="2"/>
        <v/>
      </c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588</v>
      </c>
      <c r="H360" s="20" t="str">
        <f>+T360</f>
        <v/>
      </c>
      <c r="J360" s="30"/>
      <c r="K360" s="22" t="str">
        <f t="shared" si="2"/>
        <v/>
      </c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589</v>
      </c>
      <c r="H361" s="20" t="str">
        <f>+T361</f>
        <v/>
      </c>
      <c r="J361" s="30"/>
      <c r="K361" s="22" t="str">
        <f t="shared" si="2"/>
        <v/>
      </c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590</v>
      </c>
      <c r="H362" s="20" t="str">
        <f>+T362</f>
        <v/>
      </c>
      <c r="J362" s="30"/>
      <c r="K362" s="22" t="str">
        <f t="shared" si="2"/>
        <v/>
      </c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591</v>
      </c>
      <c r="H363" s="20" t="str">
        <f>+T363</f>
        <v/>
      </c>
      <c r="J363" s="30"/>
      <c r="K363" s="22" t="str">
        <f t="shared" si="2"/>
        <v/>
      </c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592</v>
      </c>
      <c r="B364" s="35"/>
      <c r="C364" s="35"/>
      <c r="D364" s="35"/>
      <c r="E364" s="35"/>
      <c r="F364" s="35"/>
      <c r="G364" s="35"/>
      <c r="H364" s="20" t="str">
        <f>+T364</f>
        <v/>
      </c>
      <c r="I364" s="35"/>
      <c r="J364" s="37"/>
      <c r="K364" s="22" t="str">
        <f t="shared" si="2"/>
        <v/>
      </c>
      <c r="L364" s="35"/>
      <c r="M364" s="35"/>
      <c r="N364" s="35"/>
      <c r="O364" s="35"/>
      <c r="P364" s="35"/>
      <c r="Q364" s="21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593</v>
      </c>
      <c r="H365" s="20" t="str">
        <f>+T365</f>
        <v/>
      </c>
      <c r="J365" s="30"/>
      <c r="K365" s="22" t="str">
        <f t="shared" si="2"/>
        <v/>
      </c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594</v>
      </c>
      <c r="H366" s="20" t="str">
        <f>+T366</f>
        <v/>
      </c>
      <c r="J366" s="30"/>
      <c r="K366" s="22" t="str">
        <f t="shared" si="2"/>
        <v/>
      </c>
      <c r="Q366" s="34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595</v>
      </c>
      <c r="H367" s="20" t="str">
        <f>+T367</f>
        <v/>
      </c>
      <c r="J367" s="30"/>
      <c r="K367" s="22" t="str">
        <f t="shared" si="2"/>
        <v/>
      </c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596</v>
      </c>
      <c r="H368" s="20" t="str">
        <f>+T368</f>
        <v/>
      </c>
      <c r="J368" s="30"/>
      <c r="K368" s="22" t="str">
        <f t="shared" si="2"/>
        <v/>
      </c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597</v>
      </c>
      <c r="H369" s="20" t="str">
        <f>+T369</f>
        <v/>
      </c>
      <c r="J369" s="30"/>
      <c r="K369" s="22" t="str">
        <f t="shared" si="2"/>
        <v/>
      </c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598</v>
      </c>
      <c r="H370" s="20" t="str">
        <f>+T370</f>
        <v/>
      </c>
      <c r="J370" s="30"/>
      <c r="K370" s="22" t="str">
        <f t="shared" si="2"/>
        <v/>
      </c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599</v>
      </c>
      <c r="H371" s="20" t="str">
        <f>+T371</f>
        <v/>
      </c>
      <c r="J371" s="30"/>
      <c r="K371" s="22" t="str">
        <f t="shared" si="2"/>
        <v/>
      </c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600</v>
      </c>
      <c r="H372" s="20" t="str">
        <f>+T372</f>
        <v/>
      </c>
      <c r="J372" s="30"/>
      <c r="K372" s="22" t="str">
        <f t="shared" si="2"/>
        <v/>
      </c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601</v>
      </c>
      <c r="H373" s="20" t="str">
        <f>+T373</f>
        <v/>
      </c>
      <c r="J373" s="30"/>
      <c r="K373" s="22" t="str">
        <f t="shared" si="2"/>
        <v/>
      </c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602</v>
      </c>
      <c r="H374" s="20" t="str">
        <f>+T374</f>
        <v/>
      </c>
      <c r="J374" s="30"/>
      <c r="K374" s="22" t="str">
        <f t="shared" si="2"/>
        <v/>
      </c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603</v>
      </c>
      <c r="B375" s="35"/>
      <c r="C375" s="35"/>
      <c r="D375" s="35"/>
      <c r="E375" s="35"/>
      <c r="F375" s="35"/>
      <c r="G375" s="35"/>
      <c r="H375" s="20" t="str">
        <f>+T375</f>
        <v/>
      </c>
      <c r="I375" s="35"/>
      <c r="J375" s="37"/>
      <c r="K375" s="22" t="str">
        <f t="shared" si="2"/>
        <v/>
      </c>
      <c r="L375" s="35"/>
      <c r="M375" s="35"/>
      <c r="N375" s="35"/>
      <c r="O375" s="35"/>
      <c r="P375" s="35"/>
      <c r="Q375" s="21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604</v>
      </c>
      <c r="H376" s="20" t="str">
        <f>+T376</f>
        <v/>
      </c>
      <c r="J376" s="30"/>
      <c r="K376" s="22" t="str">
        <f t="shared" si="2"/>
        <v/>
      </c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605</v>
      </c>
      <c r="H377" s="20" t="str">
        <f>+T377</f>
        <v/>
      </c>
      <c r="J377" s="30"/>
      <c r="K377" s="22" t="str">
        <f t="shared" si="2"/>
        <v/>
      </c>
      <c r="Q377" s="34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606</v>
      </c>
      <c r="H378" s="20" t="str">
        <f>+T378</f>
        <v/>
      </c>
      <c r="J378" s="30"/>
      <c r="K378" s="22" t="str">
        <f t="shared" si="2"/>
        <v/>
      </c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607</v>
      </c>
      <c r="H379" s="20" t="str">
        <f>+T379</f>
        <v/>
      </c>
      <c r="J379" s="30"/>
      <c r="K379" s="22" t="str">
        <f t="shared" si="2"/>
        <v/>
      </c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608</v>
      </c>
      <c r="H380" s="20" t="str">
        <f>+T380</f>
        <v/>
      </c>
      <c r="J380" s="30"/>
      <c r="K380" s="22" t="str">
        <f t="shared" si="2"/>
        <v/>
      </c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609</v>
      </c>
      <c r="H381" s="20" t="str">
        <f>+T381</f>
        <v/>
      </c>
      <c r="J381" s="30"/>
      <c r="K381" s="22" t="str">
        <f t="shared" si="2"/>
        <v/>
      </c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610</v>
      </c>
      <c r="H382" s="20" t="str">
        <f>+T382</f>
        <v/>
      </c>
      <c r="J382" s="30"/>
      <c r="K382" s="22" t="str">
        <f t="shared" ref="K382:K445" si="3">IF(I382="","",IF(I382="ENTRADA",ABS(J382),-ABS(J382)))</f>
        <v/>
      </c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611</v>
      </c>
      <c r="H383" s="20" t="str">
        <f>+T383</f>
        <v/>
      </c>
      <c r="J383" s="30"/>
      <c r="K383" s="22" t="str">
        <f t="shared" si="3"/>
        <v/>
      </c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612</v>
      </c>
      <c r="H384" s="20" t="str">
        <f>+T384</f>
        <v/>
      </c>
      <c r="J384" s="30"/>
      <c r="K384" s="22" t="str">
        <f t="shared" si="3"/>
        <v/>
      </c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613</v>
      </c>
      <c r="H385" s="20" t="str">
        <f>+T385</f>
        <v/>
      </c>
      <c r="J385" s="30"/>
      <c r="K385" s="22" t="str">
        <f t="shared" si="3"/>
        <v/>
      </c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614</v>
      </c>
      <c r="B386" s="35"/>
      <c r="C386" s="35"/>
      <c r="D386" s="35"/>
      <c r="E386" s="35"/>
      <c r="F386" s="35"/>
      <c r="G386" s="35"/>
      <c r="H386" s="20" t="str">
        <f>+T386</f>
        <v/>
      </c>
      <c r="I386" s="35"/>
      <c r="J386" s="37"/>
      <c r="K386" s="22" t="str">
        <f t="shared" si="3"/>
        <v/>
      </c>
      <c r="L386" s="35"/>
      <c r="M386" s="35"/>
      <c r="N386" s="35"/>
      <c r="O386" s="35"/>
      <c r="P386" s="35"/>
      <c r="Q386" s="21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615</v>
      </c>
      <c r="H387" s="20" t="str">
        <f>+T387</f>
        <v/>
      </c>
      <c r="J387" s="30"/>
      <c r="K387" s="22" t="str">
        <f t="shared" si="3"/>
        <v/>
      </c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616</v>
      </c>
      <c r="H388" s="20" t="str">
        <f>+T388</f>
        <v/>
      </c>
      <c r="J388" s="30"/>
      <c r="K388" s="22" t="str">
        <f t="shared" si="3"/>
        <v/>
      </c>
      <c r="Q388" s="34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617</v>
      </c>
      <c r="H389" s="20" t="str">
        <f>+T389</f>
        <v/>
      </c>
      <c r="J389" s="30"/>
      <c r="K389" s="22" t="str">
        <f t="shared" si="3"/>
        <v/>
      </c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618</v>
      </c>
      <c r="H390" s="20" t="str">
        <f>+T390</f>
        <v/>
      </c>
      <c r="J390" s="30"/>
      <c r="K390" s="22" t="str">
        <f t="shared" si="3"/>
        <v/>
      </c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619</v>
      </c>
      <c r="H391" s="20" t="str">
        <f>+T391</f>
        <v/>
      </c>
      <c r="J391" s="30"/>
      <c r="K391" s="22" t="str">
        <f t="shared" si="3"/>
        <v/>
      </c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620</v>
      </c>
      <c r="H392" s="20" t="str">
        <f>+T392</f>
        <v/>
      </c>
      <c r="J392" s="30"/>
      <c r="K392" s="22" t="str">
        <f t="shared" si="3"/>
        <v/>
      </c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621</v>
      </c>
      <c r="H393" s="20" t="str">
        <f>+T393</f>
        <v/>
      </c>
      <c r="J393" s="30"/>
      <c r="K393" s="22" t="str">
        <f t="shared" si="3"/>
        <v/>
      </c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622</v>
      </c>
      <c r="H394" s="20" t="str">
        <f>+T394</f>
        <v/>
      </c>
      <c r="J394" s="30"/>
      <c r="K394" s="22" t="str">
        <f t="shared" si="3"/>
        <v/>
      </c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623</v>
      </c>
      <c r="H395" s="20" t="str">
        <f>+T395</f>
        <v/>
      </c>
      <c r="J395" s="30"/>
      <c r="K395" s="22" t="str">
        <f t="shared" si="3"/>
        <v/>
      </c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624</v>
      </c>
      <c r="H396" s="20" t="str">
        <f>+T396</f>
        <v/>
      </c>
      <c r="J396" s="30"/>
      <c r="K396" s="22" t="str">
        <f t="shared" si="3"/>
        <v/>
      </c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625</v>
      </c>
      <c r="B397" s="35"/>
      <c r="C397" s="35"/>
      <c r="D397" s="35"/>
      <c r="E397" s="35"/>
      <c r="F397" s="35"/>
      <c r="G397" s="35"/>
      <c r="H397" s="20" t="str">
        <f>+T397</f>
        <v/>
      </c>
      <c r="I397" s="35"/>
      <c r="J397" s="37"/>
      <c r="K397" s="22" t="str">
        <f t="shared" si="3"/>
        <v/>
      </c>
      <c r="L397" s="35"/>
      <c r="M397" s="35"/>
      <c r="N397" s="35"/>
      <c r="O397" s="35"/>
      <c r="P397" s="35"/>
      <c r="Q397" s="21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626</v>
      </c>
      <c r="H398" s="20" t="str">
        <f>+T398</f>
        <v/>
      </c>
      <c r="J398" s="30"/>
      <c r="K398" s="22" t="str">
        <f t="shared" si="3"/>
        <v/>
      </c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627</v>
      </c>
      <c r="H399" s="20" t="str">
        <f>+T399</f>
        <v/>
      </c>
      <c r="J399" s="30"/>
      <c r="K399" s="22" t="str">
        <f t="shared" si="3"/>
        <v/>
      </c>
      <c r="Q399" s="34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628</v>
      </c>
      <c r="H400" s="20" t="str">
        <f>+T400</f>
        <v/>
      </c>
      <c r="J400" s="30"/>
      <c r="K400" s="22" t="str">
        <f t="shared" si="3"/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629</v>
      </c>
      <c r="H401" s="20" t="str">
        <f>+T401</f>
        <v/>
      </c>
      <c r="J401" s="30"/>
      <c r="K401" s="22" t="str">
        <f t="shared" si="3"/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630</v>
      </c>
      <c r="H402" s="20" t="str">
        <f>+T402</f>
        <v/>
      </c>
      <c r="J402" s="30"/>
      <c r="K402" s="22" t="str">
        <f t="shared" si="3"/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631</v>
      </c>
      <c r="H403" s="20" t="str">
        <f>+T403</f>
        <v/>
      </c>
      <c r="J403" s="30"/>
      <c r="K403" s="22" t="str">
        <f t="shared" si="3"/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632</v>
      </c>
      <c r="H404" s="20" t="str">
        <f>+T404</f>
        <v/>
      </c>
      <c r="J404" s="30"/>
      <c r="K404" s="22" t="str">
        <f t="shared" si="3"/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633</v>
      </c>
      <c r="H405" s="20" t="str">
        <f>+T405</f>
        <v/>
      </c>
      <c r="J405" s="30"/>
      <c r="K405" s="22" t="str">
        <f t="shared" si="3"/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634</v>
      </c>
      <c r="H406" s="20" t="str">
        <f>+T406</f>
        <v/>
      </c>
      <c r="J406" s="30"/>
      <c r="K406" s="22" t="str">
        <f t="shared" si="3"/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635</v>
      </c>
      <c r="H407" s="20" t="str">
        <f>+T407</f>
        <v/>
      </c>
      <c r="J407" s="30"/>
      <c r="K407" s="22" t="str">
        <f t="shared" si="3"/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636</v>
      </c>
      <c r="B408" s="35"/>
      <c r="C408" s="35"/>
      <c r="D408" s="35"/>
      <c r="E408" s="35"/>
      <c r="F408" s="35"/>
      <c r="G408" s="35"/>
      <c r="H408" s="20" t="str">
        <f>+T408</f>
        <v/>
      </c>
      <c r="I408" s="35"/>
      <c r="J408" s="37"/>
      <c r="K408" s="22" t="str">
        <f t="shared" si="3"/>
        <v/>
      </c>
      <c r="L408" s="35"/>
      <c r="M408" s="35"/>
      <c r="N408" s="35"/>
      <c r="O408" s="35"/>
      <c r="P408" s="35"/>
      <c r="Q408" s="21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637</v>
      </c>
      <c r="H409" s="20" t="str">
        <f>+T409</f>
        <v/>
      </c>
      <c r="J409" s="30"/>
      <c r="K409" s="22" t="str">
        <f t="shared" si="3"/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638</v>
      </c>
      <c r="H410" s="20" t="str">
        <f>+T410</f>
        <v/>
      </c>
      <c r="J410" s="30"/>
      <c r="K410" s="22" t="str">
        <f t="shared" si="3"/>
        <v/>
      </c>
      <c r="Q410" s="34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639</v>
      </c>
      <c r="H411" s="20" t="str">
        <f>+T411</f>
        <v/>
      </c>
      <c r="J411" s="30"/>
      <c r="K411" s="22" t="str">
        <f t="shared" si="3"/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640</v>
      </c>
      <c r="H412" s="20" t="str">
        <f>+T412</f>
        <v/>
      </c>
      <c r="J412" s="30"/>
      <c r="K412" s="22" t="str">
        <f t="shared" si="3"/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641</v>
      </c>
      <c r="H413" s="20" t="str">
        <f>+T413</f>
        <v/>
      </c>
      <c r="J413" s="30"/>
      <c r="K413" s="22" t="str">
        <f t="shared" si="3"/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642</v>
      </c>
      <c r="H414" s="20" t="str">
        <f>+T414</f>
        <v/>
      </c>
      <c r="J414" s="30"/>
      <c r="K414" s="22" t="str">
        <f t="shared" si="3"/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643</v>
      </c>
      <c r="H415" s="20" t="str">
        <f>+T415</f>
        <v/>
      </c>
      <c r="J415" s="30"/>
      <c r="K415" s="22" t="str">
        <f t="shared" si="3"/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644</v>
      </c>
      <c r="H416" s="20" t="str">
        <f>+T416</f>
        <v/>
      </c>
      <c r="J416" s="30"/>
      <c r="K416" s="22" t="str">
        <f t="shared" si="3"/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645</v>
      </c>
      <c r="H417" s="20" t="str">
        <f>+T417</f>
        <v/>
      </c>
      <c r="J417" s="30"/>
      <c r="K417" s="22" t="str">
        <f t="shared" si="3"/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646</v>
      </c>
      <c r="H418" s="20" t="str">
        <f>+T418</f>
        <v/>
      </c>
      <c r="J418" s="30"/>
      <c r="K418" s="22" t="str">
        <f t="shared" si="3"/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647</v>
      </c>
      <c r="B419" s="35"/>
      <c r="C419" s="35"/>
      <c r="D419" s="35"/>
      <c r="E419" s="35"/>
      <c r="F419" s="35"/>
      <c r="G419" s="35"/>
      <c r="H419" s="20" t="str">
        <f>+T419</f>
        <v/>
      </c>
      <c r="I419" s="35"/>
      <c r="J419" s="37"/>
      <c r="K419" s="22" t="str">
        <f t="shared" si="3"/>
        <v/>
      </c>
      <c r="L419" s="35"/>
      <c r="M419" s="35"/>
      <c r="N419" s="35"/>
      <c r="O419" s="35"/>
      <c r="P419" s="35"/>
      <c r="Q419" s="21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648</v>
      </c>
      <c r="H420" s="20" t="str">
        <f>+T420</f>
        <v/>
      </c>
      <c r="J420" s="30"/>
      <c r="K420" s="22" t="str">
        <f t="shared" si="3"/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649</v>
      </c>
      <c r="H421" s="20" t="str">
        <f>+T421</f>
        <v/>
      </c>
      <c r="J421" s="30"/>
      <c r="K421" s="22" t="str">
        <f t="shared" si="3"/>
        <v/>
      </c>
      <c r="Q421" s="34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650</v>
      </c>
      <c r="H422" s="20" t="str">
        <f>+T422</f>
        <v/>
      </c>
      <c r="J422" s="30"/>
      <c r="K422" s="22" t="str">
        <f t="shared" si="3"/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651</v>
      </c>
      <c r="H423" s="20" t="str">
        <f>+T423</f>
        <v/>
      </c>
      <c r="J423" s="30"/>
      <c r="K423" s="22" t="str">
        <f t="shared" si="3"/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652</v>
      </c>
      <c r="H424" s="20" t="str">
        <f>+T424</f>
        <v/>
      </c>
      <c r="J424" s="30"/>
      <c r="K424" s="22" t="str">
        <f t="shared" si="3"/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653</v>
      </c>
      <c r="H425" s="20" t="str">
        <f>+T425</f>
        <v/>
      </c>
      <c r="J425" s="30"/>
      <c r="K425" s="22" t="str">
        <f t="shared" si="3"/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654</v>
      </c>
      <c r="H426" s="20" t="str">
        <f>+T426</f>
        <v/>
      </c>
      <c r="J426" s="30"/>
      <c r="K426" s="22" t="str">
        <f t="shared" si="3"/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655</v>
      </c>
      <c r="H427" s="20" t="str">
        <f>+T427</f>
        <v/>
      </c>
      <c r="J427" s="30"/>
      <c r="K427" s="22" t="str">
        <f t="shared" si="3"/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656</v>
      </c>
      <c r="H428" s="20" t="str">
        <f>+T428</f>
        <v/>
      </c>
      <c r="J428" s="30"/>
      <c r="K428" s="22" t="str">
        <f t="shared" si="3"/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657</v>
      </c>
      <c r="H429" s="20" t="str">
        <f>+T429</f>
        <v/>
      </c>
      <c r="J429" s="30"/>
      <c r="K429" s="22" t="str">
        <f t="shared" si="3"/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658</v>
      </c>
      <c r="B430" s="35"/>
      <c r="C430" s="35"/>
      <c r="D430" s="35"/>
      <c r="E430" s="35"/>
      <c r="F430" s="35"/>
      <c r="G430" s="35"/>
      <c r="H430" s="20" t="str">
        <f>+T430</f>
        <v/>
      </c>
      <c r="I430" s="35"/>
      <c r="J430" s="37"/>
      <c r="K430" s="22" t="str">
        <f t="shared" si="3"/>
        <v/>
      </c>
      <c r="L430" s="35"/>
      <c r="M430" s="35"/>
      <c r="N430" s="35"/>
      <c r="O430" s="35"/>
      <c r="P430" s="35"/>
      <c r="Q430" s="21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659</v>
      </c>
      <c r="H431" s="20" t="str">
        <f>+T431</f>
        <v/>
      </c>
      <c r="J431" s="30"/>
      <c r="K431" s="22" t="str">
        <f t="shared" si="3"/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660</v>
      </c>
      <c r="H432" s="20" t="str">
        <f>+T432</f>
        <v/>
      </c>
      <c r="J432" s="30"/>
      <c r="K432" s="22" t="str">
        <f t="shared" si="3"/>
        <v/>
      </c>
      <c r="Q432" s="34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661</v>
      </c>
      <c r="H433" s="20" t="str">
        <f>+T433</f>
        <v/>
      </c>
      <c r="J433" s="30"/>
      <c r="K433" s="22" t="str">
        <f t="shared" si="3"/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662</v>
      </c>
      <c r="H434" s="20" t="str">
        <f>+T434</f>
        <v/>
      </c>
      <c r="J434" s="30"/>
      <c r="K434" s="22" t="str">
        <f t="shared" si="3"/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663</v>
      </c>
      <c r="H435" s="20" t="str">
        <f>+T435</f>
        <v/>
      </c>
      <c r="J435" s="30"/>
      <c r="K435" s="22" t="str">
        <f t="shared" si="3"/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664</v>
      </c>
      <c r="H436" s="20" t="str">
        <f>+T436</f>
        <v/>
      </c>
      <c r="J436" s="30"/>
      <c r="K436" s="22" t="str">
        <f t="shared" si="3"/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665</v>
      </c>
      <c r="H437" s="20" t="str">
        <f>+T437</f>
        <v/>
      </c>
      <c r="J437" s="30"/>
      <c r="K437" s="22" t="str">
        <f t="shared" si="3"/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666</v>
      </c>
      <c r="H438" s="20" t="str">
        <f>+T438</f>
        <v/>
      </c>
      <c r="J438" s="30"/>
      <c r="K438" s="22" t="str">
        <f t="shared" si="3"/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667</v>
      </c>
      <c r="H439" s="20" t="str">
        <f>+T439</f>
        <v/>
      </c>
      <c r="J439" s="30"/>
      <c r="K439" s="22" t="str">
        <f t="shared" si="3"/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668</v>
      </c>
      <c r="H440" s="20" t="str">
        <f>+T440</f>
        <v/>
      </c>
      <c r="J440" s="30"/>
      <c r="K440" s="22" t="str">
        <f t="shared" si="3"/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669</v>
      </c>
      <c r="B441" s="35"/>
      <c r="C441" s="35"/>
      <c r="D441" s="35"/>
      <c r="E441" s="35"/>
      <c r="F441" s="35"/>
      <c r="G441" s="35"/>
      <c r="H441" s="20" t="str">
        <f>+T441</f>
        <v/>
      </c>
      <c r="I441" s="35"/>
      <c r="J441" s="37"/>
      <c r="K441" s="22" t="str">
        <f t="shared" si="3"/>
        <v/>
      </c>
      <c r="L441" s="35"/>
      <c r="M441" s="35"/>
      <c r="N441" s="35"/>
      <c r="O441" s="35"/>
      <c r="P441" s="35"/>
      <c r="Q441" s="21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670</v>
      </c>
      <c r="H442" s="20" t="str">
        <f>+T442</f>
        <v/>
      </c>
      <c r="J442" s="30"/>
      <c r="K442" s="22" t="str">
        <f t="shared" si="3"/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671</v>
      </c>
      <c r="H443" s="20" t="str">
        <f>+T443</f>
        <v/>
      </c>
      <c r="J443" s="30"/>
      <c r="K443" s="22" t="str">
        <f t="shared" si="3"/>
        <v/>
      </c>
      <c r="Q443" s="34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672</v>
      </c>
      <c r="H444" s="20" t="str">
        <f>+T444</f>
        <v/>
      </c>
      <c r="J444" s="30"/>
      <c r="K444" s="22" t="str">
        <f t="shared" si="3"/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673</v>
      </c>
      <c r="H445" s="20" t="str">
        <f>+T445</f>
        <v/>
      </c>
      <c r="J445" s="30"/>
      <c r="K445" s="22" t="str">
        <f t="shared" si="3"/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674</v>
      </c>
      <c r="H446" s="20" t="str">
        <f>+T446</f>
        <v/>
      </c>
      <c r="J446" s="30"/>
      <c r="K446" s="22" t="str">
        <f t="shared" ref="K446:K509" si="4">IF(I446="","",IF(I446="ENTRADA",ABS(J446),-ABS(J446)))</f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675</v>
      </c>
      <c r="H447" s="20" t="str">
        <f>+T447</f>
        <v/>
      </c>
      <c r="J447" s="30"/>
      <c r="K447" s="22" t="str">
        <f t="shared" si="4"/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676</v>
      </c>
      <c r="H448" s="20" t="str">
        <f>+T448</f>
        <v/>
      </c>
      <c r="J448" s="30"/>
      <c r="K448" s="22" t="str">
        <f t="shared" si="4"/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677</v>
      </c>
      <c r="H449" s="20" t="str">
        <f>+T449</f>
        <v/>
      </c>
      <c r="J449" s="30"/>
      <c r="K449" s="22" t="str">
        <f t="shared" si="4"/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678</v>
      </c>
      <c r="H450" s="20" t="str">
        <f>+T450</f>
        <v/>
      </c>
      <c r="J450" s="30"/>
      <c r="K450" s="22" t="str">
        <f t="shared" si="4"/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679</v>
      </c>
      <c r="H451" s="20" t="str">
        <f>+T451</f>
        <v/>
      </c>
      <c r="J451" s="30"/>
      <c r="K451" s="22" t="str">
        <f t="shared" si="4"/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680</v>
      </c>
      <c r="B452" s="35"/>
      <c r="C452" s="35"/>
      <c r="D452" s="35"/>
      <c r="E452" s="35"/>
      <c r="F452" s="35"/>
      <c r="G452" s="35"/>
      <c r="H452" s="20" t="str">
        <f>+T452</f>
        <v/>
      </c>
      <c r="I452" s="35"/>
      <c r="J452" s="37"/>
      <c r="K452" s="22" t="str">
        <f t="shared" si="4"/>
        <v/>
      </c>
      <c r="L452" s="35"/>
      <c r="M452" s="35"/>
      <c r="N452" s="35"/>
      <c r="O452" s="35"/>
      <c r="P452" s="35"/>
      <c r="Q452" s="21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681</v>
      </c>
      <c r="H453" s="20" t="str">
        <f>+T453</f>
        <v/>
      </c>
      <c r="J453" s="30"/>
      <c r="K453" s="22" t="str">
        <f t="shared" si="4"/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682</v>
      </c>
      <c r="H454" s="20" t="str">
        <f>+T454</f>
        <v/>
      </c>
      <c r="J454" s="30"/>
      <c r="K454" s="22" t="str">
        <f t="shared" si="4"/>
        <v/>
      </c>
      <c r="Q454" s="34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683</v>
      </c>
      <c r="H455" s="20" t="str">
        <f>+T455</f>
        <v/>
      </c>
      <c r="J455" s="30"/>
      <c r="K455" s="22" t="str">
        <f t="shared" si="4"/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684</v>
      </c>
      <c r="H456" s="20" t="str">
        <f>+T456</f>
        <v/>
      </c>
      <c r="J456" s="30"/>
      <c r="K456" s="22" t="str">
        <f t="shared" si="4"/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685</v>
      </c>
      <c r="H457" s="20" t="str">
        <f>+T457</f>
        <v/>
      </c>
      <c r="J457" s="30"/>
      <c r="K457" s="22" t="str">
        <f t="shared" si="4"/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686</v>
      </c>
      <c r="H458" s="20" t="str">
        <f>+T458</f>
        <v/>
      </c>
      <c r="J458" s="30"/>
      <c r="K458" s="22" t="str">
        <f t="shared" si="4"/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687</v>
      </c>
      <c r="H459" s="20" t="str">
        <f>+T459</f>
        <v/>
      </c>
      <c r="J459" s="30"/>
      <c r="K459" s="22" t="str">
        <f t="shared" si="4"/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688</v>
      </c>
      <c r="H460" s="20" t="str">
        <f>+T460</f>
        <v/>
      </c>
      <c r="J460" s="30"/>
      <c r="K460" s="22" t="str">
        <f t="shared" si="4"/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689</v>
      </c>
      <c r="H461" s="20" t="str">
        <f>+T461</f>
        <v/>
      </c>
      <c r="J461" s="30"/>
      <c r="K461" s="22" t="str">
        <f t="shared" si="4"/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690</v>
      </c>
      <c r="H462" s="20" t="str">
        <f>+T462</f>
        <v/>
      </c>
      <c r="J462" s="30"/>
      <c r="K462" s="22" t="str">
        <f t="shared" si="4"/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691</v>
      </c>
      <c r="B463" s="35"/>
      <c r="C463" s="35"/>
      <c r="D463" s="35"/>
      <c r="E463" s="35"/>
      <c r="F463" s="35"/>
      <c r="G463" s="35"/>
      <c r="H463" s="20" t="str">
        <f>+T463</f>
        <v/>
      </c>
      <c r="I463" s="35"/>
      <c r="J463" s="37"/>
      <c r="K463" s="22" t="str">
        <f t="shared" si="4"/>
        <v/>
      </c>
      <c r="L463" s="35"/>
      <c r="M463" s="35"/>
      <c r="N463" s="35"/>
      <c r="O463" s="35"/>
      <c r="P463" s="35"/>
      <c r="Q463" s="21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692</v>
      </c>
      <c r="H464" s="20" t="str">
        <f>+T464</f>
        <v/>
      </c>
      <c r="J464" s="30"/>
      <c r="K464" s="22" t="str">
        <f t="shared" si="4"/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693</v>
      </c>
      <c r="H465" s="20" t="str">
        <f>+T465</f>
        <v/>
      </c>
      <c r="J465" s="30"/>
      <c r="K465" s="22" t="str">
        <f t="shared" si="4"/>
        <v/>
      </c>
      <c r="Q465" s="34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694</v>
      </c>
      <c r="H466" s="20" t="str">
        <f>+T466</f>
        <v/>
      </c>
      <c r="J466" s="30"/>
      <c r="K466" s="22" t="str">
        <f t="shared" si="4"/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695</v>
      </c>
      <c r="H467" s="20" t="str">
        <f>+T467</f>
        <v/>
      </c>
      <c r="J467" s="30"/>
      <c r="K467" s="22" t="str">
        <f t="shared" si="4"/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696</v>
      </c>
      <c r="H468" s="20" t="str">
        <f>+T468</f>
        <v/>
      </c>
      <c r="J468" s="30"/>
      <c r="K468" s="22" t="str">
        <f t="shared" si="4"/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697</v>
      </c>
      <c r="H469" s="20" t="str">
        <f>+T469</f>
        <v/>
      </c>
      <c r="J469" s="30"/>
      <c r="K469" s="22" t="str">
        <f t="shared" si="4"/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698</v>
      </c>
      <c r="H470" s="20" t="str">
        <f>+T470</f>
        <v/>
      </c>
      <c r="J470" s="30"/>
      <c r="K470" s="22" t="str">
        <f t="shared" si="4"/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699</v>
      </c>
      <c r="H471" s="20" t="str">
        <f>+T471</f>
        <v/>
      </c>
      <c r="J471" s="30"/>
      <c r="K471" s="22" t="str">
        <f t="shared" si="4"/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700</v>
      </c>
      <c r="H472" s="20" t="str">
        <f>+T472</f>
        <v/>
      </c>
      <c r="J472" s="30"/>
      <c r="K472" s="22" t="str">
        <f t="shared" si="4"/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701</v>
      </c>
      <c r="H473" s="20" t="str">
        <f>+T473</f>
        <v/>
      </c>
      <c r="J473" s="30"/>
      <c r="K473" s="22" t="str">
        <f t="shared" si="4"/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702</v>
      </c>
      <c r="B474" s="35"/>
      <c r="C474" s="35"/>
      <c r="D474" s="35"/>
      <c r="E474" s="35"/>
      <c r="F474" s="35"/>
      <c r="G474" s="35"/>
      <c r="H474" s="20" t="str">
        <f>+T474</f>
        <v/>
      </c>
      <c r="I474" s="35"/>
      <c r="J474" s="37"/>
      <c r="K474" s="22" t="str">
        <f t="shared" si="4"/>
        <v/>
      </c>
      <c r="L474" s="35"/>
      <c r="M474" s="35"/>
      <c r="N474" s="35"/>
      <c r="O474" s="35"/>
      <c r="P474" s="35"/>
      <c r="Q474" s="21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703</v>
      </c>
      <c r="H475" s="20" t="str">
        <f>+T475</f>
        <v/>
      </c>
      <c r="J475" s="30"/>
      <c r="K475" s="22" t="str">
        <f t="shared" si="4"/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704</v>
      </c>
      <c r="H476" s="20" t="str">
        <f>+T476</f>
        <v/>
      </c>
      <c r="J476" s="30"/>
      <c r="K476" s="22" t="str">
        <f t="shared" si="4"/>
        <v/>
      </c>
      <c r="Q476" s="34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705</v>
      </c>
      <c r="H477" s="20" t="str">
        <f>+T477</f>
        <v/>
      </c>
      <c r="J477" s="30"/>
      <c r="K477" s="22" t="str">
        <f t="shared" si="4"/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706</v>
      </c>
      <c r="H478" s="20" t="str">
        <f>+T478</f>
        <v/>
      </c>
      <c r="J478" s="30"/>
      <c r="K478" s="22" t="str">
        <f t="shared" si="4"/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707</v>
      </c>
      <c r="H479" s="20" t="str">
        <f>+T479</f>
        <v/>
      </c>
      <c r="J479" s="30"/>
      <c r="K479" s="22" t="str">
        <f t="shared" si="4"/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708</v>
      </c>
      <c r="H480" s="20" t="str">
        <f>+T480</f>
        <v/>
      </c>
      <c r="J480" s="30"/>
      <c r="K480" s="22" t="str">
        <f t="shared" si="4"/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709</v>
      </c>
      <c r="H481" s="20" t="str">
        <f>+T481</f>
        <v/>
      </c>
      <c r="J481" s="30"/>
      <c r="K481" s="22" t="str">
        <f t="shared" si="4"/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710</v>
      </c>
      <c r="H482" s="20" t="str">
        <f>+T482</f>
        <v/>
      </c>
      <c r="J482" s="30"/>
      <c r="K482" s="22" t="str">
        <f t="shared" si="4"/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711</v>
      </c>
      <c r="H483" s="20" t="str">
        <f>+T483</f>
        <v/>
      </c>
      <c r="J483" s="30"/>
      <c r="K483" s="22" t="str">
        <f t="shared" si="4"/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712</v>
      </c>
      <c r="H484" s="20" t="str">
        <f>+T484</f>
        <v/>
      </c>
      <c r="J484" s="30"/>
      <c r="K484" s="22" t="str">
        <f t="shared" si="4"/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713</v>
      </c>
      <c r="B485" s="35"/>
      <c r="C485" s="35"/>
      <c r="D485" s="35"/>
      <c r="E485" s="35"/>
      <c r="F485" s="35"/>
      <c r="G485" s="35"/>
      <c r="H485" s="20" t="str">
        <f>+T485</f>
        <v/>
      </c>
      <c r="I485" s="35"/>
      <c r="J485" s="37"/>
      <c r="K485" s="22" t="str">
        <f t="shared" si="4"/>
        <v/>
      </c>
      <c r="L485" s="35"/>
      <c r="M485" s="35"/>
      <c r="N485" s="35"/>
      <c r="O485" s="35"/>
      <c r="P485" s="35"/>
      <c r="Q485" s="21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714</v>
      </c>
      <c r="H486" s="20" t="str">
        <f>+T486</f>
        <v/>
      </c>
      <c r="J486" s="30"/>
      <c r="K486" s="22" t="str">
        <f t="shared" si="4"/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715</v>
      </c>
      <c r="H487" s="20" t="str">
        <f>+T487</f>
        <v/>
      </c>
      <c r="J487" s="30"/>
      <c r="K487" s="22" t="str">
        <f t="shared" si="4"/>
        <v/>
      </c>
      <c r="Q487" s="34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716</v>
      </c>
      <c r="H488" s="20" t="str">
        <f>+T488</f>
        <v/>
      </c>
      <c r="J488" s="30"/>
      <c r="K488" s="22" t="str">
        <f t="shared" si="4"/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717</v>
      </c>
      <c r="H489" s="20" t="str">
        <f>+T489</f>
        <v/>
      </c>
      <c r="J489" s="30"/>
      <c r="K489" s="22" t="str">
        <f t="shared" si="4"/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718</v>
      </c>
      <c r="H490" s="20" t="str">
        <f>+T490</f>
        <v/>
      </c>
      <c r="J490" s="30"/>
      <c r="K490" s="22" t="str">
        <f t="shared" si="4"/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719</v>
      </c>
      <c r="H491" s="20" t="str">
        <f>+T491</f>
        <v/>
      </c>
      <c r="J491" s="30"/>
      <c r="K491" s="22" t="str">
        <f t="shared" si="4"/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720</v>
      </c>
      <c r="H492" s="20" t="str">
        <f>+T492</f>
        <v/>
      </c>
      <c r="J492" s="30"/>
      <c r="K492" s="22" t="str">
        <f t="shared" si="4"/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721</v>
      </c>
      <c r="H493" s="20" t="str">
        <f>+T493</f>
        <v/>
      </c>
      <c r="J493" s="30"/>
      <c r="K493" s="22" t="str">
        <f t="shared" si="4"/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722</v>
      </c>
      <c r="H494" s="20" t="str">
        <f>+T494</f>
        <v/>
      </c>
      <c r="J494" s="30"/>
      <c r="K494" s="22" t="str">
        <f t="shared" si="4"/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723</v>
      </c>
      <c r="H495" s="20" t="str">
        <f>+T495</f>
        <v/>
      </c>
      <c r="J495" s="30"/>
      <c r="K495" s="22" t="str">
        <f t="shared" si="4"/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724</v>
      </c>
      <c r="B496" s="35"/>
      <c r="C496" s="35"/>
      <c r="D496" s="35"/>
      <c r="E496" s="35"/>
      <c r="F496" s="35"/>
      <c r="G496" s="35"/>
      <c r="H496" s="20" t="str">
        <f>+T496</f>
        <v/>
      </c>
      <c r="I496" s="35"/>
      <c r="J496" s="37"/>
      <c r="K496" s="22" t="str">
        <f t="shared" si="4"/>
        <v/>
      </c>
      <c r="L496" s="35"/>
      <c r="M496" s="35"/>
      <c r="N496" s="35"/>
      <c r="O496" s="35"/>
      <c r="P496" s="35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725</v>
      </c>
      <c r="H497" s="20" t="str">
        <f>+T497</f>
        <v/>
      </c>
      <c r="J497" s="30"/>
      <c r="K497" s="22" t="str">
        <f t="shared" si="4"/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726</v>
      </c>
      <c r="H498" s="20" t="str">
        <f>+T498</f>
        <v/>
      </c>
      <c r="J498" s="30"/>
      <c r="K498" s="22" t="str">
        <f t="shared" si="4"/>
        <v/>
      </c>
      <c r="Q498" s="34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727</v>
      </c>
      <c r="H499" s="20" t="str">
        <f>+T499</f>
        <v/>
      </c>
      <c r="J499" s="30"/>
      <c r="K499" s="22" t="str">
        <f t="shared" si="4"/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728</v>
      </c>
      <c r="H500" s="20" t="str">
        <f>+T500</f>
        <v/>
      </c>
      <c r="J500" s="30"/>
      <c r="K500" s="22" t="str">
        <f t="shared" si="4"/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729</v>
      </c>
      <c r="H501" s="20" t="str">
        <f>+T501</f>
        <v/>
      </c>
      <c r="J501" s="30"/>
      <c r="K501" s="22" t="str">
        <f t="shared" si="4"/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730</v>
      </c>
      <c r="H502" s="20" t="str">
        <f>+T502</f>
        <v/>
      </c>
      <c r="J502" s="30"/>
      <c r="K502" s="22" t="str">
        <f t="shared" si="4"/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731</v>
      </c>
      <c r="H503" s="20" t="str">
        <f>+T503</f>
        <v/>
      </c>
      <c r="J503" s="30"/>
      <c r="K503" s="22" t="str">
        <f t="shared" si="4"/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732</v>
      </c>
      <c r="H504" s="20" t="str">
        <f>+T504</f>
        <v/>
      </c>
      <c r="J504" s="30"/>
      <c r="K504" s="22" t="str">
        <f t="shared" si="4"/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733</v>
      </c>
      <c r="H505" s="20" t="str">
        <f>+T505</f>
        <v/>
      </c>
      <c r="J505" s="30"/>
      <c r="K505" s="22" t="str">
        <f t="shared" si="4"/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734</v>
      </c>
      <c r="H506" s="20" t="str">
        <f>+T506</f>
        <v/>
      </c>
      <c r="J506" s="30"/>
      <c r="K506" s="22" t="str">
        <f t="shared" si="4"/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735</v>
      </c>
      <c r="B507" s="35"/>
      <c r="C507" s="35"/>
      <c r="D507" s="35"/>
      <c r="E507" s="35"/>
      <c r="F507" s="35"/>
      <c r="G507" s="35"/>
      <c r="H507" s="20" t="str">
        <f>+T507</f>
        <v/>
      </c>
      <c r="I507" s="35"/>
      <c r="J507" s="37"/>
      <c r="K507" s="22" t="str">
        <f t="shared" si="4"/>
        <v/>
      </c>
      <c r="L507" s="35"/>
      <c r="M507" s="35"/>
      <c r="N507" s="35"/>
      <c r="O507" s="35"/>
      <c r="P507" s="35"/>
      <c r="Q507" s="36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736</v>
      </c>
      <c r="H508" s="20" t="str">
        <f>+T508</f>
        <v/>
      </c>
      <c r="J508" s="30"/>
      <c r="K508" s="22" t="str">
        <f t="shared" si="4"/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737</v>
      </c>
      <c r="H509" s="20" t="str">
        <f>+T509</f>
        <v/>
      </c>
      <c r="J509" s="30"/>
      <c r="K509" s="22" t="str">
        <f t="shared" si="4"/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738</v>
      </c>
      <c r="H510" s="20" t="str">
        <f>+T510</f>
        <v/>
      </c>
      <c r="J510" s="30"/>
      <c r="K510" s="22" t="str">
        <f t="shared" ref="K510:K573" si="5"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739</v>
      </c>
      <c r="H511" s="20" t="str">
        <f>+T511</f>
        <v/>
      </c>
      <c r="J511" s="30"/>
      <c r="K511" s="22" t="str">
        <f t="shared" si="5"/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740</v>
      </c>
      <c r="H512" s="20" t="str">
        <f>+T512</f>
        <v/>
      </c>
      <c r="J512" s="30"/>
      <c r="K512" s="22" t="str">
        <f t="shared" si="5"/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741</v>
      </c>
      <c r="H513" s="20" t="str">
        <f>+T513</f>
        <v/>
      </c>
      <c r="J513" s="30"/>
      <c r="K513" s="22" t="str">
        <f t="shared" si="5"/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742</v>
      </c>
      <c r="H514" s="20" t="str">
        <f>+T514</f>
        <v/>
      </c>
      <c r="J514" s="30"/>
      <c r="K514" s="22" t="str">
        <f t="shared" si="5"/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743</v>
      </c>
      <c r="H515" s="20" t="str">
        <f>+T515</f>
        <v/>
      </c>
      <c r="J515" s="30"/>
      <c r="K515" s="22" t="str">
        <f t="shared" si="5"/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744</v>
      </c>
      <c r="H516" s="20" t="str">
        <f>+T516</f>
        <v/>
      </c>
      <c r="J516" s="30"/>
      <c r="K516" s="22" t="str">
        <f t="shared" si="5"/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745</v>
      </c>
      <c r="H517" s="20" t="str">
        <f>+T517</f>
        <v/>
      </c>
      <c r="J517" s="30"/>
      <c r="K517" s="22" t="str">
        <f t="shared" si="5"/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746</v>
      </c>
      <c r="B518" s="35"/>
      <c r="C518" s="35"/>
      <c r="D518" s="35"/>
      <c r="E518" s="35"/>
      <c r="F518" s="35"/>
      <c r="G518" s="35"/>
      <c r="H518" s="20" t="str">
        <f>+T518</f>
        <v/>
      </c>
      <c r="I518" s="35"/>
      <c r="J518" s="37"/>
      <c r="K518" s="22" t="str">
        <f t="shared" si="5"/>
        <v/>
      </c>
      <c r="L518" s="35"/>
      <c r="M518" s="35"/>
      <c r="N518" s="35"/>
      <c r="O518" s="35"/>
      <c r="P518" s="35"/>
      <c r="Q518" s="36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747</v>
      </c>
      <c r="H519" s="20" t="str">
        <f>+T519</f>
        <v/>
      </c>
      <c r="J519" s="30"/>
      <c r="K519" s="22" t="str">
        <f t="shared" si="5"/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748</v>
      </c>
      <c r="H520" s="20" t="str">
        <f>+T520</f>
        <v/>
      </c>
      <c r="J520" s="30"/>
      <c r="K520" s="22" t="str">
        <f t="shared" si="5"/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749</v>
      </c>
      <c r="H521" s="20" t="str">
        <f>+T521</f>
        <v/>
      </c>
      <c r="J521" s="30"/>
      <c r="K521" s="22" t="str">
        <f t="shared" si="5"/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750</v>
      </c>
      <c r="H522" s="20" t="str">
        <f>+T522</f>
        <v/>
      </c>
      <c r="J522" s="30"/>
      <c r="K522" s="22" t="str">
        <f t="shared" si="5"/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751</v>
      </c>
      <c r="H523" s="20" t="str">
        <f>+T523</f>
        <v/>
      </c>
      <c r="J523" s="30"/>
      <c r="K523" s="22" t="str">
        <f t="shared" si="5"/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752</v>
      </c>
      <c r="H524" s="20" t="str">
        <f>+T524</f>
        <v/>
      </c>
      <c r="J524" s="30"/>
      <c r="K524" s="22" t="str">
        <f t="shared" si="5"/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753</v>
      </c>
      <c r="H525" s="20" t="str">
        <f>+T525</f>
        <v/>
      </c>
      <c r="J525" s="30"/>
      <c r="K525" s="22" t="str">
        <f t="shared" si="5"/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754</v>
      </c>
      <c r="H526" s="20" t="str">
        <f>+T526</f>
        <v/>
      </c>
      <c r="J526" s="30"/>
      <c r="K526" s="22" t="str">
        <f t="shared" si="5"/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755</v>
      </c>
      <c r="H527" s="20" t="str">
        <f>+T527</f>
        <v/>
      </c>
      <c r="J527" s="30"/>
      <c r="K527" s="22" t="str">
        <f t="shared" si="5"/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756</v>
      </c>
      <c r="H528" s="20" t="str">
        <f>+T528</f>
        <v/>
      </c>
      <c r="J528" s="30"/>
      <c r="K528" s="22" t="str">
        <f t="shared" si="5"/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757</v>
      </c>
      <c r="B529" s="35"/>
      <c r="C529" s="35"/>
      <c r="D529" s="35"/>
      <c r="E529" s="35"/>
      <c r="F529" s="35"/>
      <c r="G529" s="35"/>
      <c r="H529" s="20" t="str">
        <f>+T529</f>
        <v/>
      </c>
      <c r="I529" s="35"/>
      <c r="J529" s="37"/>
      <c r="K529" s="22" t="str">
        <f t="shared" si="5"/>
        <v/>
      </c>
      <c r="L529" s="35"/>
      <c r="M529" s="35"/>
      <c r="N529" s="35"/>
      <c r="O529" s="35"/>
      <c r="P529" s="35"/>
      <c r="Q529" s="36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758</v>
      </c>
      <c r="H530" s="20" t="str">
        <f>+T530</f>
        <v/>
      </c>
      <c r="J530" s="30"/>
      <c r="K530" s="22" t="str">
        <f t="shared" si="5"/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759</v>
      </c>
      <c r="H531" s="20" t="str">
        <f>+T531</f>
        <v/>
      </c>
      <c r="J531" s="30"/>
      <c r="K531" s="22" t="str">
        <f t="shared" si="5"/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760</v>
      </c>
      <c r="H532" s="20" t="str">
        <f>+T532</f>
        <v/>
      </c>
      <c r="J532" s="30"/>
      <c r="K532" s="22" t="str">
        <f t="shared" si="5"/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761</v>
      </c>
      <c r="H533" s="20" t="str">
        <f>+T533</f>
        <v/>
      </c>
      <c r="J533" s="30"/>
      <c r="K533" s="22" t="str">
        <f t="shared" si="5"/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762</v>
      </c>
      <c r="H534" s="20" t="str">
        <f>+T534</f>
        <v/>
      </c>
      <c r="J534" s="30"/>
      <c r="K534" s="22" t="str">
        <f t="shared" si="5"/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763</v>
      </c>
      <c r="H535" s="20" t="str">
        <f>+T535</f>
        <v/>
      </c>
      <c r="J535" s="30"/>
      <c r="K535" s="22" t="str">
        <f t="shared" si="5"/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764</v>
      </c>
      <c r="H536" s="20" t="str">
        <f>+T536</f>
        <v/>
      </c>
      <c r="J536" s="30"/>
      <c r="K536" s="22" t="str">
        <f t="shared" si="5"/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765</v>
      </c>
      <c r="H537" s="20" t="str">
        <f>+T537</f>
        <v/>
      </c>
      <c r="J537" s="30"/>
      <c r="K537" s="22" t="str">
        <f t="shared" si="5"/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766</v>
      </c>
      <c r="H538" s="20" t="str">
        <f>+T538</f>
        <v/>
      </c>
      <c r="J538" s="30"/>
      <c r="K538" s="22" t="str">
        <f t="shared" si="5"/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767</v>
      </c>
      <c r="H539" s="20" t="str">
        <f>+T539</f>
        <v/>
      </c>
      <c r="J539" s="30"/>
      <c r="K539" s="22" t="str">
        <f t="shared" si="5"/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768</v>
      </c>
      <c r="B540" s="35"/>
      <c r="C540" s="35"/>
      <c r="D540" s="35"/>
      <c r="E540" s="35"/>
      <c r="F540" s="35"/>
      <c r="G540" s="35"/>
      <c r="H540" s="20" t="str">
        <f>+T540</f>
        <v/>
      </c>
      <c r="I540" s="35"/>
      <c r="J540" s="37"/>
      <c r="K540" s="22" t="str">
        <f t="shared" si="5"/>
        <v/>
      </c>
      <c r="L540" s="35"/>
      <c r="M540" s="35"/>
      <c r="N540" s="35"/>
      <c r="O540" s="35"/>
      <c r="P540" s="35"/>
      <c r="Q540" s="36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769</v>
      </c>
      <c r="H541" s="20" t="str">
        <f>+T541</f>
        <v/>
      </c>
      <c r="J541" s="30"/>
      <c r="K541" s="22" t="str">
        <f t="shared" si="5"/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770</v>
      </c>
      <c r="H542" s="20" t="str">
        <f>+T542</f>
        <v/>
      </c>
      <c r="J542" s="30"/>
      <c r="K542" s="22" t="str">
        <f t="shared" si="5"/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771</v>
      </c>
      <c r="H543" s="20" t="str">
        <f>+T543</f>
        <v/>
      </c>
      <c r="J543" s="30"/>
      <c r="K543" s="22" t="str">
        <f t="shared" si="5"/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772</v>
      </c>
      <c r="H544" s="20" t="str">
        <f>+T544</f>
        <v/>
      </c>
      <c r="J544" s="30"/>
      <c r="K544" s="22" t="str">
        <f t="shared" si="5"/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773</v>
      </c>
      <c r="H545" s="20" t="str">
        <f>+T545</f>
        <v/>
      </c>
      <c r="J545" s="30"/>
      <c r="K545" s="22" t="str">
        <f t="shared" si="5"/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774</v>
      </c>
      <c r="H546" s="20" t="str">
        <f>+T546</f>
        <v/>
      </c>
      <c r="J546" s="30"/>
      <c r="K546" s="22" t="str">
        <f t="shared" si="5"/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775</v>
      </c>
      <c r="H547" s="20" t="str">
        <f>+T547</f>
        <v/>
      </c>
      <c r="J547" s="30"/>
      <c r="K547" s="22" t="str">
        <f t="shared" si="5"/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776</v>
      </c>
      <c r="H548" s="20" t="str">
        <f>+T548</f>
        <v/>
      </c>
      <c r="J548" s="30"/>
      <c r="K548" s="22" t="str">
        <f t="shared" si="5"/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777</v>
      </c>
      <c r="H549" s="20" t="str">
        <f>+T549</f>
        <v/>
      </c>
      <c r="J549" s="30"/>
      <c r="K549" s="22" t="str">
        <f t="shared" si="5"/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778</v>
      </c>
      <c r="H550" s="20" t="str">
        <f>+T550</f>
        <v/>
      </c>
      <c r="J550" s="30"/>
      <c r="K550" s="22" t="str">
        <f t="shared" si="5"/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779</v>
      </c>
      <c r="B551" s="35"/>
      <c r="C551" s="35"/>
      <c r="D551" s="35"/>
      <c r="E551" s="35"/>
      <c r="F551" s="35"/>
      <c r="G551" s="35"/>
      <c r="H551" s="20" t="str">
        <f>+T551</f>
        <v/>
      </c>
      <c r="I551" s="35"/>
      <c r="J551" s="37"/>
      <c r="K551" s="22" t="str">
        <f t="shared" si="5"/>
        <v/>
      </c>
      <c r="L551" s="35"/>
      <c r="M551" s="35"/>
      <c r="N551" s="35"/>
      <c r="O551" s="35"/>
      <c r="P551" s="35"/>
      <c r="Q551" s="36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780</v>
      </c>
      <c r="H552" s="20" t="str">
        <f>+T552</f>
        <v/>
      </c>
      <c r="J552" s="30"/>
      <c r="K552" s="22" t="str">
        <f t="shared" si="5"/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781</v>
      </c>
      <c r="H553" s="20" t="str">
        <f>+T553</f>
        <v/>
      </c>
      <c r="J553" s="30"/>
      <c r="K553" s="22" t="str">
        <f t="shared" si="5"/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782</v>
      </c>
      <c r="H554" s="20" t="str">
        <f>+T554</f>
        <v/>
      </c>
      <c r="J554" s="30"/>
      <c r="K554" s="22" t="str">
        <f t="shared" si="5"/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783</v>
      </c>
      <c r="H555" s="20" t="str">
        <f>+T555</f>
        <v/>
      </c>
      <c r="J555" s="30"/>
      <c r="K555" s="22" t="str">
        <f t="shared" si="5"/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784</v>
      </c>
      <c r="H556" s="20" t="str">
        <f>+T556</f>
        <v/>
      </c>
      <c r="J556" s="30"/>
      <c r="K556" s="22" t="str">
        <f t="shared" si="5"/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785</v>
      </c>
      <c r="H557" s="20" t="str">
        <f>+T557</f>
        <v/>
      </c>
      <c r="J557" s="30"/>
      <c r="K557" s="22" t="str">
        <f t="shared" si="5"/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786</v>
      </c>
      <c r="H558" s="20" t="str">
        <f>+T558</f>
        <v/>
      </c>
      <c r="J558" s="30"/>
      <c r="K558" s="22" t="str">
        <f t="shared" si="5"/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787</v>
      </c>
      <c r="H559" s="20" t="str">
        <f>+T559</f>
        <v/>
      </c>
      <c r="J559" s="30"/>
      <c r="K559" s="22" t="str">
        <f t="shared" si="5"/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788</v>
      </c>
      <c r="H560" s="20" t="str">
        <f>+T560</f>
        <v/>
      </c>
      <c r="J560" s="30"/>
      <c r="K560" s="22" t="str">
        <f t="shared" si="5"/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789</v>
      </c>
      <c r="H561" s="20" t="str">
        <f>+T561</f>
        <v/>
      </c>
      <c r="J561" s="30"/>
      <c r="K561" s="22" t="str">
        <f t="shared" si="5"/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790</v>
      </c>
      <c r="B562" s="35"/>
      <c r="C562" s="35"/>
      <c r="D562" s="35"/>
      <c r="E562" s="35"/>
      <c r="F562" s="35"/>
      <c r="G562" s="35"/>
      <c r="H562" s="20" t="str">
        <f>+T562</f>
        <v/>
      </c>
      <c r="I562" s="35"/>
      <c r="J562" s="37"/>
      <c r="K562" s="22" t="str">
        <f t="shared" si="5"/>
        <v/>
      </c>
      <c r="L562" s="35"/>
      <c r="M562" s="35"/>
      <c r="N562" s="35"/>
      <c r="O562" s="35"/>
      <c r="P562" s="35"/>
      <c r="Q562" s="36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791</v>
      </c>
      <c r="H563" s="20" t="str">
        <f>+T563</f>
        <v/>
      </c>
      <c r="J563" s="30"/>
      <c r="K563" s="22" t="str">
        <f t="shared" si="5"/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792</v>
      </c>
      <c r="H564" s="20" t="str">
        <f>+T564</f>
        <v/>
      </c>
      <c r="J564" s="30"/>
      <c r="K564" s="22" t="str">
        <f t="shared" si="5"/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793</v>
      </c>
      <c r="H565" s="20" t="str">
        <f>+T565</f>
        <v/>
      </c>
      <c r="J565" s="30"/>
      <c r="K565" s="22" t="str">
        <f t="shared" si="5"/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794</v>
      </c>
      <c r="H566" s="20" t="str">
        <f>+T566</f>
        <v/>
      </c>
      <c r="J566" s="30"/>
      <c r="K566" s="22" t="str">
        <f t="shared" si="5"/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795</v>
      </c>
      <c r="H567" s="20" t="str">
        <f>+T567</f>
        <v/>
      </c>
      <c r="J567" s="30"/>
      <c r="K567" s="22" t="str">
        <f t="shared" si="5"/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796</v>
      </c>
      <c r="H568" s="20" t="str">
        <f>+T568</f>
        <v/>
      </c>
      <c r="J568" s="30"/>
      <c r="K568" s="22" t="str">
        <f t="shared" si="5"/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797</v>
      </c>
      <c r="H569" s="20" t="str">
        <f>+T569</f>
        <v/>
      </c>
      <c r="J569" s="30"/>
      <c r="K569" s="22" t="str">
        <f t="shared" si="5"/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798</v>
      </c>
      <c r="H570" s="20" t="str">
        <f>+T570</f>
        <v/>
      </c>
      <c r="J570" s="30"/>
      <c r="K570" s="22" t="str">
        <f t="shared" si="5"/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799</v>
      </c>
      <c r="H571" s="20" t="str">
        <f>+T571</f>
        <v/>
      </c>
      <c r="J571" s="30"/>
      <c r="K571" s="22" t="str">
        <f t="shared" si="5"/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800</v>
      </c>
      <c r="H572" s="20" t="str">
        <f>+T572</f>
        <v/>
      </c>
      <c r="J572" s="30"/>
      <c r="K572" s="22" t="str">
        <f t="shared" si="5"/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801</v>
      </c>
      <c r="B573" s="35"/>
      <c r="C573" s="35"/>
      <c r="D573" s="35"/>
      <c r="E573" s="35"/>
      <c r="F573" s="35"/>
      <c r="G573" s="35"/>
      <c r="H573" s="20" t="str">
        <f>+T573</f>
        <v/>
      </c>
      <c r="I573" s="35"/>
      <c r="J573" s="37"/>
      <c r="K573" s="22" t="str">
        <f t="shared" si="5"/>
        <v/>
      </c>
      <c r="L573" s="35"/>
      <c r="M573" s="35"/>
      <c r="N573" s="35"/>
      <c r="O573" s="35"/>
      <c r="P573" s="35"/>
      <c r="Q573" s="36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802</v>
      </c>
      <c r="H574" s="20" t="str">
        <f>+T574</f>
        <v/>
      </c>
      <c r="J574" s="30"/>
      <c r="K574" s="22" t="str">
        <f t="shared" ref="K574:K637" si="6"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803</v>
      </c>
      <c r="H575" s="20" t="str">
        <f>+T575</f>
        <v/>
      </c>
      <c r="J575" s="30"/>
      <c r="K575" s="22" t="str">
        <f t="shared" si="6"/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804</v>
      </c>
      <c r="H576" s="20" t="str">
        <f>+T576</f>
        <v/>
      </c>
      <c r="J576" s="30"/>
      <c r="K576" s="22" t="str">
        <f t="shared" si="6"/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805</v>
      </c>
      <c r="H577" s="20" t="str">
        <f>+T577</f>
        <v/>
      </c>
      <c r="J577" s="30"/>
      <c r="K577" s="22" t="str">
        <f t="shared" si="6"/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806</v>
      </c>
      <c r="H578" s="20" t="str">
        <f>+T578</f>
        <v/>
      </c>
      <c r="J578" s="30"/>
      <c r="K578" s="22" t="str">
        <f t="shared" si="6"/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807</v>
      </c>
      <c r="H579" s="20" t="str">
        <f>+T579</f>
        <v/>
      </c>
      <c r="J579" s="30"/>
      <c r="K579" s="22" t="str">
        <f t="shared" si="6"/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808</v>
      </c>
      <c r="H580" s="20" t="str">
        <f>+T580</f>
        <v/>
      </c>
      <c r="J580" s="30"/>
      <c r="K580" s="22" t="str">
        <f t="shared" si="6"/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809</v>
      </c>
      <c r="H581" s="20" t="str">
        <f>+T581</f>
        <v/>
      </c>
      <c r="J581" s="30"/>
      <c r="K581" s="22" t="str">
        <f t="shared" si="6"/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810</v>
      </c>
      <c r="H582" s="20" t="str">
        <f>+T582</f>
        <v/>
      </c>
      <c r="J582" s="30"/>
      <c r="K582" s="22" t="str">
        <f t="shared" si="6"/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811</v>
      </c>
      <c r="H583" s="20" t="str">
        <f>+T583</f>
        <v/>
      </c>
      <c r="J583" s="30"/>
      <c r="K583" s="22" t="str">
        <f t="shared" si="6"/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812</v>
      </c>
      <c r="B584" s="35"/>
      <c r="C584" s="35"/>
      <c r="D584" s="35"/>
      <c r="E584" s="35"/>
      <c r="F584" s="35"/>
      <c r="G584" s="35"/>
      <c r="H584" s="20" t="str">
        <f>+T584</f>
        <v/>
      </c>
      <c r="I584" s="35"/>
      <c r="J584" s="37"/>
      <c r="K584" s="22" t="str">
        <f t="shared" si="6"/>
        <v/>
      </c>
      <c r="L584" s="35"/>
      <c r="M584" s="35"/>
      <c r="N584" s="35"/>
      <c r="O584" s="35"/>
      <c r="P584" s="35"/>
      <c r="Q584" s="36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813</v>
      </c>
      <c r="H585" s="20" t="str">
        <f>+T585</f>
        <v/>
      </c>
      <c r="J585" s="30"/>
      <c r="K585" s="22" t="str">
        <f t="shared" si="6"/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814</v>
      </c>
      <c r="H586" s="20" t="str">
        <f>+T586</f>
        <v/>
      </c>
      <c r="J586" s="30"/>
      <c r="K586" s="22" t="str">
        <f t="shared" si="6"/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815</v>
      </c>
      <c r="H587" s="20" t="str">
        <f>+T587</f>
        <v/>
      </c>
      <c r="J587" s="30"/>
      <c r="K587" s="22" t="str">
        <f t="shared" si="6"/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816</v>
      </c>
      <c r="H588" s="20" t="str">
        <f>+T588</f>
        <v/>
      </c>
      <c r="J588" s="30"/>
      <c r="K588" s="22" t="str">
        <f t="shared" si="6"/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817</v>
      </c>
      <c r="H589" s="20" t="str">
        <f>+T589</f>
        <v/>
      </c>
      <c r="J589" s="30"/>
      <c r="K589" s="22" t="str">
        <f t="shared" si="6"/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818</v>
      </c>
      <c r="H590" s="20" t="str">
        <f>+T590</f>
        <v/>
      </c>
      <c r="J590" s="30"/>
      <c r="K590" s="22" t="str">
        <f t="shared" si="6"/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819</v>
      </c>
      <c r="H591" s="20" t="str">
        <f>+T591</f>
        <v/>
      </c>
      <c r="J591" s="30"/>
      <c r="K591" s="22" t="str">
        <f t="shared" si="6"/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820</v>
      </c>
      <c r="H592" s="20" t="str">
        <f>+T592</f>
        <v/>
      </c>
      <c r="J592" s="30"/>
      <c r="K592" s="22" t="str">
        <f t="shared" si="6"/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821</v>
      </c>
      <c r="H593" s="20" t="str">
        <f>+T593</f>
        <v/>
      </c>
      <c r="J593" s="30"/>
      <c r="K593" s="22" t="str">
        <f t="shared" si="6"/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822</v>
      </c>
      <c r="H594" s="20" t="str">
        <f>+T594</f>
        <v/>
      </c>
      <c r="J594" s="30"/>
      <c r="K594" s="22" t="str">
        <f t="shared" si="6"/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823</v>
      </c>
      <c r="B595" s="35"/>
      <c r="C595" s="35"/>
      <c r="D595" s="35"/>
      <c r="E595" s="35"/>
      <c r="F595" s="35"/>
      <c r="G595" s="35"/>
      <c r="H595" s="20" t="str">
        <f>+T595</f>
        <v/>
      </c>
      <c r="I595" s="35"/>
      <c r="J595" s="37"/>
      <c r="K595" s="22" t="str">
        <f t="shared" si="6"/>
        <v/>
      </c>
      <c r="L595" s="35"/>
      <c r="M595" s="35"/>
      <c r="N595" s="35"/>
      <c r="O595" s="35"/>
      <c r="P595" s="35"/>
      <c r="Q595" s="36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824</v>
      </c>
      <c r="H596" s="20" t="str">
        <f>+T596</f>
        <v/>
      </c>
      <c r="J596" s="30"/>
      <c r="K596" s="22" t="str">
        <f t="shared" si="6"/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825</v>
      </c>
      <c r="H597" s="20" t="str">
        <f>+T597</f>
        <v/>
      </c>
      <c r="J597" s="30"/>
      <c r="K597" s="22" t="str">
        <f t="shared" si="6"/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826</v>
      </c>
      <c r="H598" s="20" t="str">
        <f>+T598</f>
        <v/>
      </c>
      <c r="J598" s="30"/>
      <c r="K598" s="22" t="str">
        <f t="shared" si="6"/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827</v>
      </c>
      <c r="H599" s="20" t="str">
        <f>+T599</f>
        <v/>
      </c>
      <c r="J599" s="30"/>
      <c r="K599" s="22" t="str">
        <f t="shared" si="6"/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828</v>
      </c>
      <c r="H600" s="20" t="str">
        <f>+T600</f>
        <v/>
      </c>
      <c r="J600" s="30"/>
      <c r="K600" s="22" t="str">
        <f t="shared" si="6"/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829</v>
      </c>
      <c r="H601" s="20" t="str">
        <f>+T601</f>
        <v/>
      </c>
      <c r="J601" s="30"/>
      <c r="K601" s="22" t="str">
        <f t="shared" si="6"/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830</v>
      </c>
      <c r="H602" s="20" t="str">
        <f>+T602</f>
        <v/>
      </c>
      <c r="J602" s="30"/>
      <c r="K602" s="22" t="str">
        <f t="shared" si="6"/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831</v>
      </c>
      <c r="H603" s="20" t="str">
        <f>+T603</f>
        <v/>
      </c>
      <c r="J603" s="30"/>
      <c r="K603" s="22" t="str">
        <f t="shared" si="6"/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832</v>
      </c>
      <c r="H604" s="20" t="str">
        <f>+T604</f>
        <v/>
      </c>
      <c r="J604" s="30"/>
      <c r="K604" s="22" t="str">
        <f t="shared" si="6"/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833</v>
      </c>
      <c r="H605" s="20" t="str">
        <f>+T605</f>
        <v/>
      </c>
      <c r="J605" s="30"/>
      <c r="K605" s="22" t="str">
        <f t="shared" si="6"/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834</v>
      </c>
      <c r="B606" s="35"/>
      <c r="C606" s="35"/>
      <c r="D606" s="35"/>
      <c r="E606" s="35"/>
      <c r="F606" s="35"/>
      <c r="G606" s="35"/>
      <c r="H606" s="20" t="str">
        <f>+T606</f>
        <v/>
      </c>
      <c r="I606" s="35"/>
      <c r="J606" s="37"/>
      <c r="K606" s="22" t="str">
        <f t="shared" si="6"/>
        <v/>
      </c>
      <c r="L606" s="35"/>
      <c r="M606" s="35"/>
      <c r="N606" s="35"/>
      <c r="O606" s="35"/>
      <c r="P606" s="35"/>
      <c r="Q606" s="36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835</v>
      </c>
      <c r="H607" s="20" t="str">
        <f>+T607</f>
        <v/>
      </c>
      <c r="J607" s="30"/>
      <c r="K607" s="22" t="str">
        <f t="shared" si="6"/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836</v>
      </c>
      <c r="H608" s="20" t="str">
        <f>+T608</f>
        <v/>
      </c>
      <c r="J608" s="30"/>
      <c r="K608" s="22" t="str">
        <f t="shared" si="6"/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837</v>
      </c>
      <c r="H609" s="20" t="str">
        <f>+T609</f>
        <v/>
      </c>
      <c r="J609" s="30"/>
      <c r="K609" s="22" t="str">
        <f t="shared" si="6"/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838</v>
      </c>
      <c r="H610" s="20" t="str">
        <f>+T610</f>
        <v/>
      </c>
      <c r="J610" s="30"/>
      <c r="K610" s="22" t="str">
        <f t="shared" si="6"/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839</v>
      </c>
      <c r="H611" s="20" t="str">
        <f>+T611</f>
        <v/>
      </c>
      <c r="J611" s="30"/>
      <c r="K611" s="22" t="str">
        <f t="shared" si="6"/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840</v>
      </c>
      <c r="H612" s="20" t="str">
        <f>+T612</f>
        <v/>
      </c>
      <c r="J612" s="30"/>
      <c r="K612" s="22" t="str">
        <f t="shared" si="6"/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841</v>
      </c>
      <c r="H613" s="20" t="str">
        <f>+T613</f>
        <v/>
      </c>
      <c r="J613" s="30"/>
      <c r="K613" s="22" t="str">
        <f t="shared" si="6"/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842</v>
      </c>
      <c r="H614" s="20" t="str">
        <f>+T614</f>
        <v/>
      </c>
      <c r="J614" s="30"/>
      <c r="K614" s="22" t="str">
        <f t="shared" si="6"/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843</v>
      </c>
      <c r="H615" s="20" t="str">
        <f>+T615</f>
        <v/>
      </c>
      <c r="J615" s="30"/>
      <c r="K615" s="22" t="str">
        <f t="shared" si="6"/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844</v>
      </c>
      <c r="H616" s="20" t="str">
        <f>+T616</f>
        <v/>
      </c>
      <c r="J616" s="30"/>
      <c r="K616" s="22" t="str">
        <f t="shared" si="6"/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845</v>
      </c>
      <c r="B617" s="35"/>
      <c r="C617" s="35"/>
      <c r="D617" s="35"/>
      <c r="E617" s="35"/>
      <c r="F617" s="35"/>
      <c r="G617" s="35"/>
      <c r="H617" s="20" t="str">
        <f>+T617</f>
        <v/>
      </c>
      <c r="I617" s="35"/>
      <c r="J617" s="37"/>
      <c r="K617" s="22" t="str">
        <f t="shared" si="6"/>
        <v/>
      </c>
      <c r="L617" s="35"/>
      <c r="M617" s="35"/>
      <c r="N617" s="35"/>
      <c r="O617" s="35"/>
      <c r="P617" s="35"/>
      <c r="Q617" s="36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846</v>
      </c>
      <c r="H618" s="20" t="str">
        <f>+T618</f>
        <v/>
      </c>
      <c r="J618" s="30"/>
      <c r="K618" s="22" t="str">
        <f t="shared" si="6"/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847</v>
      </c>
      <c r="H619" s="20" t="str">
        <f>+T619</f>
        <v/>
      </c>
      <c r="J619" s="30"/>
      <c r="K619" s="22" t="str">
        <f t="shared" si="6"/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848</v>
      </c>
      <c r="H620" s="20" t="str">
        <f>+T620</f>
        <v/>
      </c>
      <c r="J620" s="30"/>
      <c r="K620" s="22" t="str">
        <f t="shared" si="6"/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849</v>
      </c>
      <c r="H621" s="20" t="str">
        <f>+T621</f>
        <v/>
      </c>
      <c r="J621" s="30"/>
      <c r="K621" s="22" t="str">
        <f t="shared" si="6"/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850</v>
      </c>
      <c r="H622" s="20" t="str">
        <f>+T622</f>
        <v/>
      </c>
      <c r="J622" s="30"/>
      <c r="K622" s="22" t="str">
        <f t="shared" si="6"/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851</v>
      </c>
      <c r="H623" s="20" t="str">
        <f>+T623</f>
        <v/>
      </c>
      <c r="J623" s="30"/>
      <c r="K623" s="22" t="str">
        <f t="shared" si="6"/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852</v>
      </c>
      <c r="H624" s="20" t="str">
        <f>+T624</f>
        <v/>
      </c>
      <c r="J624" s="30"/>
      <c r="K624" s="22" t="str">
        <f t="shared" si="6"/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853</v>
      </c>
      <c r="H625" s="20" t="str">
        <f>+T625</f>
        <v/>
      </c>
      <c r="J625" s="30"/>
      <c r="K625" s="22" t="str">
        <f t="shared" si="6"/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854</v>
      </c>
      <c r="H626" s="20" t="str">
        <f>+T626</f>
        <v/>
      </c>
      <c r="J626" s="30"/>
      <c r="K626" s="22" t="str">
        <f t="shared" si="6"/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855</v>
      </c>
      <c r="H627" s="20" t="str">
        <f>+T627</f>
        <v/>
      </c>
      <c r="J627" s="30"/>
      <c r="K627" s="22" t="str">
        <f t="shared" si="6"/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856</v>
      </c>
      <c r="B628" s="35"/>
      <c r="C628" s="35"/>
      <c r="D628" s="35"/>
      <c r="E628" s="35"/>
      <c r="F628" s="35"/>
      <c r="G628" s="35"/>
      <c r="H628" s="20" t="str">
        <f>+T628</f>
        <v/>
      </c>
      <c r="I628" s="35"/>
      <c r="J628" s="37"/>
      <c r="K628" s="22" t="str">
        <f t="shared" si="6"/>
        <v/>
      </c>
      <c r="L628" s="35"/>
      <c r="M628" s="35"/>
      <c r="N628" s="35"/>
      <c r="O628" s="35"/>
      <c r="P628" s="35"/>
      <c r="Q628" s="36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857</v>
      </c>
      <c r="H629" s="20" t="str">
        <f>+T629</f>
        <v/>
      </c>
      <c r="J629" s="30"/>
      <c r="K629" s="22" t="str">
        <f t="shared" si="6"/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858</v>
      </c>
      <c r="H630" s="20" t="str">
        <f>+T630</f>
        <v/>
      </c>
      <c r="J630" s="30"/>
      <c r="K630" s="22" t="str">
        <f t="shared" si="6"/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859</v>
      </c>
      <c r="H631" s="20" t="str">
        <f>+T631</f>
        <v/>
      </c>
      <c r="J631" s="30"/>
      <c r="K631" s="22" t="str">
        <f t="shared" si="6"/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860</v>
      </c>
      <c r="H632" s="20" t="str">
        <f>+T632</f>
        <v/>
      </c>
      <c r="J632" s="30"/>
      <c r="K632" s="22" t="str">
        <f t="shared" si="6"/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861</v>
      </c>
      <c r="H633" s="20" t="str">
        <f>+T633</f>
        <v/>
      </c>
      <c r="J633" s="30"/>
      <c r="K633" s="22" t="str">
        <f t="shared" si="6"/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862</v>
      </c>
      <c r="H634" s="20" t="str">
        <f>+T634</f>
        <v/>
      </c>
      <c r="J634" s="30"/>
      <c r="K634" s="22" t="str">
        <f t="shared" si="6"/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863</v>
      </c>
      <c r="H635" s="20" t="str">
        <f>+T635</f>
        <v/>
      </c>
      <c r="J635" s="30"/>
      <c r="K635" s="22" t="str">
        <f t="shared" si="6"/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864</v>
      </c>
      <c r="H636" s="20" t="str">
        <f>+T636</f>
        <v/>
      </c>
      <c r="J636" s="30"/>
      <c r="K636" s="22" t="str">
        <f t="shared" si="6"/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865</v>
      </c>
      <c r="H637" s="20" t="str">
        <f>+T637</f>
        <v/>
      </c>
      <c r="J637" s="30"/>
      <c r="K637" s="22" t="str">
        <f t="shared" si="6"/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866</v>
      </c>
      <c r="H638" s="20" t="str">
        <f>+T638</f>
        <v/>
      </c>
      <c r="J638" s="30"/>
      <c r="K638" s="22" t="str">
        <f t="shared" ref="K638:K701" si="7"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867</v>
      </c>
      <c r="B639" s="35"/>
      <c r="C639" s="35"/>
      <c r="D639" s="35"/>
      <c r="E639" s="35"/>
      <c r="F639" s="35"/>
      <c r="G639" s="35"/>
      <c r="H639" s="20" t="str">
        <f>+T639</f>
        <v/>
      </c>
      <c r="I639" s="35"/>
      <c r="J639" s="37"/>
      <c r="K639" s="22" t="str">
        <f t="shared" si="7"/>
        <v/>
      </c>
      <c r="L639" s="35"/>
      <c r="M639" s="35"/>
      <c r="N639" s="35"/>
      <c r="O639" s="35"/>
      <c r="P639" s="35"/>
      <c r="Q639" s="36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868</v>
      </c>
      <c r="H640" s="20" t="str">
        <f>+T640</f>
        <v/>
      </c>
      <c r="J640" s="30"/>
      <c r="K640" s="22" t="str">
        <f t="shared" si="7"/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869</v>
      </c>
      <c r="H641" s="20" t="str">
        <f>+T641</f>
        <v/>
      </c>
      <c r="J641" s="30"/>
      <c r="K641" s="22" t="str">
        <f t="shared" si="7"/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870</v>
      </c>
      <c r="H642" s="20" t="str">
        <f>+T642</f>
        <v/>
      </c>
      <c r="J642" s="30"/>
      <c r="K642" s="22" t="str">
        <f t="shared" si="7"/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871</v>
      </c>
      <c r="H643" s="20" t="str">
        <f>+T643</f>
        <v/>
      </c>
      <c r="J643" s="30"/>
      <c r="K643" s="22" t="str">
        <f t="shared" si="7"/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872</v>
      </c>
      <c r="H644" s="20" t="str">
        <f>+T644</f>
        <v/>
      </c>
      <c r="J644" s="30"/>
      <c r="K644" s="22" t="str">
        <f t="shared" si="7"/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873</v>
      </c>
      <c r="H645" s="20" t="str">
        <f>+T645</f>
        <v/>
      </c>
      <c r="J645" s="30"/>
      <c r="K645" s="22" t="str">
        <f t="shared" si="7"/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874</v>
      </c>
      <c r="H646" s="20" t="str">
        <f>+T646</f>
        <v/>
      </c>
      <c r="J646" s="30"/>
      <c r="K646" s="22" t="str">
        <f t="shared" si="7"/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875</v>
      </c>
      <c r="H647" s="20" t="str">
        <f>+T647</f>
        <v/>
      </c>
      <c r="J647" s="30"/>
      <c r="K647" s="22" t="str">
        <f t="shared" si="7"/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876</v>
      </c>
      <c r="H648" s="20" t="str">
        <f>+T648</f>
        <v/>
      </c>
      <c r="J648" s="30"/>
      <c r="K648" s="22" t="str">
        <f t="shared" si="7"/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877</v>
      </c>
      <c r="H649" s="20" t="str">
        <f>+T649</f>
        <v/>
      </c>
      <c r="J649" s="30"/>
      <c r="K649" s="22" t="str">
        <f t="shared" si="7"/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878</v>
      </c>
      <c r="B650" s="35"/>
      <c r="C650" s="35"/>
      <c r="D650" s="35"/>
      <c r="E650" s="35"/>
      <c r="F650" s="35"/>
      <c r="G650" s="35"/>
      <c r="H650" s="20" t="str">
        <f>+T650</f>
        <v/>
      </c>
      <c r="I650" s="35"/>
      <c r="J650" s="37"/>
      <c r="K650" s="22" t="str">
        <f t="shared" si="7"/>
        <v/>
      </c>
      <c r="L650" s="35"/>
      <c r="M650" s="35"/>
      <c r="N650" s="35"/>
      <c r="O650" s="35"/>
      <c r="P650" s="35"/>
      <c r="Q650" s="36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879</v>
      </c>
      <c r="H651" s="20" t="str">
        <f>+T651</f>
        <v/>
      </c>
      <c r="J651" s="30"/>
      <c r="K651" s="22" t="str">
        <f t="shared" si="7"/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880</v>
      </c>
      <c r="H652" s="20" t="str">
        <f>+T652</f>
        <v/>
      </c>
      <c r="J652" s="30"/>
      <c r="K652" s="22" t="str">
        <f t="shared" si="7"/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881</v>
      </c>
      <c r="H653" s="20" t="str">
        <f>+T653</f>
        <v/>
      </c>
      <c r="J653" s="30"/>
      <c r="K653" s="22" t="str">
        <f t="shared" si="7"/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882</v>
      </c>
      <c r="H654" s="20" t="str">
        <f>+T654</f>
        <v/>
      </c>
      <c r="J654" s="30"/>
      <c r="K654" s="22" t="str">
        <f t="shared" si="7"/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883</v>
      </c>
      <c r="H655" s="20" t="str">
        <f>+T655</f>
        <v/>
      </c>
      <c r="J655" s="30"/>
      <c r="K655" s="22" t="str">
        <f t="shared" si="7"/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884</v>
      </c>
      <c r="H656" s="20" t="str">
        <f>+T656</f>
        <v/>
      </c>
      <c r="J656" s="30"/>
      <c r="K656" s="22" t="str">
        <f t="shared" si="7"/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885</v>
      </c>
      <c r="H657" s="20" t="str">
        <f>+T657</f>
        <v/>
      </c>
      <c r="J657" s="30"/>
      <c r="K657" s="22" t="str">
        <f t="shared" si="7"/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886</v>
      </c>
      <c r="H658" s="20" t="str">
        <f>+T658</f>
        <v/>
      </c>
      <c r="J658" s="30"/>
      <c r="K658" s="22" t="str">
        <f t="shared" si="7"/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887</v>
      </c>
      <c r="H659" s="20" t="str">
        <f>+T659</f>
        <v/>
      </c>
      <c r="J659" s="30"/>
      <c r="K659" s="22" t="str">
        <f t="shared" si="7"/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888</v>
      </c>
      <c r="H660" s="20" t="str">
        <f>+T660</f>
        <v/>
      </c>
      <c r="J660" s="30"/>
      <c r="K660" s="22" t="str">
        <f t="shared" si="7"/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889</v>
      </c>
      <c r="B661" s="35"/>
      <c r="C661" s="35"/>
      <c r="D661" s="35"/>
      <c r="E661" s="35"/>
      <c r="F661" s="35"/>
      <c r="G661" s="35"/>
      <c r="H661" s="20" t="str">
        <f>+T661</f>
        <v/>
      </c>
      <c r="I661" s="35"/>
      <c r="J661" s="37"/>
      <c r="K661" s="22" t="str">
        <f t="shared" si="7"/>
        <v/>
      </c>
      <c r="L661" s="35"/>
      <c r="M661" s="35"/>
      <c r="N661" s="35"/>
      <c r="O661" s="35"/>
      <c r="P661" s="35"/>
      <c r="Q661" s="36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890</v>
      </c>
      <c r="H662" s="20" t="str">
        <f>+T662</f>
        <v/>
      </c>
      <c r="J662" s="30"/>
      <c r="K662" s="22" t="str">
        <f t="shared" si="7"/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891</v>
      </c>
      <c r="H663" s="20" t="str">
        <f>+T663</f>
        <v/>
      </c>
      <c r="J663" s="30"/>
      <c r="K663" s="22" t="str">
        <f t="shared" si="7"/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892</v>
      </c>
      <c r="H664" s="20" t="str">
        <f>+T664</f>
        <v/>
      </c>
      <c r="J664" s="30"/>
      <c r="K664" s="22" t="str">
        <f t="shared" si="7"/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893</v>
      </c>
      <c r="H665" s="20" t="str">
        <f>+T665</f>
        <v/>
      </c>
      <c r="J665" s="30"/>
      <c r="K665" s="22" t="str">
        <f t="shared" si="7"/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894</v>
      </c>
      <c r="H666" s="20" t="str">
        <f>+T666</f>
        <v/>
      </c>
      <c r="J666" s="30"/>
      <c r="K666" s="22" t="str">
        <f t="shared" si="7"/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895</v>
      </c>
      <c r="H667" s="20" t="str">
        <f>+T667</f>
        <v/>
      </c>
      <c r="J667" s="30"/>
      <c r="K667" s="22" t="str">
        <f t="shared" si="7"/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896</v>
      </c>
      <c r="H668" s="20" t="str">
        <f>+T668</f>
        <v/>
      </c>
      <c r="J668" s="30"/>
      <c r="K668" s="22" t="str">
        <f t="shared" si="7"/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897</v>
      </c>
      <c r="H669" s="20" t="str">
        <f>+T669</f>
        <v/>
      </c>
      <c r="J669" s="30"/>
      <c r="K669" s="22" t="str">
        <f t="shared" si="7"/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898</v>
      </c>
      <c r="H670" s="20" t="str">
        <f>+T670</f>
        <v/>
      </c>
      <c r="J670" s="30"/>
      <c r="K670" s="22" t="str">
        <f t="shared" si="7"/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899</v>
      </c>
      <c r="H671" s="20" t="str">
        <f>+T671</f>
        <v/>
      </c>
      <c r="J671" s="30"/>
      <c r="K671" s="22" t="str">
        <f t="shared" si="7"/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900</v>
      </c>
      <c r="B672" s="35"/>
      <c r="C672" s="35"/>
      <c r="D672" s="35"/>
      <c r="E672" s="35"/>
      <c r="F672" s="35"/>
      <c r="G672" s="35"/>
      <c r="H672" s="20" t="str">
        <f>+T672</f>
        <v/>
      </c>
      <c r="I672" s="35"/>
      <c r="J672" s="37"/>
      <c r="K672" s="22" t="str">
        <f t="shared" si="7"/>
        <v/>
      </c>
      <c r="L672" s="35"/>
      <c r="M672" s="35"/>
      <c r="N672" s="35"/>
      <c r="O672" s="35"/>
      <c r="P672" s="35"/>
      <c r="Q672" s="36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901</v>
      </c>
      <c r="H673" s="20" t="str">
        <f>+T673</f>
        <v/>
      </c>
      <c r="J673" s="30"/>
      <c r="K673" s="22" t="str">
        <f t="shared" si="7"/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902</v>
      </c>
      <c r="H674" s="20" t="str">
        <f>+T674</f>
        <v/>
      </c>
      <c r="J674" s="30"/>
      <c r="K674" s="22" t="str">
        <f t="shared" si="7"/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903</v>
      </c>
      <c r="H675" s="20" t="str">
        <f>+T675</f>
        <v/>
      </c>
      <c r="J675" s="30"/>
      <c r="K675" s="22" t="str">
        <f t="shared" si="7"/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904</v>
      </c>
      <c r="H676" s="20" t="str">
        <f>+T676</f>
        <v/>
      </c>
      <c r="J676" s="30"/>
      <c r="K676" s="22" t="str">
        <f t="shared" si="7"/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905</v>
      </c>
      <c r="H677" s="20" t="str">
        <f>+T677</f>
        <v/>
      </c>
      <c r="J677" s="30"/>
      <c r="K677" s="22" t="str">
        <f t="shared" si="7"/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906</v>
      </c>
      <c r="H678" s="20" t="str">
        <f>+T678</f>
        <v/>
      </c>
      <c r="J678" s="30"/>
      <c r="K678" s="22" t="str">
        <f t="shared" si="7"/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907</v>
      </c>
      <c r="H679" s="20" t="str">
        <f>+T679</f>
        <v/>
      </c>
      <c r="J679" s="30"/>
      <c r="K679" s="22" t="str">
        <f t="shared" si="7"/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908</v>
      </c>
      <c r="H680" s="20" t="str">
        <f>+T680</f>
        <v/>
      </c>
      <c r="J680" s="30"/>
      <c r="K680" s="22" t="str">
        <f t="shared" si="7"/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909</v>
      </c>
      <c r="H681" s="20" t="str">
        <f>+T681</f>
        <v/>
      </c>
      <c r="J681" s="30"/>
      <c r="K681" s="22" t="str">
        <f t="shared" si="7"/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910</v>
      </c>
      <c r="H682" s="20" t="str">
        <f>+T682</f>
        <v/>
      </c>
      <c r="J682" s="30"/>
      <c r="K682" s="22" t="str">
        <f t="shared" si="7"/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911</v>
      </c>
      <c r="B683" s="35"/>
      <c r="C683" s="35"/>
      <c r="D683" s="35"/>
      <c r="E683" s="35"/>
      <c r="F683" s="35"/>
      <c r="G683" s="35"/>
      <c r="H683" s="20" t="str">
        <f>+T683</f>
        <v/>
      </c>
      <c r="I683" s="35"/>
      <c r="J683" s="37"/>
      <c r="K683" s="22" t="str">
        <f t="shared" si="7"/>
        <v/>
      </c>
      <c r="L683" s="35"/>
      <c r="M683" s="35"/>
      <c r="N683" s="35"/>
      <c r="O683" s="35"/>
      <c r="P683" s="35"/>
      <c r="Q683" s="36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912</v>
      </c>
      <c r="H684" s="20" t="str">
        <f>+T684</f>
        <v/>
      </c>
      <c r="J684" s="30"/>
      <c r="K684" s="22" t="str">
        <f t="shared" si="7"/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913</v>
      </c>
      <c r="H685" s="20" t="str">
        <f>+T685</f>
        <v/>
      </c>
      <c r="J685" s="30"/>
      <c r="K685" s="22" t="str">
        <f t="shared" si="7"/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914</v>
      </c>
      <c r="H686" s="20" t="str">
        <f>+T686</f>
        <v/>
      </c>
      <c r="J686" s="30"/>
      <c r="K686" s="22" t="str">
        <f t="shared" si="7"/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915</v>
      </c>
      <c r="H687" s="20" t="str">
        <f>+T687</f>
        <v/>
      </c>
      <c r="J687" s="30"/>
      <c r="K687" s="22" t="str">
        <f t="shared" si="7"/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916</v>
      </c>
      <c r="H688" s="20" t="str">
        <f>+T688</f>
        <v/>
      </c>
      <c r="J688" s="30"/>
      <c r="K688" s="22" t="str">
        <f t="shared" si="7"/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917</v>
      </c>
      <c r="H689" s="20" t="str">
        <f>+T689</f>
        <v/>
      </c>
      <c r="J689" s="30"/>
      <c r="K689" s="22" t="str">
        <f t="shared" si="7"/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918</v>
      </c>
      <c r="H690" s="20" t="str">
        <f>+T690</f>
        <v/>
      </c>
      <c r="J690" s="30"/>
      <c r="K690" s="22" t="str">
        <f t="shared" si="7"/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919</v>
      </c>
      <c r="H691" s="20" t="str">
        <f>+T691</f>
        <v/>
      </c>
      <c r="J691" s="30"/>
      <c r="K691" s="22" t="str">
        <f t="shared" si="7"/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920</v>
      </c>
      <c r="H692" s="20" t="str">
        <f>+T692</f>
        <v/>
      </c>
      <c r="J692" s="30"/>
      <c r="K692" s="22" t="str">
        <f t="shared" si="7"/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921</v>
      </c>
      <c r="H693" s="20" t="str">
        <f>+T693</f>
        <v/>
      </c>
      <c r="J693" s="30"/>
      <c r="K693" s="22" t="str">
        <f t="shared" si="7"/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922</v>
      </c>
      <c r="B694" s="35"/>
      <c r="C694" s="35"/>
      <c r="D694" s="35"/>
      <c r="E694" s="35"/>
      <c r="F694" s="35"/>
      <c r="G694" s="35"/>
      <c r="H694" s="20" t="str">
        <f>+T694</f>
        <v/>
      </c>
      <c r="I694" s="35"/>
      <c r="J694" s="37"/>
      <c r="K694" s="22" t="str">
        <f t="shared" si="7"/>
        <v/>
      </c>
      <c r="L694" s="35"/>
      <c r="M694" s="35"/>
      <c r="N694" s="35"/>
      <c r="O694" s="35"/>
      <c r="P694" s="35"/>
      <c r="Q694" s="36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923</v>
      </c>
      <c r="H695" s="20" t="str">
        <f>+T695</f>
        <v/>
      </c>
      <c r="J695" s="30"/>
      <c r="K695" s="22" t="str">
        <f t="shared" si="7"/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924</v>
      </c>
      <c r="H696" s="20" t="str">
        <f>+T696</f>
        <v/>
      </c>
      <c r="J696" s="30"/>
      <c r="K696" s="22" t="str">
        <f t="shared" si="7"/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925</v>
      </c>
      <c r="H697" s="20" t="str">
        <f>+T697</f>
        <v/>
      </c>
      <c r="J697" s="30"/>
      <c r="K697" s="22" t="str">
        <f t="shared" si="7"/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926</v>
      </c>
      <c r="H698" s="20" t="str">
        <f>+T698</f>
        <v/>
      </c>
      <c r="J698" s="30"/>
      <c r="K698" s="22" t="str">
        <f t="shared" si="7"/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927</v>
      </c>
      <c r="H699" s="20" t="str">
        <f>+T699</f>
        <v/>
      </c>
      <c r="J699" s="30"/>
      <c r="K699" s="22" t="str">
        <f t="shared" si="7"/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928</v>
      </c>
      <c r="H700" s="20" t="str">
        <f>+T700</f>
        <v/>
      </c>
      <c r="J700" s="30"/>
      <c r="K700" s="22" t="str">
        <f t="shared" si="7"/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929</v>
      </c>
      <c r="H701" s="20" t="str">
        <f>+T701</f>
        <v/>
      </c>
      <c r="J701" s="30"/>
      <c r="K701" s="22" t="str">
        <f t="shared" si="7"/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930</v>
      </c>
      <c r="H702" s="20" t="str">
        <f>+T702</f>
        <v/>
      </c>
      <c r="J702" s="30"/>
      <c r="K702" s="22" t="str">
        <f t="shared" ref="K702:K765" si="8"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931</v>
      </c>
      <c r="H703" s="20" t="str">
        <f>+T703</f>
        <v/>
      </c>
      <c r="J703" s="30"/>
      <c r="K703" s="22" t="str">
        <f t="shared" si="8"/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932</v>
      </c>
      <c r="H704" s="20" t="str">
        <f>+T704</f>
        <v/>
      </c>
      <c r="J704" s="30"/>
      <c r="K704" s="22" t="str">
        <f t="shared" si="8"/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933</v>
      </c>
      <c r="B705" s="35"/>
      <c r="C705" s="35"/>
      <c r="D705" s="35"/>
      <c r="E705" s="35"/>
      <c r="F705" s="35"/>
      <c r="G705" s="35"/>
      <c r="H705" s="20" t="str">
        <f>+T705</f>
        <v/>
      </c>
      <c r="I705" s="35"/>
      <c r="J705" s="37"/>
      <c r="K705" s="22" t="str">
        <f t="shared" si="8"/>
        <v/>
      </c>
      <c r="L705" s="35"/>
      <c r="M705" s="35"/>
      <c r="N705" s="35"/>
      <c r="O705" s="35"/>
      <c r="P705" s="35"/>
      <c r="Q705" s="36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934</v>
      </c>
      <c r="H706" s="20" t="str">
        <f>+T706</f>
        <v/>
      </c>
      <c r="J706" s="30"/>
      <c r="K706" s="22" t="str">
        <f t="shared" si="8"/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935</v>
      </c>
      <c r="H707" s="20" t="str">
        <f>+T707</f>
        <v/>
      </c>
      <c r="J707" s="30"/>
      <c r="K707" s="22" t="str">
        <f t="shared" si="8"/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936</v>
      </c>
      <c r="H708" s="20" t="str">
        <f>+T708</f>
        <v/>
      </c>
      <c r="J708" s="30"/>
      <c r="K708" s="22" t="str">
        <f t="shared" si="8"/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937</v>
      </c>
      <c r="H709" s="20" t="str">
        <f>+T709</f>
        <v/>
      </c>
      <c r="J709" s="30"/>
      <c r="K709" s="22" t="str">
        <f t="shared" si="8"/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938</v>
      </c>
      <c r="H710" s="20" t="str">
        <f>+T710</f>
        <v/>
      </c>
      <c r="J710" s="30"/>
      <c r="K710" s="22" t="str">
        <f t="shared" si="8"/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939</v>
      </c>
      <c r="H711" s="20" t="str">
        <f>+T711</f>
        <v/>
      </c>
      <c r="J711" s="30"/>
      <c r="K711" s="22" t="str">
        <f t="shared" si="8"/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940</v>
      </c>
      <c r="H712" s="20" t="str">
        <f>+T712</f>
        <v/>
      </c>
      <c r="J712" s="30"/>
      <c r="K712" s="22" t="str">
        <f t="shared" si="8"/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941</v>
      </c>
      <c r="H713" s="20" t="str">
        <f>+T713</f>
        <v/>
      </c>
      <c r="J713" s="30"/>
      <c r="K713" s="22" t="str">
        <f t="shared" si="8"/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942</v>
      </c>
      <c r="H714" s="20" t="str">
        <f>+T714</f>
        <v/>
      </c>
      <c r="J714" s="30"/>
      <c r="K714" s="22" t="str">
        <f t="shared" si="8"/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943</v>
      </c>
      <c r="H715" s="20" t="str">
        <f>+T715</f>
        <v/>
      </c>
      <c r="J715" s="30"/>
      <c r="K715" s="22" t="str">
        <f t="shared" si="8"/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944</v>
      </c>
      <c r="B716" s="35"/>
      <c r="C716" s="35"/>
      <c r="D716" s="35"/>
      <c r="E716" s="35"/>
      <c r="F716" s="35"/>
      <c r="G716" s="35"/>
      <c r="H716" s="20" t="str">
        <f>+T716</f>
        <v/>
      </c>
      <c r="I716" s="35"/>
      <c r="J716" s="37"/>
      <c r="K716" s="22" t="str">
        <f t="shared" si="8"/>
        <v/>
      </c>
      <c r="L716" s="35"/>
      <c r="M716" s="35"/>
      <c r="N716" s="35"/>
      <c r="O716" s="35"/>
      <c r="P716" s="35"/>
      <c r="Q716" s="36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945</v>
      </c>
      <c r="H717" s="20" t="str">
        <f>+T717</f>
        <v/>
      </c>
      <c r="J717" s="30"/>
      <c r="K717" s="22" t="str">
        <f t="shared" si="8"/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946</v>
      </c>
      <c r="H718" s="20" t="str">
        <f>+T718</f>
        <v/>
      </c>
      <c r="J718" s="30"/>
      <c r="K718" s="22" t="str">
        <f t="shared" si="8"/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947</v>
      </c>
      <c r="H719" s="20" t="str">
        <f>+T719</f>
        <v/>
      </c>
      <c r="J719" s="30"/>
      <c r="K719" s="22" t="str">
        <f t="shared" si="8"/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948</v>
      </c>
      <c r="H720" s="20" t="str">
        <f>+T720</f>
        <v/>
      </c>
      <c r="J720" s="30"/>
      <c r="K720" s="22" t="str">
        <f t="shared" si="8"/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949</v>
      </c>
      <c r="H721" s="20" t="str">
        <f>+T721</f>
        <v/>
      </c>
      <c r="J721" s="30"/>
      <c r="K721" s="22" t="str">
        <f t="shared" si="8"/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950</v>
      </c>
      <c r="H722" s="20" t="str">
        <f>+T722</f>
        <v/>
      </c>
      <c r="J722" s="30"/>
      <c r="K722" s="22" t="str">
        <f t="shared" si="8"/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951</v>
      </c>
      <c r="H723" s="20" t="str">
        <f>+T723</f>
        <v/>
      </c>
      <c r="J723" s="30"/>
      <c r="K723" s="22" t="str">
        <f t="shared" si="8"/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952</v>
      </c>
      <c r="H724" s="20" t="str">
        <f>+T724</f>
        <v/>
      </c>
      <c r="J724" s="30"/>
      <c r="K724" s="22" t="str">
        <f t="shared" si="8"/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953</v>
      </c>
      <c r="H725" s="20" t="str">
        <f>+T725</f>
        <v/>
      </c>
      <c r="J725" s="30"/>
      <c r="K725" s="22" t="str">
        <f t="shared" si="8"/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954</v>
      </c>
      <c r="H726" s="20" t="str">
        <f>+T726</f>
        <v/>
      </c>
      <c r="J726" s="30"/>
      <c r="K726" s="22" t="str">
        <f t="shared" si="8"/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955</v>
      </c>
      <c r="B727" s="35"/>
      <c r="C727" s="35"/>
      <c r="D727" s="35"/>
      <c r="E727" s="35"/>
      <c r="F727" s="35"/>
      <c r="G727" s="35"/>
      <c r="H727" s="20" t="str">
        <f>+T727</f>
        <v/>
      </c>
      <c r="I727" s="35"/>
      <c r="J727" s="37"/>
      <c r="K727" s="22" t="str">
        <f t="shared" si="8"/>
        <v/>
      </c>
      <c r="L727" s="35"/>
      <c r="M727" s="35"/>
      <c r="N727" s="35"/>
      <c r="O727" s="35"/>
      <c r="P727" s="35"/>
      <c r="Q727" s="36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956</v>
      </c>
      <c r="H728" s="20" t="str">
        <f>+T728</f>
        <v/>
      </c>
      <c r="J728" s="30"/>
      <c r="K728" s="22" t="str">
        <f t="shared" si="8"/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957</v>
      </c>
      <c r="H729" s="20" t="str">
        <f>+T729</f>
        <v/>
      </c>
      <c r="J729" s="30"/>
      <c r="K729" s="22" t="str">
        <f t="shared" si="8"/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958</v>
      </c>
      <c r="H730" s="20" t="str">
        <f>+T730</f>
        <v/>
      </c>
      <c r="J730" s="30"/>
      <c r="K730" s="22" t="str">
        <f t="shared" si="8"/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959</v>
      </c>
      <c r="H731" s="20" t="str">
        <f>+T731</f>
        <v/>
      </c>
      <c r="J731" s="30"/>
      <c r="K731" s="22" t="str">
        <f t="shared" si="8"/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960</v>
      </c>
      <c r="H732" s="20" t="str">
        <f>+T732</f>
        <v/>
      </c>
      <c r="J732" s="30"/>
      <c r="K732" s="22" t="str">
        <f t="shared" si="8"/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961</v>
      </c>
      <c r="H733" s="20" t="str">
        <f>+T733</f>
        <v/>
      </c>
      <c r="J733" s="30"/>
      <c r="K733" s="22" t="str">
        <f t="shared" si="8"/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962</v>
      </c>
      <c r="H734" s="20" t="str">
        <f>+T734</f>
        <v/>
      </c>
      <c r="J734" s="30"/>
      <c r="K734" s="22" t="str">
        <f t="shared" si="8"/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963</v>
      </c>
      <c r="H735" s="20" t="str">
        <f>+T735</f>
        <v/>
      </c>
      <c r="J735" s="30"/>
      <c r="K735" s="22" t="str">
        <f t="shared" si="8"/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964</v>
      </c>
      <c r="H736" s="20" t="str">
        <f>+T736</f>
        <v/>
      </c>
      <c r="J736" s="30"/>
      <c r="K736" s="22" t="str">
        <f t="shared" si="8"/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965</v>
      </c>
      <c r="H737" s="20" t="str">
        <f>+T737</f>
        <v/>
      </c>
      <c r="J737" s="30"/>
      <c r="K737" s="22" t="str">
        <f t="shared" si="8"/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966</v>
      </c>
      <c r="B738" s="35"/>
      <c r="C738" s="35"/>
      <c r="D738" s="35"/>
      <c r="E738" s="35"/>
      <c r="F738" s="35"/>
      <c r="G738" s="35"/>
      <c r="H738" s="20" t="str">
        <f>+T738</f>
        <v/>
      </c>
      <c r="I738" s="35"/>
      <c r="J738" s="37"/>
      <c r="K738" s="22" t="str">
        <f t="shared" si="8"/>
        <v/>
      </c>
      <c r="L738" s="35"/>
      <c r="M738" s="35"/>
      <c r="N738" s="35"/>
      <c r="O738" s="35"/>
      <c r="P738" s="35"/>
      <c r="Q738" s="36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967</v>
      </c>
      <c r="H739" s="20" t="str">
        <f>+T739</f>
        <v/>
      </c>
      <c r="J739" s="30"/>
      <c r="K739" s="22" t="str">
        <f t="shared" si="8"/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968</v>
      </c>
      <c r="H740" s="20" t="str">
        <f>+T740</f>
        <v/>
      </c>
      <c r="J740" s="30"/>
      <c r="K740" s="22" t="str">
        <f t="shared" si="8"/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969</v>
      </c>
      <c r="H741" s="20" t="str">
        <f>+T741</f>
        <v/>
      </c>
      <c r="J741" s="30"/>
      <c r="K741" s="22" t="str">
        <f t="shared" si="8"/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970</v>
      </c>
      <c r="H742" s="20" t="str">
        <f>+T742</f>
        <v/>
      </c>
      <c r="J742" s="30"/>
      <c r="K742" s="22" t="str">
        <f t="shared" si="8"/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971</v>
      </c>
      <c r="H743" s="20" t="str">
        <f>+T743</f>
        <v/>
      </c>
      <c r="J743" s="30"/>
      <c r="K743" s="22" t="str">
        <f t="shared" si="8"/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972</v>
      </c>
      <c r="H744" s="20" t="str">
        <f>+T744</f>
        <v/>
      </c>
      <c r="J744" s="30"/>
      <c r="K744" s="22" t="str">
        <f t="shared" si="8"/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973</v>
      </c>
      <c r="H745" s="20" t="str">
        <f>+T745</f>
        <v/>
      </c>
      <c r="J745" s="30"/>
      <c r="K745" s="22" t="str">
        <f t="shared" si="8"/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974</v>
      </c>
      <c r="H746" s="20" t="str">
        <f>+T746</f>
        <v/>
      </c>
      <c r="J746" s="30"/>
      <c r="K746" s="22" t="str">
        <f t="shared" si="8"/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975</v>
      </c>
      <c r="H747" s="20" t="str">
        <f>+T747</f>
        <v/>
      </c>
      <c r="J747" s="30"/>
      <c r="K747" s="22" t="str">
        <f t="shared" si="8"/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976</v>
      </c>
      <c r="H748" s="20" t="str">
        <f>+T748</f>
        <v/>
      </c>
      <c r="J748" s="30"/>
      <c r="K748" s="22" t="str">
        <f t="shared" si="8"/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977</v>
      </c>
      <c r="B749" s="35"/>
      <c r="C749" s="35"/>
      <c r="D749" s="35"/>
      <c r="E749" s="35"/>
      <c r="F749" s="35"/>
      <c r="G749" s="35"/>
      <c r="H749" s="20" t="str">
        <f>+T749</f>
        <v/>
      </c>
      <c r="I749" s="35"/>
      <c r="J749" s="37"/>
      <c r="K749" s="22" t="str">
        <f t="shared" si="8"/>
        <v/>
      </c>
      <c r="L749" s="35"/>
      <c r="M749" s="35"/>
      <c r="N749" s="35"/>
      <c r="O749" s="35"/>
      <c r="P749" s="35"/>
      <c r="Q749" s="36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978</v>
      </c>
      <c r="H750" s="20" t="str">
        <f>+T750</f>
        <v/>
      </c>
      <c r="J750" s="30"/>
      <c r="K750" s="22" t="str">
        <f t="shared" si="8"/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979</v>
      </c>
      <c r="H751" s="20" t="str">
        <f>+T751</f>
        <v/>
      </c>
      <c r="J751" s="30"/>
      <c r="K751" s="22" t="str">
        <f t="shared" si="8"/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980</v>
      </c>
      <c r="H752" s="20" t="str">
        <f>+T752</f>
        <v/>
      </c>
      <c r="J752" s="30"/>
      <c r="K752" s="22" t="str">
        <f t="shared" si="8"/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981</v>
      </c>
      <c r="H753" s="20" t="str">
        <f>+T753</f>
        <v/>
      </c>
      <c r="J753" s="30"/>
      <c r="K753" s="22" t="str">
        <f t="shared" si="8"/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982</v>
      </c>
      <c r="H754" s="20" t="str">
        <f>+T754</f>
        <v/>
      </c>
      <c r="J754" s="30"/>
      <c r="K754" s="22" t="str">
        <f t="shared" si="8"/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983</v>
      </c>
      <c r="H755" s="20" t="str">
        <f>+T755</f>
        <v/>
      </c>
      <c r="J755" s="30"/>
      <c r="K755" s="22" t="str">
        <f t="shared" si="8"/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984</v>
      </c>
      <c r="H756" s="20" t="str">
        <f>+T756</f>
        <v/>
      </c>
      <c r="J756" s="30"/>
      <c r="K756" s="22" t="str">
        <f t="shared" si="8"/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985</v>
      </c>
      <c r="H757" s="20" t="str">
        <f>+T757</f>
        <v/>
      </c>
      <c r="J757" s="30"/>
      <c r="K757" s="22" t="str">
        <f t="shared" si="8"/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986</v>
      </c>
      <c r="H758" s="20" t="str">
        <f>+T758</f>
        <v/>
      </c>
      <c r="J758" s="30"/>
      <c r="K758" s="22" t="str">
        <f t="shared" si="8"/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987</v>
      </c>
      <c r="H759" s="20" t="str">
        <f>+T759</f>
        <v/>
      </c>
      <c r="J759" s="30"/>
      <c r="K759" s="22" t="str">
        <f t="shared" si="8"/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988</v>
      </c>
      <c r="B760" s="35"/>
      <c r="C760" s="35"/>
      <c r="D760" s="35"/>
      <c r="E760" s="35"/>
      <c r="F760" s="35"/>
      <c r="G760" s="35"/>
      <c r="H760" s="20" t="str">
        <f>+T760</f>
        <v/>
      </c>
      <c r="I760" s="35"/>
      <c r="J760" s="37"/>
      <c r="K760" s="22" t="str">
        <f t="shared" si="8"/>
        <v/>
      </c>
      <c r="L760" s="35"/>
      <c r="M760" s="35"/>
      <c r="N760" s="35"/>
      <c r="O760" s="35"/>
      <c r="P760" s="35"/>
      <c r="Q760" s="36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989</v>
      </c>
      <c r="H761" s="20" t="str">
        <f>+T761</f>
        <v/>
      </c>
      <c r="J761" s="30"/>
      <c r="K761" s="22" t="str">
        <f t="shared" si="8"/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990</v>
      </c>
      <c r="H762" s="20" t="str">
        <f>+T762</f>
        <v/>
      </c>
      <c r="J762" s="30"/>
      <c r="K762" s="22" t="str">
        <f t="shared" si="8"/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991</v>
      </c>
      <c r="H763" s="20" t="str">
        <f>+T763</f>
        <v/>
      </c>
      <c r="J763" s="30"/>
      <c r="K763" s="22" t="str">
        <f t="shared" si="8"/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992</v>
      </c>
      <c r="H764" s="20" t="str">
        <f>+T764</f>
        <v/>
      </c>
      <c r="J764" s="30"/>
      <c r="K764" s="22" t="str">
        <f t="shared" si="8"/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993</v>
      </c>
      <c r="H765" s="20" t="str">
        <f>+T765</f>
        <v/>
      </c>
      <c r="J765" s="30"/>
      <c r="K765" s="22" t="str">
        <f t="shared" si="8"/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994</v>
      </c>
      <c r="H766" s="20" t="str">
        <f>+T766</f>
        <v/>
      </c>
      <c r="J766" s="30"/>
      <c r="K766" s="22" t="str">
        <f t="shared" ref="K766:K829" si="9"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995</v>
      </c>
      <c r="H767" s="20" t="str">
        <f>+T767</f>
        <v/>
      </c>
      <c r="J767" s="30"/>
      <c r="K767" s="22" t="str">
        <f t="shared" si="9"/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996</v>
      </c>
      <c r="H768" s="20" t="str">
        <f>+T768</f>
        <v/>
      </c>
      <c r="J768" s="30"/>
      <c r="K768" s="22" t="str">
        <f t="shared" si="9"/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997</v>
      </c>
      <c r="H769" s="20" t="str">
        <f>+T769</f>
        <v/>
      </c>
      <c r="J769" s="30"/>
      <c r="K769" s="22" t="str">
        <f t="shared" si="9"/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998</v>
      </c>
      <c r="H770" s="20" t="str">
        <f>+T770</f>
        <v/>
      </c>
      <c r="J770" s="30"/>
      <c r="K770" s="22" t="str">
        <f t="shared" si="9"/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999</v>
      </c>
      <c r="B771" s="35"/>
      <c r="C771" s="35"/>
      <c r="D771" s="35"/>
      <c r="E771" s="35"/>
      <c r="F771" s="35"/>
      <c r="G771" s="35"/>
      <c r="H771" s="20" t="str">
        <f>+T771</f>
        <v/>
      </c>
      <c r="I771" s="35"/>
      <c r="J771" s="37"/>
      <c r="K771" s="22" t="str">
        <f t="shared" si="9"/>
        <v/>
      </c>
      <c r="L771" s="35"/>
      <c r="M771" s="35"/>
      <c r="N771" s="35"/>
      <c r="O771" s="35"/>
      <c r="P771" s="35"/>
      <c r="Q771" s="36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1000</v>
      </c>
      <c r="H772" s="20" t="str">
        <f>+T772</f>
        <v/>
      </c>
      <c r="J772" s="30"/>
      <c r="K772" s="22" t="str">
        <f t="shared" si="9"/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1001</v>
      </c>
      <c r="H773" s="20" t="str">
        <f>+T773</f>
        <v/>
      </c>
      <c r="J773" s="30"/>
      <c r="K773" s="22" t="str">
        <f t="shared" si="9"/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1002</v>
      </c>
      <c r="H774" s="20" t="str">
        <f>+T774</f>
        <v/>
      </c>
      <c r="J774" s="30"/>
      <c r="K774" s="22" t="str">
        <f t="shared" si="9"/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1003</v>
      </c>
      <c r="H775" s="20" t="str">
        <f>+T775</f>
        <v/>
      </c>
      <c r="J775" s="30"/>
      <c r="K775" s="22" t="str">
        <f t="shared" si="9"/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1004</v>
      </c>
      <c r="H776" s="20" t="str">
        <f>+T776</f>
        <v/>
      </c>
      <c r="J776" s="30"/>
      <c r="K776" s="22" t="str">
        <f t="shared" si="9"/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1005</v>
      </c>
      <c r="H777" s="20" t="str">
        <f>+T777</f>
        <v/>
      </c>
      <c r="J777" s="30"/>
      <c r="K777" s="22" t="str">
        <f t="shared" si="9"/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1006</v>
      </c>
      <c r="H778" s="20" t="str">
        <f>+T778</f>
        <v/>
      </c>
      <c r="J778" s="30"/>
      <c r="K778" s="22" t="str">
        <f t="shared" si="9"/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1007</v>
      </c>
      <c r="H779" s="20" t="str">
        <f>+T779</f>
        <v/>
      </c>
      <c r="J779" s="30"/>
      <c r="K779" s="22" t="str">
        <f t="shared" si="9"/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1008</v>
      </c>
      <c r="H780" s="20" t="str">
        <f>+T780</f>
        <v/>
      </c>
      <c r="J780" s="30"/>
      <c r="K780" s="22" t="str">
        <f t="shared" si="9"/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1009</v>
      </c>
      <c r="H781" s="20" t="str">
        <f>+T781</f>
        <v/>
      </c>
      <c r="J781" s="30"/>
      <c r="K781" s="22" t="str">
        <f t="shared" si="9"/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1010</v>
      </c>
      <c r="B782" s="35"/>
      <c r="C782" s="35"/>
      <c r="D782" s="35"/>
      <c r="E782" s="35"/>
      <c r="F782" s="35"/>
      <c r="G782" s="35"/>
      <c r="H782" s="20" t="str">
        <f>+T782</f>
        <v/>
      </c>
      <c r="I782" s="35"/>
      <c r="J782" s="37"/>
      <c r="K782" s="22" t="str">
        <f t="shared" si="9"/>
        <v/>
      </c>
      <c r="L782" s="35"/>
      <c r="M782" s="35"/>
      <c r="N782" s="35"/>
      <c r="O782" s="35"/>
      <c r="P782" s="35"/>
      <c r="Q782" s="36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1011</v>
      </c>
      <c r="H783" s="20" t="str">
        <f>+T783</f>
        <v/>
      </c>
      <c r="J783" s="30"/>
      <c r="K783" s="22" t="str">
        <f t="shared" si="9"/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1012</v>
      </c>
      <c r="H784" s="20" t="str">
        <f>+T784</f>
        <v/>
      </c>
      <c r="J784" s="30"/>
      <c r="K784" s="22" t="str">
        <f t="shared" si="9"/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1013</v>
      </c>
      <c r="H785" s="20" t="str">
        <f>+T785</f>
        <v/>
      </c>
      <c r="J785" s="30"/>
      <c r="K785" s="22" t="str">
        <f t="shared" si="9"/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1014</v>
      </c>
      <c r="H786" s="20" t="str">
        <f>+T786</f>
        <v/>
      </c>
      <c r="J786" s="30"/>
      <c r="K786" s="22" t="str">
        <f t="shared" si="9"/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1015</v>
      </c>
      <c r="H787" s="20" t="str">
        <f>+T787</f>
        <v/>
      </c>
      <c r="J787" s="30"/>
      <c r="K787" s="22" t="str">
        <f t="shared" si="9"/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1016</v>
      </c>
      <c r="H788" s="20" t="str">
        <f>+T788</f>
        <v/>
      </c>
      <c r="J788" s="30"/>
      <c r="K788" s="22" t="str">
        <f t="shared" si="9"/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1017</v>
      </c>
      <c r="H789" s="20" t="str">
        <f>+T789</f>
        <v/>
      </c>
      <c r="J789" s="30"/>
      <c r="K789" s="22" t="str">
        <f t="shared" si="9"/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1018</v>
      </c>
      <c r="H790" s="20" t="str">
        <f>+T790</f>
        <v/>
      </c>
      <c r="J790" s="30"/>
      <c r="K790" s="22" t="str">
        <f t="shared" si="9"/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1019</v>
      </c>
      <c r="H791" s="20" t="str">
        <f>+T791</f>
        <v/>
      </c>
      <c r="J791" s="30"/>
      <c r="K791" s="22" t="str">
        <f t="shared" si="9"/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1020</v>
      </c>
      <c r="H792" s="20" t="str">
        <f>+T792</f>
        <v/>
      </c>
      <c r="J792" s="30"/>
      <c r="K792" s="22" t="str">
        <f t="shared" si="9"/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1021</v>
      </c>
      <c r="B793" s="35"/>
      <c r="C793" s="35"/>
      <c r="D793" s="35"/>
      <c r="E793" s="35"/>
      <c r="F793" s="35"/>
      <c r="G793" s="35"/>
      <c r="H793" s="20" t="str">
        <f>+T793</f>
        <v/>
      </c>
      <c r="I793" s="35"/>
      <c r="J793" s="37"/>
      <c r="K793" s="22" t="str">
        <f t="shared" si="9"/>
        <v/>
      </c>
      <c r="L793" s="35"/>
      <c r="M793" s="35"/>
      <c r="N793" s="35"/>
      <c r="O793" s="35"/>
      <c r="P793" s="35"/>
      <c r="Q793" s="36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1022</v>
      </c>
      <c r="H794" s="20" t="str">
        <f>+T794</f>
        <v/>
      </c>
      <c r="J794" s="30"/>
      <c r="K794" s="22" t="str">
        <f t="shared" si="9"/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1023</v>
      </c>
      <c r="H795" s="20" t="str">
        <f>+T795</f>
        <v/>
      </c>
      <c r="J795" s="30"/>
      <c r="K795" s="22" t="str">
        <f t="shared" si="9"/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1024</v>
      </c>
      <c r="H796" s="20" t="str">
        <f>+T796</f>
        <v/>
      </c>
      <c r="J796" s="30"/>
      <c r="K796" s="22" t="str">
        <f t="shared" si="9"/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1025</v>
      </c>
      <c r="H797" s="20" t="str">
        <f>+T797</f>
        <v/>
      </c>
      <c r="J797" s="30"/>
      <c r="K797" s="22" t="str">
        <f t="shared" si="9"/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1026</v>
      </c>
      <c r="H798" s="20" t="str">
        <f>+T798</f>
        <v/>
      </c>
      <c r="J798" s="30"/>
      <c r="K798" s="22" t="str">
        <f t="shared" si="9"/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1027</v>
      </c>
      <c r="H799" s="20" t="str">
        <f>+T799</f>
        <v/>
      </c>
      <c r="J799" s="30"/>
      <c r="K799" s="22" t="str">
        <f t="shared" si="9"/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1028</v>
      </c>
      <c r="H800" s="20" t="str">
        <f>+T800</f>
        <v/>
      </c>
      <c r="J800" s="30"/>
      <c r="K800" s="22" t="str">
        <f t="shared" si="9"/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1029</v>
      </c>
      <c r="H801" s="20" t="str">
        <f>+T801</f>
        <v/>
      </c>
      <c r="J801" s="30"/>
      <c r="K801" s="22" t="str">
        <f t="shared" si="9"/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1030</v>
      </c>
      <c r="H802" s="20" t="str">
        <f>+T802</f>
        <v/>
      </c>
      <c r="J802" s="30"/>
      <c r="K802" s="22" t="str">
        <f t="shared" si="9"/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1031</v>
      </c>
      <c r="H803" s="20" t="str">
        <f>+T803</f>
        <v/>
      </c>
      <c r="J803" s="30"/>
      <c r="K803" s="22" t="str">
        <f t="shared" si="9"/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1032</v>
      </c>
      <c r="B804" s="35"/>
      <c r="C804" s="35"/>
      <c r="D804" s="35"/>
      <c r="E804" s="35"/>
      <c r="F804" s="35"/>
      <c r="G804" s="35"/>
      <c r="H804" s="20" t="str">
        <f>+T804</f>
        <v/>
      </c>
      <c r="I804" s="35"/>
      <c r="J804" s="37"/>
      <c r="K804" s="22" t="str">
        <f t="shared" si="9"/>
        <v/>
      </c>
      <c r="L804" s="35"/>
      <c r="M804" s="35"/>
      <c r="N804" s="35"/>
      <c r="O804" s="35"/>
      <c r="P804" s="35"/>
      <c r="Q804" s="36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1033</v>
      </c>
      <c r="H805" s="20" t="str">
        <f>+T805</f>
        <v/>
      </c>
      <c r="J805" s="30"/>
      <c r="K805" s="22" t="str">
        <f t="shared" si="9"/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1034</v>
      </c>
      <c r="H806" s="20" t="str">
        <f>+T806</f>
        <v/>
      </c>
      <c r="J806" s="30"/>
      <c r="K806" s="22" t="str">
        <f t="shared" si="9"/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1035</v>
      </c>
      <c r="H807" s="20" t="str">
        <f>+T807</f>
        <v/>
      </c>
      <c r="J807" s="30"/>
      <c r="K807" s="22" t="str">
        <f t="shared" si="9"/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1036</v>
      </c>
      <c r="H808" s="20" t="str">
        <f>+T808</f>
        <v/>
      </c>
      <c r="J808" s="30"/>
      <c r="K808" s="22" t="str">
        <f t="shared" si="9"/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1037</v>
      </c>
      <c r="H809" s="20" t="str">
        <f>+T809</f>
        <v/>
      </c>
      <c r="J809" s="30"/>
      <c r="K809" s="22" t="str">
        <f t="shared" si="9"/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1038</v>
      </c>
      <c r="H810" s="20" t="str">
        <f>+T810</f>
        <v/>
      </c>
      <c r="J810" s="30"/>
      <c r="K810" s="22" t="str">
        <f t="shared" si="9"/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1039</v>
      </c>
      <c r="H811" s="20" t="str">
        <f>+T811</f>
        <v/>
      </c>
      <c r="J811" s="30"/>
      <c r="K811" s="22" t="str">
        <f t="shared" si="9"/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1040</v>
      </c>
      <c r="H812" s="20" t="str">
        <f>+T812</f>
        <v/>
      </c>
      <c r="J812" s="30"/>
      <c r="K812" s="22" t="str">
        <f t="shared" si="9"/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1041</v>
      </c>
      <c r="H813" s="20" t="str">
        <f>+T813</f>
        <v/>
      </c>
      <c r="J813" s="30"/>
      <c r="K813" s="22" t="str">
        <f t="shared" si="9"/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1042</v>
      </c>
      <c r="H814" s="20" t="str">
        <f>+T814</f>
        <v/>
      </c>
      <c r="J814" s="30"/>
      <c r="K814" s="22" t="str">
        <f t="shared" si="9"/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1043</v>
      </c>
      <c r="B815" s="35"/>
      <c r="C815" s="35"/>
      <c r="D815" s="35"/>
      <c r="E815" s="35"/>
      <c r="F815" s="35"/>
      <c r="G815" s="35"/>
      <c r="H815" s="20" t="str">
        <f>+T815</f>
        <v/>
      </c>
      <c r="I815" s="35"/>
      <c r="J815" s="37"/>
      <c r="K815" s="22" t="str">
        <f t="shared" si="9"/>
        <v/>
      </c>
      <c r="L815" s="35"/>
      <c r="M815" s="35"/>
      <c r="N815" s="35"/>
      <c r="O815" s="35"/>
      <c r="P815" s="35"/>
      <c r="Q815" s="36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1044</v>
      </c>
      <c r="H816" s="20" t="str">
        <f>+T816</f>
        <v/>
      </c>
      <c r="J816" s="30"/>
      <c r="K816" s="22" t="str">
        <f t="shared" si="9"/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1045</v>
      </c>
      <c r="H817" s="20" t="str">
        <f>+T817</f>
        <v/>
      </c>
      <c r="J817" s="30"/>
      <c r="K817" s="22" t="str">
        <f t="shared" si="9"/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1046</v>
      </c>
      <c r="H818" s="20" t="str">
        <f>+T818</f>
        <v/>
      </c>
      <c r="J818" s="30"/>
      <c r="K818" s="22" t="str">
        <f t="shared" si="9"/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1047</v>
      </c>
      <c r="H819" s="20" t="str">
        <f>+T819</f>
        <v/>
      </c>
      <c r="J819" s="30"/>
      <c r="K819" s="22" t="str">
        <f t="shared" si="9"/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1048</v>
      </c>
      <c r="H820" s="20" t="str">
        <f>+T820</f>
        <v/>
      </c>
      <c r="J820" s="30"/>
      <c r="K820" s="22" t="str">
        <f t="shared" si="9"/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1049</v>
      </c>
      <c r="H821" s="20" t="str">
        <f>+T821</f>
        <v/>
      </c>
      <c r="J821" s="30"/>
      <c r="K821" s="22" t="str">
        <f t="shared" si="9"/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1050</v>
      </c>
      <c r="H822" s="20" t="str">
        <f>+T822</f>
        <v/>
      </c>
      <c r="J822" s="30"/>
      <c r="K822" s="22" t="str">
        <f t="shared" si="9"/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1051</v>
      </c>
      <c r="H823" s="20" t="str">
        <f>+T823</f>
        <v/>
      </c>
      <c r="J823" s="30"/>
      <c r="K823" s="22" t="str">
        <f t="shared" si="9"/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1052</v>
      </c>
      <c r="H824" s="20" t="str">
        <f>+T824</f>
        <v/>
      </c>
      <c r="J824" s="30"/>
      <c r="K824" s="22" t="str">
        <f t="shared" si="9"/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1053</v>
      </c>
      <c r="H825" s="20" t="str">
        <f>+T825</f>
        <v/>
      </c>
      <c r="J825" s="30"/>
      <c r="K825" s="22" t="str">
        <f t="shared" si="9"/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1054</v>
      </c>
      <c r="B826" s="35"/>
      <c r="C826" s="35"/>
      <c r="D826" s="35"/>
      <c r="E826" s="35"/>
      <c r="F826" s="35"/>
      <c r="G826" s="35"/>
      <c r="H826" s="20" t="str">
        <f>+T826</f>
        <v/>
      </c>
      <c r="I826" s="35"/>
      <c r="J826" s="37"/>
      <c r="K826" s="22" t="str">
        <f t="shared" si="9"/>
        <v/>
      </c>
      <c r="L826" s="35"/>
      <c r="M826" s="35"/>
      <c r="N826" s="35"/>
      <c r="O826" s="35"/>
      <c r="P826" s="35"/>
      <c r="Q826" s="36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1055</v>
      </c>
      <c r="H827" s="20" t="str">
        <f>+T827</f>
        <v/>
      </c>
      <c r="J827" s="30"/>
      <c r="K827" s="22" t="str">
        <f t="shared" si="9"/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1056</v>
      </c>
      <c r="H828" s="20" t="str">
        <f>+T828</f>
        <v/>
      </c>
      <c r="J828" s="30"/>
      <c r="K828" s="22" t="str">
        <f t="shared" si="9"/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1057</v>
      </c>
      <c r="H829" s="20" t="str">
        <f>+T829</f>
        <v/>
      </c>
      <c r="J829" s="30"/>
      <c r="K829" s="22" t="str">
        <f t="shared" si="9"/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1058</v>
      </c>
      <c r="H830" s="20" t="str">
        <f>+T830</f>
        <v/>
      </c>
      <c r="J830" s="30"/>
      <c r="K830" s="22" t="str">
        <f t="shared" ref="K830:K893" si="10"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1059</v>
      </c>
      <c r="H831" s="20" t="str">
        <f>+T831</f>
        <v/>
      </c>
      <c r="J831" s="30"/>
      <c r="K831" s="22" t="str">
        <f t="shared" si="10"/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1060</v>
      </c>
      <c r="H832" s="20" t="str">
        <f>+T832</f>
        <v/>
      </c>
      <c r="J832" s="30"/>
      <c r="K832" s="22" t="str">
        <f t="shared" si="10"/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1061</v>
      </c>
      <c r="H833" s="20" t="str">
        <f>+T833</f>
        <v/>
      </c>
      <c r="J833" s="30"/>
      <c r="K833" s="22" t="str">
        <f t="shared" si="10"/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1062</v>
      </c>
      <c r="H834" s="20" t="str">
        <f>+T834</f>
        <v/>
      </c>
      <c r="J834" s="30"/>
      <c r="K834" s="22" t="str">
        <f t="shared" si="10"/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1063</v>
      </c>
      <c r="H835" s="20" t="str">
        <f>+T835</f>
        <v/>
      </c>
      <c r="J835" s="30"/>
      <c r="K835" s="22" t="str">
        <f t="shared" si="10"/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1064</v>
      </c>
      <c r="H836" s="20" t="str">
        <f>+T836</f>
        <v/>
      </c>
      <c r="J836" s="30"/>
      <c r="K836" s="22" t="str">
        <f t="shared" si="10"/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1065</v>
      </c>
      <c r="B837" s="35"/>
      <c r="C837" s="35"/>
      <c r="D837" s="35"/>
      <c r="E837" s="35"/>
      <c r="F837" s="35"/>
      <c r="G837" s="35"/>
      <c r="H837" s="20" t="str">
        <f>+T837</f>
        <v/>
      </c>
      <c r="I837" s="35"/>
      <c r="J837" s="37"/>
      <c r="K837" s="22" t="str">
        <f t="shared" si="10"/>
        <v/>
      </c>
      <c r="L837" s="35"/>
      <c r="M837" s="35"/>
      <c r="N837" s="35"/>
      <c r="O837" s="35"/>
      <c r="P837" s="35"/>
      <c r="Q837" s="36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1066</v>
      </c>
      <c r="H838" s="20" t="str">
        <f>+T838</f>
        <v/>
      </c>
      <c r="J838" s="30"/>
      <c r="K838" s="22" t="str">
        <f t="shared" si="10"/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1067</v>
      </c>
      <c r="H839" s="20" t="str">
        <f>+T839</f>
        <v/>
      </c>
      <c r="J839" s="30"/>
      <c r="K839" s="22" t="str">
        <f t="shared" si="10"/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1068</v>
      </c>
      <c r="H840" s="20" t="str">
        <f>+T840</f>
        <v/>
      </c>
      <c r="J840" s="30"/>
      <c r="K840" s="22" t="str">
        <f t="shared" si="10"/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1069</v>
      </c>
      <c r="H841" s="20" t="str">
        <f>+T841</f>
        <v/>
      </c>
      <c r="J841" s="30"/>
      <c r="K841" s="22" t="str">
        <f t="shared" si="10"/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1070</v>
      </c>
      <c r="H842" s="20" t="str">
        <f>+T842</f>
        <v/>
      </c>
      <c r="J842" s="30"/>
      <c r="K842" s="22" t="str">
        <f t="shared" si="10"/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1071</v>
      </c>
      <c r="H843" s="20" t="str">
        <f>+T843</f>
        <v/>
      </c>
      <c r="J843" s="30"/>
      <c r="K843" s="22" t="str">
        <f t="shared" si="10"/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1072</v>
      </c>
      <c r="H844" s="20" t="str">
        <f>+T844</f>
        <v/>
      </c>
      <c r="J844" s="30"/>
      <c r="K844" s="22" t="str">
        <f t="shared" si="10"/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1073</v>
      </c>
      <c r="H845" s="20" t="str">
        <f>+T845</f>
        <v/>
      </c>
      <c r="J845" s="30"/>
      <c r="K845" s="22" t="str">
        <f t="shared" si="10"/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1074</v>
      </c>
      <c r="H846" s="20" t="str">
        <f>+T846</f>
        <v/>
      </c>
      <c r="J846" s="30"/>
      <c r="K846" s="22" t="str">
        <f t="shared" si="10"/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1075</v>
      </c>
      <c r="H847" s="20" t="str">
        <f>+T847</f>
        <v/>
      </c>
      <c r="J847" s="30"/>
      <c r="K847" s="22" t="str">
        <f t="shared" si="10"/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1076</v>
      </c>
      <c r="B848" s="35"/>
      <c r="C848" s="35"/>
      <c r="D848" s="35"/>
      <c r="E848" s="35"/>
      <c r="F848" s="35"/>
      <c r="G848" s="35"/>
      <c r="H848" s="20" t="str">
        <f>+T848</f>
        <v/>
      </c>
      <c r="I848" s="35"/>
      <c r="J848" s="37"/>
      <c r="K848" s="22" t="str">
        <f t="shared" si="10"/>
        <v/>
      </c>
      <c r="L848" s="35"/>
      <c r="M848" s="35"/>
      <c r="N848" s="35"/>
      <c r="O848" s="35"/>
      <c r="P848" s="35"/>
      <c r="Q848" s="36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1077</v>
      </c>
      <c r="H849" s="20" t="str">
        <f>+T849</f>
        <v/>
      </c>
      <c r="J849" s="30"/>
      <c r="K849" s="22" t="str">
        <f t="shared" si="10"/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1078</v>
      </c>
      <c r="H850" s="20" t="str">
        <f>+T850</f>
        <v/>
      </c>
      <c r="J850" s="30"/>
      <c r="K850" s="22" t="str">
        <f t="shared" si="10"/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1079</v>
      </c>
      <c r="H851" s="20" t="str">
        <f>+T851</f>
        <v/>
      </c>
      <c r="J851" s="30"/>
      <c r="K851" s="22" t="str">
        <f t="shared" si="10"/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1080</v>
      </c>
      <c r="H852" s="20" t="str">
        <f>+T852</f>
        <v/>
      </c>
      <c r="J852" s="30"/>
      <c r="K852" s="22" t="str">
        <f t="shared" si="10"/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1081</v>
      </c>
      <c r="H853" s="20" t="str">
        <f>+T853</f>
        <v/>
      </c>
      <c r="J853" s="30"/>
      <c r="K853" s="22" t="str">
        <f t="shared" si="10"/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1082</v>
      </c>
      <c r="H854" s="20" t="str">
        <f>+T854</f>
        <v/>
      </c>
      <c r="J854" s="30"/>
      <c r="K854" s="22" t="str">
        <f t="shared" si="10"/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1083</v>
      </c>
      <c r="H855" s="20" t="str">
        <f>+T855</f>
        <v/>
      </c>
      <c r="J855" s="30"/>
      <c r="K855" s="22" t="str">
        <f t="shared" si="10"/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1084</v>
      </c>
      <c r="H856" s="20" t="str">
        <f>+T856</f>
        <v/>
      </c>
      <c r="J856" s="30"/>
      <c r="K856" s="22" t="str">
        <f t="shared" si="10"/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1085</v>
      </c>
      <c r="H857" s="20" t="str">
        <f>+T857</f>
        <v/>
      </c>
      <c r="J857" s="30"/>
      <c r="K857" s="22" t="str">
        <f t="shared" si="10"/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1086</v>
      </c>
      <c r="H858" s="20" t="str">
        <f>+T858</f>
        <v/>
      </c>
      <c r="J858" s="30"/>
      <c r="K858" s="22" t="str">
        <f t="shared" si="10"/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1087</v>
      </c>
      <c r="B859" s="35"/>
      <c r="C859" s="35"/>
      <c r="D859" s="35"/>
      <c r="E859" s="35"/>
      <c r="F859" s="35"/>
      <c r="G859" s="35"/>
      <c r="H859" s="20" t="str">
        <f>+T859</f>
        <v/>
      </c>
      <c r="I859" s="35"/>
      <c r="J859" s="37"/>
      <c r="K859" s="22" t="str">
        <f t="shared" si="10"/>
        <v/>
      </c>
      <c r="L859" s="35"/>
      <c r="M859" s="35"/>
      <c r="N859" s="35"/>
      <c r="O859" s="35"/>
      <c r="P859" s="35"/>
      <c r="Q859" s="36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1088</v>
      </c>
      <c r="H860" s="20" t="str">
        <f>+T860</f>
        <v/>
      </c>
      <c r="J860" s="30"/>
      <c r="K860" s="22" t="str">
        <f t="shared" si="10"/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1089</v>
      </c>
      <c r="H861" s="20" t="str">
        <f>+T861</f>
        <v/>
      </c>
      <c r="J861" s="30"/>
      <c r="K861" s="22" t="str">
        <f t="shared" si="10"/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1090</v>
      </c>
      <c r="H862" s="20" t="str">
        <f>+T862</f>
        <v/>
      </c>
      <c r="J862" s="30"/>
      <c r="K862" s="22" t="str">
        <f t="shared" si="10"/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1091</v>
      </c>
      <c r="H863" s="20" t="str">
        <f>+T863</f>
        <v/>
      </c>
      <c r="J863" s="30"/>
      <c r="K863" s="22" t="str">
        <f t="shared" si="10"/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1092</v>
      </c>
      <c r="H864" s="20" t="str">
        <f>+T864</f>
        <v/>
      </c>
      <c r="J864" s="30"/>
      <c r="K864" s="22" t="str">
        <f t="shared" si="10"/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1093</v>
      </c>
      <c r="H865" s="20" t="str">
        <f>+T865</f>
        <v/>
      </c>
      <c r="J865" s="30"/>
      <c r="K865" s="22" t="str">
        <f t="shared" si="10"/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1094</v>
      </c>
      <c r="H866" s="20" t="str">
        <f>+T866</f>
        <v/>
      </c>
      <c r="J866" s="30"/>
      <c r="K866" s="22" t="str">
        <f t="shared" si="10"/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1095</v>
      </c>
      <c r="H867" s="20" t="str">
        <f>+T867</f>
        <v/>
      </c>
      <c r="J867" s="30"/>
      <c r="K867" s="22" t="str">
        <f t="shared" si="10"/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1096</v>
      </c>
      <c r="H868" s="20" t="str">
        <f>+T868</f>
        <v/>
      </c>
      <c r="J868" s="30"/>
      <c r="K868" s="22" t="str">
        <f t="shared" si="10"/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1097</v>
      </c>
      <c r="H869" s="20" t="str">
        <f>+T869</f>
        <v/>
      </c>
      <c r="J869" s="30"/>
      <c r="K869" s="22" t="str">
        <f t="shared" si="10"/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1098</v>
      </c>
      <c r="B870" s="35"/>
      <c r="C870" s="35"/>
      <c r="D870" s="35"/>
      <c r="E870" s="35"/>
      <c r="F870" s="35"/>
      <c r="G870" s="35"/>
      <c r="H870" s="20" t="str">
        <f>+T870</f>
        <v/>
      </c>
      <c r="I870" s="35"/>
      <c r="J870" s="37"/>
      <c r="K870" s="22" t="str">
        <f t="shared" si="10"/>
        <v/>
      </c>
      <c r="L870" s="35"/>
      <c r="M870" s="35"/>
      <c r="N870" s="35"/>
      <c r="O870" s="35"/>
      <c r="P870" s="35"/>
      <c r="Q870" s="36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1099</v>
      </c>
      <c r="H871" s="20" t="str">
        <f>+T871</f>
        <v/>
      </c>
      <c r="J871" s="30"/>
      <c r="K871" s="22" t="str">
        <f t="shared" si="10"/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1100</v>
      </c>
      <c r="H872" s="20" t="str">
        <f>+T872</f>
        <v/>
      </c>
      <c r="J872" s="30"/>
      <c r="K872" s="22" t="str">
        <f t="shared" si="10"/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1101</v>
      </c>
      <c r="H873" s="20" t="str">
        <f>+T873</f>
        <v/>
      </c>
      <c r="J873" s="30"/>
      <c r="K873" s="22" t="str">
        <f t="shared" si="10"/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1102</v>
      </c>
      <c r="H874" s="20" t="str">
        <f>+T874</f>
        <v/>
      </c>
      <c r="J874" s="30"/>
      <c r="K874" s="22" t="str">
        <f t="shared" si="10"/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1103</v>
      </c>
      <c r="H875" s="20" t="str">
        <f>+T875</f>
        <v/>
      </c>
      <c r="J875" s="30"/>
      <c r="K875" s="22" t="str">
        <f t="shared" si="10"/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1104</v>
      </c>
      <c r="H876" s="20" t="str">
        <f>+T876</f>
        <v/>
      </c>
      <c r="J876" s="30"/>
      <c r="K876" s="22" t="str">
        <f t="shared" si="10"/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1105</v>
      </c>
      <c r="H877" s="20" t="str">
        <f>+T877</f>
        <v/>
      </c>
      <c r="J877" s="30"/>
      <c r="K877" s="22" t="str">
        <f t="shared" si="10"/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1106</v>
      </c>
      <c r="H878" s="20" t="str">
        <f>+T878</f>
        <v/>
      </c>
      <c r="J878" s="30"/>
      <c r="K878" s="22" t="str">
        <f t="shared" si="10"/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1107</v>
      </c>
      <c r="H879" s="20" t="str">
        <f>+T879</f>
        <v/>
      </c>
      <c r="J879" s="30"/>
      <c r="K879" s="22" t="str">
        <f t="shared" si="10"/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1108</v>
      </c>
      <c r="H880" s="20" t="str">
        <f>+T880</f>
        <v/>
      </c>
      <c r="J880" s="30"/>
      <c r="K880" s="22" t="str">
        <f t="shared" si="10"/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1109</v>
      </c>
      <c r="B881" s="35"/>
      <c r="C881" s="35"/>
      <c r="D881" s="35"/>
      <c r="E881" s="35"/>
      <c r="F881" s="35"/>
      <c r="G881" s="35"/>
      <c r="H881" s="20" t="str">
        <f>+T881</f>
        <v/>
      </c>
      <c r="I881" s="35"/>
      <c r="J881" s="37"/>
      <c r="K881" s="22" t="str">
        <f t="shared" si="10"/>
        <v/>
      </c>
      <c r="L881" s="35"/>
      <c r="M881" s="35"/>
      <c r="N881" s="35"/>
      <c r="O881" s="35"/>
      <c r="P881" s="35"/>
      <c r="Q881" s="36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1110</v>
      </c>
      <c r="H882" s="20" t="str">
        <f>+T882</f>
        <v/>
      </c>
      <c r="J882" s="30"/>
      <c r="K882" s="22" t="str">
        <f t="shared" si="10"/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1111</v>
      </c>
      <c r="H883" s="20" t="str">
        <f>+T883</f>
        <v/>
      </c>
      <c r="J883" s="30"/>
      <c r="K883" s="22" t="str">
        <f t="shared" si="10"/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1112</v>
      </c>
      <c r="H884" s="20" t="str">
        <f>+T884</f>
        <v/>
      </c>
      <c r="J884" s="30"/>
      <c r="K884" s="22" t="str">
        <f t="shared" si="10"/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1113</v>
      </c>
      <c r="H885" s="20" t="str">
        <f>+T885</f>
        <v/>
      </c>
      <c r="J885" s="30"/>
      <c r="K885" s="22" t="str">
        <f t="shared" si="10"/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1114</v>
      </c>
      <c r="H886" s="20" t="str">
        <f>+T886</f>
        <v/>
      </c>
      <c r="J886" s="30"/>
      <c r="K886" s="22" t="str">
        <f t="shared" si="10"/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1115</v>
      </c>
      <c r="H887" s="20" t="str">
        <f>+T887</f>
        <v/>
      </c>
      <c r="J887" s="30"/>
      <c r="K887" s="22" t="str">
        <f t="shared" si="10"/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1116</v>
      </c>
      <c r="H888" s="20" t="str">
        <f>+T888</f>
        <v/>
      </c>
      <c r="J888" s="30"/>
      <c r="K888" s="22" t="str">
        <f t="shared" si="10"/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1117</v>
      </c>
      <c r="H889" s="20" t="str">
        <f>+T889</f>
        <v/>
      </c>
      <c r="J889" s="30"/>
      <c r="K889" s="22" t="str">
        <f t="shared" si="10"/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1118</v>
      </c>
      <c r="H890" s="20" t="str">
        <f>+T890</f>
        <v/>
      </c>
      <c r="J890" s="30"/>
      <c r="K890" s="22" t="str">
        <f t="shared" si="10"/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1119</v>
      </c>
      <c r="H891" s="20" t="str">
        <f>+T891</f>
        <v/>
      </c>
      <c r="J891" s="30"/>
      <c r="K891" s="22" t="str">
        <f t="shared" si="10"/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1120</v>
      </c>
      <c r="B892" s="35"/>
      <c r="C892" s="35"/>
      <c r="D892" s="35"/>
      <c r="E892" s="35"/>
      <c r="F892" s="35"/>
      <c r="G892" s="35"/>
      <c r="H892" s="20" t="str">
        <f>+T892</f>
        <v/>
      </c>
      <c r="I892" s="35"/>
      <c r="J892" s="37"/>
      <c r="K892" s="22" t="str">
        <f t="shared" si="10"/>
        <v/>
      </c>
      <c r="L892" s="35"/>
      <c r="M892" s="35"/>
      <c r="N892" s="35"/>
      <c r="O892" s="35"/>
      <c r="P892" s="35"/>
      <c r="Q892" s="36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1121</v>
      </c>
      <c r="H893" s="20" t="str">
        <f>+T893</f>
        <v/>
      </c>
      <c r="J893" s="30"/>
      <c r="K893" s="22" t="str">
        <f t="shared" si="10"/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1122</v>
      </c>
      <c r="H894" s="20" t="str">
        <f>+T894</f>
        <v/>
      </c>
      <c r="J894" s="30"/>
      <c r="K894" s="22" t="str">
        <f t="shared" ref="K894:K957" si="11"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1123</v>
      </c>
      <c r="H895" s="20" t="str">
        <f>+T895</f>
        <v/>
      </c>
      <c r="J895" s="30"/>
      <c r="K895" s="22" t="str">
        <f t="shared" si="11"/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1124</v>
      </c>
      <c r="H896" s="20" t="str">
        <f>+T896</f>
        <v/>
      </c>
      <c r="J896" s="30"/>
      <c r="K896" s="22" t="str">
        <f t="shared" si="11"/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1125</v>
      </c>
      <c r="H897" s="20" t="str">
        <f>+T897</f>
        <v/>
      </c>
      <c r="J897" s="30"/>
      <c r="K897" s="22" t="str">
        <f t="shared" si="11"/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1126</v>
      </c>
      <c r="H898" s="20" t="str">
        <f>+T898</f>
        <v/>
      </c>
      <c r="J898" s="30"/>
      <c r="K898" s="22" t="str">
        <f t="shared" si="11"/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1127</v>
      </c>
      <c r="H899" s="20" t="str">
        <f>+T899</f>
        <v/>
      </c>
      <c r="J899" s="30"/>
      <c r="K899" s="22" t="str">
        <f t="shared" si="11"/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1128</v>
      </c>
      <c r="H900" s="20" t="str">
        <f>+T900</f>
        <v/>
      </c>
      <c r="J900" s="30"/>
      <c r="K900" s="22" t="str">
        <f t="shared" si="11"/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1129</v>
      </c>
      <c r="H901" s="20" t="str">
        <f>+T901</f>
        <v/>
      </c>
      <c r="J901" s="30"/>
      <c r="K901" s="22" t="str">
        <f t="shared" si="11"/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1130</v>
      </c>
      <c r="H902" s="20" t="str">
        <f>+T902</f>
        <v/>
      </c>
      <c r="J902" s="30"/>
      <c r="K902" s="22" t="str">
        <f t="shared" si="11"/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1131</v>
      </c>
      <c r="B903" s="35"/>
      <c r="C903" s="35"/>
      <c r="D903" s="35"/>
      <c r="E903" s="35"/>
      <c r="F903" s="35"/>
      <c r="G903" s="35"/>
      <c r="H903" s="20" t="str">
        <f>+T903</f>
        <v/>
      </c>
      <c r="I903" s="35"/>
      <c r="J903" s="37"/>
      <c r="K903" s="22" t="str">
        <f t="shared" si="11"/>
        <v/>
      </c>
      <c r="L903" s="35"/>
      <c r="M903" s="35"/>
      <c r="N903" s="35"/>
      <c r="O903" s="35"/>
      <c r="P903" s="35"/>
      <c r="Q903" s="36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1132</v>
      </c>
      <c r="H904" s="20" t="str">
        <f>+T904</f>
        <v/>
      </c>
      <c r="J904" s="30"/>
      <c r="K904" s="22" t="str">
        <f t="shared" si="11"/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1133</v>
      </c>
      <c r="H905" s="20" t="str">
        <f>+T905</f>
        <v/>
      </c>
      <c r="J905" s="30"/>
      <c r="K905" s="22" t="str">
        <f t="shared" si="11"/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1134</v>
      </c>
      <c r="H906" s="20" t="str">
        <f>+T906</f>
        <v/>
      </c>
      <c r="J906" s="30"/>
      <c r="K906" s="22" t="str">
        <f t="shared" si="11"/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1135</v>
      </c>
      <c r="H907" s="20" t="str">
        <f>+T907</f>
        <v/>
      </c>
      <c r="J907" s="30"/>
      <c r="K907" s="22" t="str">
        <f t="shared" si="11"/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1136</v>
      </c>
      <c r="H908" s="20" t="str">
        <f>+T908</f>
        <v/>
      </c>
      <c r="J908" s="30"/>
      <c r="K908" s="22" t="str">
        <f t="shared" si="11"/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1137</v>
      </c>
      <c r="H909" s="20" t="str">
        <f>+T909</f>
        <v/>
      </c>
      <c r="J909" s="30"/>
      <c r="K909" s="22" t="str">
        <f t="shared" si="11"/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1138</v>
      </c>
      <c r="H910" s="20" t="str">
        <f>+T910</f>
        <v/>
      </c>
      <c r="J910" s="30"/>
      <c r="K910" s="22" t="str">
        <f t="shared" si="11"/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1139</v>
      </c>
      <c r="H911" s="20" t="str">
        <f>+T911</f>
        <v/>
      </c>
      <c r="J911" s="30"/>
      <c r="K911" s="22" t="str">
        <f t="shared" si="11"/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1140</v>
      </c>
      <c r="H912" s="20" t="str">
        <f>+T912</f>
        <v/>
      </c>
      <c r="J912" s="30"/>
      <c r="K912" s="22" t="str">
        <f t="shared" si="11"/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1141</v>
      </c>
      <c r="H913" s="20" t="str">
        <f>+T913</f>
        <v/>
      </c>
      <c r="J913" s="30"/>
      <c r="K913" s="22" t="str">
        <f t="shared" si="11"/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1142</v>
      </c>
      <c r="B914" s="35"/>
      <c r="C914" s="35"/>
      <c r="D914" s="35"/>
      <c r="E914" s="35"/>
      <c r="F914" s="35"/>
      <c r="G914" s="35"/>
      <c r="H914" s="20" t="str">
        <f>+T914</f>
        <v/>
      </c>
      <c r="I914" s="35"/>
      <c r="J914" s="37"/>
      <c r="K914" s="22" t="str">
        <f t="shared" si="11"/>
        <v/>
      </c>
      <c r="L914" s="35"/>
      <c r="M914" s="35"/>
      <c r="N914" s="35"/>
      <c r="O914" s="35"/>
      <c r="P914" s="35"/>
      <c r="Q914" s="36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1143</v>
      </c>
      <c r="H915" s="20" t="str">
        <f>+T915</f>
        <v/>
      </c>
      <c r="J915" s="30"/>
      <c r="K915" s="22" t="str">
        <f t="shared" si="11"/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1144</v>
      </c>
      <c r="H916" s="20" t="str">
        <f>+T916</f>
        <v/>
      </c>
      <c r="J916" s="30"/>
      <c r="K916" s="22" t="str">
        <f t="shared" si="11"/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1145</v>
      </c>
      <c r="H917" s="20" t="str">
        <f>+T917</f>
        <v/>
      </c>
      <c r="J917" s="30"/>
      <c r="K917" s="22" t="str">
        <f t="shared" si="11"/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1146</v>
      </c>
      <c r="H918" s="20" t="str">
        <f>+T918</f>
        <v/>
      </c>
      <c r="J918" s="30"/>
      <c r="K918" s="22" t="str">
        <f t="shared" si="11"/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1147</v>
      </c>
      <c r="H919" s="20" t="str">
        <f>+T919</f>
        <v/>
      </c>
      <c r="J919" s="30"/>
      <c r="K919" s="22" t="str">
        <f t="shared" si="11"/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1148</v>
      </c>
      <c r="H920" s="20" t="str">
        <f>+T920</f>
        <v/>
      </c>
      <c r="J920" s="30"/>
      <c r="K920" s="22" t="str">
        <f t="shared" si="11"/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1149</v>
      </c>
      <c r="H921" s="20" t="str">
        <f>+T921</f>
        <v/>
      </c>
      <c r="J921" s="30"/>
      <c r="K921" s="22" t="str">
        <f t="shared" si="11"/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1150</v>
      </c>
      <c r="H922" s="20" t="str">
        <f>+T922</f>
        <v/>
      </c>
      <c r="J922" s="30"/>
      <c r="K922" s="22" t="str">
        <f t="shared" si="11"/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1151</v>
      </c>
      <c r="H923" s="20" t="str">
        <f>+T923</f>
        <v/>
      </c>
      <c r="J923" s="30"/>
      <c r="K923" s="22" t="str">
        <f t="shared" si="11"/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1152</v>
      </c>
      <c r="H924" s="20" t="str">
        <f>+T924</f>
        <v/>
      </c>
      <c r="J924" s="30"/>
      <c r="K924" s="22" t="str">
        <f t="shared" si="11"/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1153</v>
      </c>
      <c r="B925" s="35"/>
      <c r="C925" s="35"/>
      <c r="D925" s="35"/>
      <c r="E925" s="35"/>
      <c r="F925" s="35"/>
      <c r="G925" s="35"/>
      <c r="H925" s="20" t="str">
        <f>+T925</f>
        <v/>
      </c>
      <c r="I925" s="35"/>
      <c r="J925" s="37"/>
      <c r="K925" s="22" t="str">
        <f t="shared" si="11"/>
        <v/>
      </c>
      <c r="L925" s="35"/>
      <c r="M925" s="35"/>
      <c r="N925" s="35"/>
      <c r="O925" s="35"/>
      <c r="P925" s="35"/>
      <c r="Q925" s="36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1154</v>
      </c>
      <c r="H926" s="20" t="str">
        <f>+T926</f>
        <v/>
      </c>
      <c r="J926" s="30"/>
      <c r="K926" s="22" t="str">
        <f t="shared" si="11"/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1155</v>
      </c>
      <c r="H927" s="20" t="str">
        <f>+T927</f>
        <v/>
      </c>
      <c r="J927" s="30"/>
      <c r="K927" s="22" t="str">
        <f t="shared" si="11"/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1156</v>
      </c>
      <c r="H928" s="20" t="str">
        <f>+T928</f>
        <v/>
      </c>
      <c r="J928" s="30"/>
      <c r="K928" s="22" t="str">
        <f t="shared" si="11"/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1157</v>
      </c>
      <c r="H929" s="20" t="str">
        <f>+T929</f>
        <v/>
      </c>
      <c r="J929" s="30"/>
      <c r="K929" s="22" t="str">
        <f t="shared" si="11"/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1158</v>
      </c>
      <c r="H930" s="20" t="str">
        <f>+T930</f>
        <v/>
      </c>
      <c r="J930" s="30"/>
      <c r="K930" s="22" t="str">
        <f t="shared" si="11"/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1159</v>
      </c>
      <c r="H931" s="20" t="str">
        <f>+T931</f>
        <v/>
      </c>
      <c r="J931" s="30"/>
      <c r="K931" s="22" t="str">
        <f t="shared" si="11"/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1160</v>
      </c>
      <c r="H932" s="20" t="str">
        <f>+T932</f>
        <v/>
      </c>
      <c r="J932" s="30"/>
      <c r="K932" s="22" t="str">
        <f t="shared" si="11"/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1161</v>
      </c>
      <c r="H933" s="20" t="str">
        <f>+T933</f>
        <v/>
      </c>
      <c r="J933" s="30"/>
      <c r="K933" s="22" t="str">
        <f t="shared" si="11"/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1162</v>
      </c>
      <c r="H934" s="20" t="str">
        <f>+T934</f>
        <v/>
      </c>
      <c r="J934" s="30"/>
      <c r="K934" s="22" t="str">
        <f t="shared" si="11"/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1163</v>
      </c>
      <c r="H935" s="20" t="str">
        <f>+T935</f>
        <v/>
      </c>
      <c r="J935" s="30"/>
      <c r="K935" s="22" t="str">
        <f t="shared" si="11"/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1164</v>
      </c>
      <c r="B936" s="35"/>
      <c r="C936" s="35"/>
      <c r="D936" s="35"/>
      <c r="E936" s="35"/>
      <c r="F936" s="35"/>
      <c r="G936" s="35"/>
      <c r="H936" s="20" t="str">
        <f>+T936</f>
        <v/>
      </c>
      <c r="I936" s="35"/>
      <c r="J936" s="37"/>
      <c r="K936" s="22" t="str">
        <f t="shared" si="11"/>
        <v/>
      </c>
      <c r="L936" s="35"/>
      <c r="M936" s="35"/>
      <c r="N936" s="35"/>
      <c r="O936" s="35"/>
      <c r="P936" s="35"/>
      <c r="Q936" s="36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1165</v>
      </c>
      <c r="H937" s="20" t="str">
        <f>+T937</f>
        <v/>
      </c>
      <c r="J937" s="30"/>
      <c r="K937" s="22" t="str">
        <f t="shared" si="11"/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1166</v>
      </c>
      <c r="H938" s="20" t="str">
        <f>+T938</f>
        <v/>
      </c>
      <c r="J938" s="30"/>
      <c r="K938" s="22" t="str">
        <f t="shared" si="11"/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1167</v>
      </c>
      <c r="H939" s="20" t="str">
        <f>+T939</f>
        <v/>
      </c>
      <c r="J939" s="30"/>
      <c r="K939" s="22" t="str">
        <f t="shared" si="11"/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1168</v>
      </c>
      <c r="H940" s="20" t="str">
        <f>+T940</f>
        <v/>
      </c>
      <c r="J940" s="30"/>
      <c r="K940" s="22" t="str">
        <f t="shared" si="11"/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1169</v>
      </c>
      <c r="H941" s="20" t="str">
        <f>+T941</f>
        <v/>
      </c>
      <c r="J941" s="30"/>
      <c r="K941" s="22" t="str">
        <f t="shared" si="11"/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1170</v>
      </c>
      <c r="H942" s="20" t="str">
        <f>+T942</f>
        <v/>
      </c>
      <c r="J942" s="30"/>
      <c r="K942" s="22" t="str">
        <f t="shared" si="11"/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1171</v>
      </c>
      <c r="H943" s="20" t="str">
        <f>+T943</f>
        <v/>
      </c>
      <c r="J943" s="30"/>
      <c r="K943" s="22" t="str">
        <f t="shared" si="11"/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1172</v>
      </c>
      <c r="H944" s="20" t="str">
        <f>+T944</f>
        <v/>
      </c>
      <c r="J944" s="30"/>
      <c r="K944" s="22" t="str">
        <f t="shared" si="11"/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1173</v>
      </c>
      <c r="H945" s="20" t="str">
        <f>+T945</f>
        <v/>
      </c>
      <c r="J945" s="30"/>
      <c r="K945" s="22" t="str">
        <f t="shared" si="11"/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1174</v>
      </c>
      <c r="H946" s="20" t="str">
        <f>+T946</f>
        <v/>
      </c>
      <c r="J946" s="30"/>
      <c r="K946" s="22" t="str">
        <f t="shared" si="11"/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1175</v>
      </c>
      <c r="B947" s="35"/>
      <c r="C947" s="35"/>
      <c r="D947" s="35"/>
      <c r="E947" s="35"/>
      <c r="F947" s="35"/>
      <c r="G947" s="35"/>
      <c r="H947" s="20" t="str">
        <f>+T947</f>
        <v/>
      </c>
      <c r="I947" s="35"/>
      <c r="J947" s="37"/>
      <c r="K947" s="22" t="str">
        <f t="shared" si="11"/>
        <v/>
      </c>
      <c r="L947" s="35"/>
      <c r="M947" s="35"/>
      <c r="N947" s="35"/>
      <c r="O947" s="35"/>
      <c r="P947" s="35"/>
      <c r="Q947" s="36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1176</v>
      </c>
      <c r="H948" s="20" t="str">
        <f>+T948</f>
        <v/>
      </c>
      <c r="J948" s="30"/>
      <c r="K948" s="22" t="str">
        <f t="shared" si="11"/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1177</v>
      </c>
      <c r="H949" s="20" t="str">
        <f>+T949</f>
        <v/>
      </c>
      <c r="J949" s="30"/>
      <c r="K949" s="22" t="str">
        <f t="shared" si="11"/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1178</v>
      </c>
      <c r="H950" s="20" t="str">
        <f>+T950</f>
        <v/>
      </c>
      <c r="J950" s="30"/>
      <c r="K950" s="22" t="str">
        <f t="shared" si="11"/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1179</v>
      </c>
      <c r="H951" s="20" t="str">
        <f>+T951</f>
        <v/>
      </c>
      <c r="J951" s="30"/>
      <c r="K951" s="22" t="str">
        <f t="shared" si="11"/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1180</v>
      </c>
      <c r="H952" s="20" t="str">
        <f>+T952</f>
        <v/>
      </c>
      <c r="J952" s="30"/>
      <c r="K952" s="22" t="str">
        <f t="shared" si="11"/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1181</v>
      </c>
      <c r="H953" s="20" t="str">
        <f>+T953</f>
        <v/>
      </c>
      <c r="J953" s="30"/>
      <c r="K953" s="22" t="str">
        <f t="shared" si="11"/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1182</v>
      </c>
      <c r="H954" s="20" t="str">
        <f>+T954</f>
        <v/>
      </c>
      <c r="J954" s="30"/>
      <c r="K954" s="22" t="str">
        <f t="shared" si="11"/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1183</v>
      </c>
      <c r="H955" s="20" t="str">
        <f>+T955</f>
        <v/>
      </c>
      <c r="J955" s="30"/>
      <c r="K955" s="22" t="str">
        <f t="shared" si="11"/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1184</v>
      </c>
      <c r="H956" s="20" t="str">
        <f>+T956</f>
        <v/>
      </c>
      <c r="J956" s="30"/>
      <c r="K956" s="22" t="str">
        <f t="shared" si="11"/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1185</v>
      </c>
      <c r="H957" s="20" t="str">
        <f>+T957</f>
        <v/>
      </c>
      <c r="J957" s="30"/>
      <c r="K957" s="22" t="str">
        <f t="shared" si="11"/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1186</v>
      </c>
      <c r="B958" s="35"/>
      <c r="C958" s="35"/>
      <c r="D958" s="35"/>
      <c r="E958" s="35"/>
      <c r="F958" s="35"/>
      <c r="G958" s="35"/>
      <c r="H958" s="20" t="str">
        <f>+T958</f>
        <v/>
      </c>
      <c r="I958" s="35"/>
      <c r="J958" s="37"/>
      <c r="K958" s="22" t="str">
        <f t="shared" ref="K958:K1021" si="12">IF(I958="","",IF(I958="ENTRADA",ABS(J958),-ABS(J958)))</f>
        <v/>
      </c>
      <c r="L958" s="35"/>
      <c r="M958" s="35"/>
      <c r="N958" s="35"/>
      <c r="O958" s="35"/>
      <c r="P958" s="35"/>
      <c r="Q958" s="36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1187</v>
      </c>
      <c r="H959" s="20" t="str">
        <f>+T959</f>
        <v/>
      </c>
      <c r="J959" s="30"/>
      <c r="K959" s="22" t="str">
        <f t="shared" si="12"/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1188</v>
      </c>
      <c r="H960" s="20" t="str">
        <f>+T960</f>
        <v/>
      </c>
      <c r="J960" s="30"/>
      <c r="K960" s="22" t="str">
        <f t="shared" si="12"/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1189</v>
      </c>
      <c r="H961" s="20" t="str">
        <f>+T961</f>
        <v/>
      </c>
      <c r="J961" s="30"/>
      <c r="K961" s="22" t="str">
        <f t="shared" si="12"/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1190</v>
      </c>
      <c r="H962" s="20" t="str">
        <f>+T962</f>
        <v/>
      </c>
      <c r="J962" s="30"/>
      <c r="K962" s="22" t="str">
        <f t="shared" si="12"/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1191</v>
      </c>
      <c r="H963" s="20" t="str">
        <f>+T963</f>
        <v/>
      </c>
      <c r="J963" s="30"/>
      <c r="K963" s="22" t="str">
        <f t="shared" si="12"/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1192</v>
      </c>
      <c r="H964" s="20" t="str">
        <f>+T964</f>
        <v/>
      </c>
      <c r="J964" s="30"/>
      <c r="K964" s="22" t="str">
        <f t="shared" si="12"/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1193</v>
      </c>
      <c r="H965" s="20" t="str">
        <f>+T965</f>
        <v/>
      </c>
      <c r="J965" s="30"/>
      <c r="K965" s="22" t="str">
        <f t="shared" si="12"/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1194</v>
      </c>
      <c r="H966" s="20" t="str">
        <f>+T966</f>
        <v/>
      </c>
      <c r="J966" s="30"/>
      <c r="K966" s="22" t="str">
        <f t="shared" si="12"/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1195</v>
      </c>
      <c r="H967" s="20" t="str">
        <f>+T967</f>
        <v/>
      </c>
      <c r="J967" s="30"/>
      <c r="K967" s="22" t="str">
        <f t="shared" si="12"/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1196</v>
      </c>
      <c r="H968" s="20" t="str">
        <f>+T968</f>
        <v/>
      </c>
      <c r="J968" s="30"/>
      <c r="K968" s="22" t="str">
        <f t="shared" si="12"/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1197</v>
      </c>
      <c r="B969" s="35"/>
      <c r="C969" s="35"/>
      <c r="D969" s="35"/>
      <c r="E969" s="35"/>
      <c r="F969" s="35"/>
      <c r="G969" s="35"/>
      <c r="H969" s="20" t="str">
        <f>+T969</f>
        <v/>
      </c>
      <c r="I969" s="35"/>
      <c r="J969" s="37"/>
      <c r="K969" s="22" t="str">
        <f t="shared" si="12"/>
        <v/>
      </c>
      <c r="L969" s="35"/>
      <c r="M969" s="35"/>
      <c r="N969" s="35"/>
      <c r="O969" s="35"/>
      <c r="P969" s="35"/>
      <c r="Q969" s="36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1198</v>
      </c>
      <c r="H970" s="20" t="str">
        <f>+T970</f>
        <v/>
      </c>
      <c r="J970" s="30"/>
      <c r="K970" s="22" t="str">
        <f t="shared" si="12"/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1199</v>
      </c>
      <c r="H971" s="20" t="str">
        <f>+T971</f>
        <v/>
      </c>
      <c r="J971" s="30"/>
      <c r="K971" s="22" t="str">
        <f t="shared" si="12"/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1200</v>
      </c>
      <c r="H972" s="20" t="str">
        <f>+T972</f>
        <v/>
      </c>
      <c r="J972" s="30"/>
      <c r="K972" s="22" t="str">
        <f t="shared" si="12"/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1201</v>
      </c>
      <c r="H973" s="20" t="str">
        <f>+T973</f>
        <v/>
      </c>
      <c r="J973" s="30"/>
      <c r="K973" s="22" t="str">
        <f t="shared" si="12"/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1202</v>
      </c>
      <c r="H974" s="20" t="str">
        <f>+T974</f>
        <v/>
      </c>
      <c r="J974" s="30"/>
      <c r="K974" s="22" t="str">
        <f t="shared" si="12"/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1203</v>
      </c>
      <c r="H975" s="20" t="str">
        <f>+T975</f>
        <v/>
      </c>
      <c r="J975" s="30"/>
      <c r="K975" s="22" t="str">
        <f t="shared" si="12"/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1204</v>
      </c>
      <c r="H976" s="20" t="str">
        <f>+T976</f>
        <v/>
      </c>
      <c r="J976" s="30"/>
      <c r="K976" s="22" t="str">
        <f t="shared" si="12"/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1205</v>
      </c>
      <c r="H977" s="20" t="str">
        <f>+T977</f>
        <v/>
      </c>
      <c r="J977" s="30"/>
      <c r="K977" s="22" t="str">
        <f t="shared" si="12"/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1206</v>
      </c>
      <c r="H978" s="20" t="str">
        <f>+T978</f>
        <v/>
      </c>
      <c r="J978" s="30"/>
      <c r="K978" s="22" t="str">
        <f t="shared" si="12"/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1207</v>
      </c>
      <c r="H979" s="20" t="str">
        <f>+T979</f>
        <v/>
      </c>
      <c r="J979" s="30"/>
      <c r="K979" s="22" t="str">
        <f t="shared" si="12"/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1208</v>
      </c>
      <c r="B980" s="35"/>
      <c r="C980" s="35"/>
      <c r="D980" s="35"/>
      <c r="E980" s="35"/>
      <c r="F980" s="35"/>
      <c r="G980" s="35"/>
      <c r="H980" s="20" t="str">
        <f>+T980</f>
        <v/>
      </c>
      <c r="I980" s="35"/>
      <c r="J980" s="37"/>
      <c r="K980" s="22" t="str">
        <f t="shared" si="12"/>
        <v/>
      </c>
      <c r="L980" s="35"/>
      <c r="M980" s="35"/>
      <c r="N980" s="35"/>
      <c r="O980" s="35"/>
      <c r="P980" s="35"/>
      <c r="Q980" s="36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1209</v>
      </c>
      <c r="H981" s="20" t="str">
        <f>+T981</f>
        <v/>
      </c>
      <c r="J981" s="30"/>
      <c r="K981" s="22" t="str">
        <f t="shared" si="12"/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1210</v>
      </c>
      <c r="H982" s="20" t="str">
        <f>+T982</f>
        <v/>
      </c>
      <c r="J982" s="30"/>
      <c r="K982" s="22" t="str">
        <f t="shared" si="12"/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1211</v>
      </c>
      <c r="H983" s="20" t="str">
        <f>+T983</f>
        <v/>
      </c>
      <c r="J983" s="30"/>
      <c r="K983" s="22" t="str">
        <f t="shared" si="12"/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1212</v>
      </c>
      <c r="H984" s="20" t="str">
        <f>+T984</f>
        <v/>
      </c>
      <c r="J984" s="30"/>
      <c r="K984" s="22" t="str">
        <f t="shared" si="12"/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1213</v>
      </c>
      <c r="H985" s="20" t="str">
        <f>+T985</f>
        <v/>
      </c>
      <c r="J985" s="30"/>
      <c r="K985" s="22" t="str">
        <f t="shared" si="12"/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1214</v>
      </c>
      <c r="H986" s="20" t="str">
        <f>+T986</f>
        <v/>
      </c>
      <c r="J986" s="30"/>
      <c r="K986" s="22" t="str">
        <f t="shared" si="12"/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1215</v>
      </c>
      <c r="H987" s="20" t="str">
        <f>+T987</f>
        <v/>
      </c>
      <c r="J987" s="30"/>
      <c r="K987" s="22" t="str">
        <f t="shared" si="12"/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1216</v>
      </c>
      <c r="H988" s="20" t="str">
        <f>+T988</f>
        <v/>
      </c>
      <c r="J988" s="30"/>
      <c r="K988" s="22" t="str">
        <f t="shared" si="12"/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1217</v>
      </c>
      <c r="H989" s="20" t="str">
        <f>+T989</f>
        <v/>
      </c>
      <c r="J989" s="30"/>
      <c r="K989" s="22" t="str">
        <f t="shared" si="12"/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1218</v>
      </c>
      <c r="H990" s="20" t="str">
        <f>+T990</f>
        <v/>
      </c>
      <c r="J990" s="30"/>
      <c r="K990" s="22" t="str">
        <f t="shared" si="12"/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1219</v>
      </c>
      <c r="B991" s="35"/>
      <c r="C991" s="35"/>
      <c r="D991" s="35"/>
      <c r="E991" s="35"/>
      <c r="F991" s="35"/>
      <c r="G991" s="35"/>
      <c r="H991" s="20" t="str">
        <f>+T991</f>
        <v/>
      </c>
      <c r="I991" s="35"/>
      <c r="J991" s="37"/>
      <c r="K991" s="22" t="str">
        <f t="shared" si="12"/>
        <v/>
      </c>
      <c r="L991" s="35"/>
      <c r="M991" s="35"/>
      <c r="N991" s="35"/>
      <c r="O991" s="35"/>
      <c r="P991" s="35"/>
      <c r="Q991" s="36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1220</v>
      </c>
      <c r="H992" s="20" t="str">
        <f>+T992</f>
        <v/>
      </c>
      <c r="J992" s="30"/>
      <c r="K992" s="22" t="str">
        <f t="shared" si="12"/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1221</v>
      </c>
      <c r="H993" s="20" t="str">
        <f>+T993</f>
        <v/>
      </c>
      <c r="J993" s="30"/>
      <c r="K993" s="22" t="str">
        <f t="shared" si="12"/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1222</v>
      </c>
      <c r="H994" s="20" t="str">
        <f>+T994</f>
        <v/>
      </c>
      <c r="J994" s="30"/>
      <c r="K994" s="22" t="str">
        <f t="shared" si="12"/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1223</v>
      </c>
      <c r="H995" s="20" t="str">
        <f>+T995</f>
        <v/>
      </c>
      <c r="J995" s="30"/>
      <c r="K995" s="22" t="str">
        <f t="shared" si="12"/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1224</v>
      </c>
      <c r="H996" s="20" t="str">
        <f>+T996</f>
        <v/>
      </c>
      <c r="J996" s="30"/>
      <c r="K996" s="22" t="str">
        <f t="shared" si="12"/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1225</v>
      </c>
      <c r="H997" s="20" t="str">
        <f>+T997</f>
        <v/>
      </c>
      <c r="J997" s="30"/>
      <c r="K997" s="22" t="str">
        <f t="shared" si="12"/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1226</v>
      </c>
      <c r="H998" s="20" t="str">
        <f>+T998</f>
        <v/>
      </c>
      <c r="J998" s="30"/>
      <c r="K998" s="22" t="str">
        <f t="shared" si="12"/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1227</v>
      </c>
      <c r="H999" s="20" t="str">
        <f>+T999</f>
        <v/>
      </c>
      <c r="J999" s="30"/>
      <c r="K999" s="22" t="str">
        <f t="shared" si="12"/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1228</v>
      </c>
      <c r="H1000" s="20" t="str">
        <f>+T1000</f>
        <v/>
      </c>
      <c r="J1000" s="30"/>
      <c r="K1000" s="22" t="str">
        <f t="shared" si="12"/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1229</v>
      </c>
      <c r="H1001" s="20" t="str">
        <f>+T1001</f>
        <v/>
      </c>
      <c r="J1001" s="30"/>
      <c r="K1001" s="22" t="str">
        <f t="shared" si="12"/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1230</v>
      </c>
      <c r="B1002" s="35"/>
      <c r="C1002" s="35"/>
      <c r="D1002" s="35"/>
      <c r="E1002" s="35"/>
      <c r="F1002" s="35"/>
      <c r="G1002" s="35"/>
      <c r="H1002" s="20" t="str">
        <f>+T1002</f>
        <v/>
      </c>
      <c r="I1002" s="35"/>
      <c r="J1002" s="37"/>
      <c r="K1002" s="22" t="str">
        <f t="shared" si="12"/>
        <v/>
      </c>
      <c r="L1002" s="35"/>
      <c r="M1002" s="35"/>
      <c r="N1002" s="35"/>
      <c r="O1002" s="35"/>
      <c r="P1002" s="35"/>
      <c r="Q1002" s="36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1231</v>
      </c>
      <c r="H1003" s="20" t="str">
        <f>+T1003</f>
        <v/>
      </c>
      <c r="J1003" s="30"/>
      <c r="K1003" s="22" t="str">
        <f t="shared" si="12"/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1232</v>
      </c>
      <c r="H1004" s="20" t="str">
        <f>+T1004</f>
        <v/>
      </c>
      <c r="J1004" s="30"/>
      <c r="K1004" s="22" t="str">
        <f t="shared" si="12"/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1233</v>
      </c>
      <c r="H1005" s="20" t="str">
        <f>+T1005</f>
        <v/>
      </c>
      <c r="J1005" s="30"/>
      <c r="K1005" s="22" t="str">
        <f t="shared" si="12"/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1234</v>
      </c>
      <c r="H1006" s="20" t="str">
        <f>+T1006</f>
        <v/>
      </c>
      <c r="J1006" s="30"/>
      <c r="K1006" s="22" t="str">
        <f t="shared" si="12"/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1235</v>
      </c>
      <c r="H1007" s="20" t="str">
        <f>+T1007</f>
        <v/>
      </c>
      <c r="J1007" s="30"/>
      <c r="K1007" s="22" t="str">
        <f t="shared" si="12"/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1236</v>
      </c>
      <c r="H1008" s="20" t="str">
        <f>+T1008</f>
        <v/>
      </c>
      <c r="J1008" s="30"/>
      <c r="K1008" s="22" t="str">
        <f t="shared" si="12"/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1237</v>
      </c>
      <c r="H1009" s="20" t="str">
        <f>+T1009</f>
        <v/>
      </c>
      <c r="J1009" s="30"/>
      <c r="K1009" s="22" t="str">
        <f t="shared" si="12"/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1238</v>
      </c>
      <c r="H1010" s="20" t="str">
        <f>+T1010</f>
        <v/>
      </c>
      <c r="J1010" s="30"/>
      <c r="K1010" s="22" t="str">
        <f t="shared" si="12"/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1239</v>
      </c>
      <c r="H1011" s="20" t="str">
        <f>+T1011</f>
        <v/>
      </c>
      <c r="J1011" s="30"/>
      <c r="K1011" s="22" t="str">
        <f t="shared" si="12"/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1240</v>
      </c>
      <c r="H1012" s="20" t="str">
        <f>+T1012</f>
        <v/>
      </c>
      <c r="J1012" s="30"/>
      <c r="K1012" s="22" t="str">
        <f t="shared" si="12"/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1241</v>
      </c>
      <c r="B1013" s="35"/>
      <c r="C1013" s="35"/>
      <c r="D1013" s="35"/>
      <c r="E1013" s="35"/>
      <c r="F1013" s="35"/>
      <c r="G1013" s="35"/>
      <c r="H1013" s="20" t="str">
        <f>+T1013</f>
        <v/>
      </c>
      <c r="I1013" s="35"/>
      <c r="J1013" s="37"/>
      <c r="K1013" s="22" t="str">
        <f t="shared" si="12"/>
        <v/>
      </c>
      <c r="L1013" s="35"/>
      <c r="M1013" s="35"/>
      <c r="N1013" s="35"/>
      <c r="O1013" s="35"/>
      <c r="P1013" s="35"/>
      <c r="Q1013" s="36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1242</v>
      </c>
      <c r="H1014" s="20" t="str">
        <f>+T1014</f>
        <v/>
      </c>
      <c r="J1014" s="30"/>
      <c r="K1014" s="22" t="str">
        <f t="shared" si="12"/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1243</v>
      </c>
      <c r="H1015" s="20" t="str">
        <f>+T1015</f>
        <v/>
      </c>
      <c r="J1015" s="30"/>
      <c r="K1015" s="22" t="str">
        <f t="shared" si="12"/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1244</v>
      </c>
      <c r="H1016" s="20" t="str">
        <f>+T1016</f>
        <v/>
      </c>
      <c r="J1016" s="30"/>
      <c r="K1016" s="22" t="str">
        <f t="shared" si="12"/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1245</v>
      </c>
      <c r="H1017" s="20" t="str">
        <f>+T1017</f>
        <v/>
      </c>
      <c r="J1017" s="30"/>
      <c r="K1017" s="22" t="str">
        <f t="shared" si="12"/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1246</v>
      </c>
      <c r="H1018" s="20" t="str">
        <f>+T1018</f>
        <v/>
      </c>
      <c r="J1018" s="30"/>
      <c r="K1018" s="22" t="str">
        <f t="shared" si="12"/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1247</v>
      </c>
      <c r="H1019" s="20" t="str">
        <f>+T1019</f>
        <v/>
      </c>
      <c r="J1019" s="30"/>
      <c r="K1019" s="22" t="str">
        <f t="shared" si="12"/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1248</v>
      </c>
      <c r="H1020" s="20" t="str">
        <f>+T1020</f>
        <v/>
      </c>
      <c r="J1020" s="30"/>
      <c r="K1020" s="22" t="str">
        <f t="shared" si="12"/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1249</v>
      </c>
      <c r="H1021" s="20" t="str">
        <f>+T1021</f>
        <v/>
      </c>
      <c r="J1021" s="30"/>
      <c r="K1021" s="22" t="str">
        <f t="shared" si="12"/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1250</v>
      </c>
      <c r="H1022" s="20" t="str">
        <f>+T1022</f>
        <v/>
      </c>
      <c r="J1022" s="30"/>
      <c r="K1022" s="22" t="str">
        <f t="shared" ref="K1022:K1085" si="13"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1251</v>
      </c>
      <c r="H1023" s="20" t="str">
        <f>+T1023</f>
        <v/>
      </c>
      <c r="J1023" s="30"/>
      <c r="K1023" s="22" t="str">
        <f t="shared" si="13"/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1252</v>
      </c>
      <c r="B1024" s="35"/>
      <c r="C1024" s="35"/>
      <c r="D1024" s="35"/>
      <c r="E1024" s="35"/>
      <c r="F1024" s="35"/>
      <c r="G1024" s="35"/>
      <c r="H1024" s="20" t="str">
        <f>+T1024</f>
        <v/>
      </c>
      <c r="I1024" s="35"/>
      <c r="J1024" s="37"/>
      <c r="K1024" s="22" t="str">
        <f t="shared" si="13"/>
        <v/>
      </c>
      <c r="L1024" s="35"/>
      <c r="M1024" s="35"/>
      <c r="N1024" s="35"/>
      <c r="O1024" s="35"/>
      <c r="P1024" s="35"/>
      <c r="Q1024" s="36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1253</v>
      </c>
      <c r="H1025" s="20" t="str">
        <f>+T1025</f>
        <v/>
      </c>
      <c r="J1025" s="30"/>
      <c r="K1025" s="22" t="str">
        <f t="shared" si="13"/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1254</v>
      </c>
      <c r="H1026" s="20" t="str">
        <f>+T1026</f>
        <v/>
      </c>
      <c r="J1026" s="30"/>
      <c r="K1026" s="22" t="str">
        <f t="shared" si="13"/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1255</v>
      </c>
      <c r="H1027" s="20" t="str">
        <f>+T1027</f>
        <v/>
      </c>
      <c r="J1027" s="30"/>
      <c r="K1027" s="22" t="str">
        <f t="shared" si="13"/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1256</v>
      </c>
      <c r="H1028" s="20" t="str">
        <f>+T1028</f>
        <v/>
      </c>
      <c r="J1028" s="30"/>
      <c r="K1028" s="22" t="str">
        <f t="shared" si="13"/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1257</v>
      </c>
      <c r="H1029" s="20" t="str">
        <f>+T1029</f>
        <v/>
      </c>
      <c r="J1029" s="30"/>
      <c r="K1029" s="22" t="str">
        <f t="shared" si="13"/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1258</v>
      </c>
      <c r="H1030" s="20" t="str">
        <f>+T1030</f>
        <v/>
      </c>
      <c r="J1030" s="30"/>
      <c r="K1030" s="22" t="str">
        <f t="shared" si="13"/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1259</v>
      </c>
      <c r="H1031" s="20" t="str">
        <f>+T1031</f>
        <v/>
      </c>
      <c r="J1031" s="30"/>
      <c r="K1031" s="22" t="str">
        <f t="shared" si="13"/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1260</v>
      </c>
      <c r="H1032" s="20" t="str">
        <f>+T1032</f>
        <v/>
      </c>
      <c r="J1032" s="30"/>
      <c r="K1032" s="22" t="str">
        <f t="shared" si="13"/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1261</v>
      </c>
      <c r="H1033" s="20" t="str">
        <f>+T1033</f>
        <v/>
      </c>
      <c r="J1033" s="30"/>
      <c r="K1033" s="22" t="str">
        <f t="shared" si="13"/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1262</v>
      </c>
      <c r="H1034" s="20" t="str">
        <f>+T1034</f>
        <v/>
      </c>
      <c r="J1034" s="30"/>
      <c r="K1034" s="22" t="str">
        <f t="shared" si="13"/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1263</v>
      </c>
      <c r="B1035" s="35"/>
      <c r="C1035" s="35"/>
      <c r="D1035" s="35"/>
      <c r="E1035" s="35"/>
      <c r="F1035" s="35"/>
      <c r="G1035" s="35"/>
      <c r="H1035" s="20" t="str">
        <f>+T1035</f>
        <v/>
      </c>
      <c r="I1035" s="35"/>
      <c r="J1035" s="37"/>
      <c r="K1035" s="22" t="str">
        <f t="shared" si="13"/>
        <v/>
      </c>
      <c r="L1035" s="35"/>
      <c r="M1035" s="35"/>
      <c r="N1035" s="35"/>
      <c r="O1035" s="35"/>
      <c r="P1035" s="35"/>
      <c r="Q1035" s="36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1264</v>
      </c>
      <c r="H1036" s="20" t="str">
        <f>+T1036</f>
        <v/>
      </c>
      <c r="J1036" s="30"/>
      <c r="K1036" s="22" t="str">
        <f t="shared" si="13"/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1265</v>
      </c>
      <c r="H1037" s="20" t="str">
        <f>+T1037</f>
        <v/>
      </c>
      <c r="J1037" s="30"/>
      <c r="K1037" s="22" t="str">
        <f t="shared" si="13"/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1266</v>
      </c>
      <c r="H1038" s="20" t="str">
        <f>+T1038</f>
        <v/>
      </c>
      <c r="J1038" s="30"/>
      <c r="K1038" s="22" t="str">
        <f t="shared" si="13"/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1267</v>
      </c>
      <c r="H1039" s="20" t="str">
        <f>+T1039</f>
        <v/>
      </c>
      <c r="J1039" s="30"/>
      <c r="K1039" s="22" t="str">
        <f t="shared" si="13"/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1268</v>
      </c>
      <c r="H1040" s="20" t="str">
        <f>+T1040</f>
        <v/>
      </c>
      <c r="J1040" s="30"/>
      <c r="K1040" s="22" t="str">
        <f t="shared" si="13"/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1269</v>
      </c>
      <c r="H1041" s="20" t="str">
        <f>+T1041</f>
        <v/>
      </c>
      <c r="J1041" s="30"/>
      <c r="K1041" s="22" t="str">
        <f t="shared" si="13"/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1270</v>
      </c>
      <c r="H1042" s="20" t="str">
        <f>+T1042</f>
        <v/>
      </c>
      <c r="J1042" s="30"/>
      <c r="K1042" s="22" t="str">
        <f t="shared" si="13"/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1271</v>
      </c>
      <c r="H1043" s="20" t="str">
        <f>+T1043</f>
        <v/>
      </c>
      <c r="J1043" s="30"/>
      <c r="K1043" s="22" t="str">
        <f t="shared" si="13"/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1272</v>
      </c>
      <c r="H1044" s="20" t="str">
        <f>+T1044</f>
        <v/>
      </c>
      <c r="J1044" s="30"/>
      <c r="K1044" s="22" t="str">
        <f t="shared" si="13"/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1273</v>
      </c>
      <c r="H1045" s="20" t="str">
        <f>+T1045</f>
        <v/>
      </c>
      <c r="J1045" s="30"/>
      <c r="K1045" s="22" t="str">
        <f t="shared" si="13"/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1274</v>
      </c>
      <c r="B1046" s="35"/>
      <c r="C1046" s="35"/>
      <c r="D1046" s="35"/>
      <c r="E1046" s="35"/>
      <c r="F1046" s="35"/>
      <c r="G1046" s="35"/>
      <c r="H1046" s="20" t="str">
        <f>+T1046</f>
        <v/>
      </c>
      <c r="I1046" s="35"/>
      <c r="J1046" s="37"/>
      <c r="K1046" s="22" t="str">
        <f t="shared" si="13"/>
        <v/>
      </c>
      <c r="L1046" s="35"/>
      <c r="M1046" s="35"/>
      <c r="N1046" s="35"/>
      <c r="O1046" s="35"/>
      <c r="P1046" s="35"/>
      <c r="Q1046" s="36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1275</v>
      </c>
      <c r="H1047" s="20" t="str">
        <f>+T1047</f>
        <v/>
      </c>
      <c r="J1047" s="30"/>
      <c r="K1047" s="22" t="str">
        <f t="shared" si="13"/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1276</v>
      </c>
      <c r="H1048" s="20" t="str">
        <f>+T1048</f>
        <v/>
      </c>
      <c r="J1048" s="30"/>
      <c r="K1048" s="22" t="str">
        <f t="shared" si="13"/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1277</v>
      </c>
      <c r="H1049" s="20" t="str">
        <f>+T1049</f>
        <v/>
      </c>
      <c r="J1049" s="30"/>
      <c r="K1049" s="22" t="str">
        <f t="shared" si="13"/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1278</v>
      </c>
      <c r="H1050" s="20" t="str">
        <f>+T1050</f>
        <v/>
      </c>
      <c r="J1050" s="30"/>
      <c r="K1050" s="22" t="str">
        <f t="shared" si="13"/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1279</v>
      </c>
      <c r="H1051" s="20" t="str">
        <f>+T1051</f>
        <v/>
      </c>
      <c r="J1051" s="30"/>
      <c r="K1051" s="22" t="str">
        <f t="shared" si="13"/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1280</v>
      </c>
      <c r="H1052" s="20" t="str">
        <f>+T1052</f>
        <v/>
      </c>
      <c r="J1052" s="30"/>
      <c r="K1052" s="22" t="str">
        <f t="shared" si="13"/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1281</v>
      </c>
      <c r="H1053" s="20" t="str">
        <f>+T1053</f>
        <v/>
      </c>
      <c r="J1053" s="30"/>
      <c r="K1053" s="22" t="str">
        <f t="shared" si="13"/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1282</v>
      </c>
      <c r="H1054" s="20" t="str">
        <f>+T1054</f>
        <v/>
      </c>
      <c r="J1054" s="30"/>
      <c r="K1054" s="22" t="str">
        <f t="shared" si="13"/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1283</v>
      </c>
      <c r="H1055" s="20" t="str">
        <f>+T1055</f>
        <v/>
      </c>
      <c r="J1055" s="30"/>
      <c r="K1055" s="22" t="str">
        <f t="shared" si="13"/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1284</v>
      </c>
      <c r="H1056" s="20" t="str">
        <f>+T1056</f>
        <v/>
      </c>
      <c r="J1056" s="30"/>
      <c r="K1056" s="22" t="str">
        <f t="shared" si="13"/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1285</v>
      </c>
      <c r="B1057" s="35"/>
      <c r="C1057" s="35"/>
      <c r="D1057" s="35"/>
      <c r="E1057" s="35"/>
      <c r="F1057" s="35"/>
      <c r="G1057" s="35"/>
      <c r="H1057" s="20" t="str">
        <f>+T1057</f>
        <v/>
      </c>
      <c r="I1057" s="35"/>
      <c r="J1057" s="37"/>
      <c r="K1057" s="22" t="str">
        <f t="shared" si="13"/>
        <v/>
      </c>
      <c r="L1057" s="35"/>
      <c r="M1057" s="35"/>
      <c r="N1057" s="35"/>
      <c r="O1057" s="35"/>
      <c r="P1057" s="35"/>
      <c r="Q1057" s="36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1286</v>
      </c>
      <c r="H1058" s="20" t="str">
        <f>+T1058</f>
        <v/>
      </c>
      <c r="J1058" s="30"/>
      <c r="K1058" s="22" t="str">
        <f t="shared" si="13"/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1287</v>
      </c>
      <c r="H1059" s="20" t="str">
        <f>+T1059</f>
        <v/>
      </c>
      <c r="J1059" s="30"/>
      <c r="K1059" s="22" t="str">
        <f t="shared" si="13"/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1288</v>
      </c>
      <c r="H1060" s="20" t="str">
        <f>+T1060</f>
        <v/>
      </c>
      <c r="J1060" s="30"/>
      <c r="K1060" s="22" t="str">
        <f t="shared" si="13"/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1289</v>
      </c>
      <c r="H1061" s="20" t="str">
        <f>+T1061</f>
        <v/>
      </c>
      <c r="J1061" s="30"/>
      <c r="K1061" s="22" t="str">
        <f t="shared" si="13"/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1290</v>
      </c>
      <c r="H1062" s="20" t="str">
        <f>+T1062</f>
        <v/>
      </c>
      <c r="J1062" s="30"/>
      <c r="K1062" s="22" t="str">
        <f t="shared" si="13"/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1291</v>
      </c>
      <c r="H1063" s="20" t="str">
        <f>+T1063</f>
        <v/>
      </c>
      <c r="J1063" s="30"/>
      <c r="K1063" s="22" t="str">
        <f t="shared" si="13"/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1292</v>
      </c>
      <c r="H1064" s="20" t="str">
        <f>+T1064</f>
        <v/>
      </c>
      <c r="J1064" s="30"/>
      <c r="K1064" s="22" t="str">
        <f t="shared" si="13"/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1293</v>
      </c>
      <c r="H1065" s="20" t="str">
        <f>+T1065</f>
        <v/>
      </c>
      <c r="J1065" s="30"/>
      <c r="K1065" s="22" t="str">
        <f t="shared" si="13"/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1294</v>
      </c>
      <c r="H1066" s="20" t="str">
        <f>+T1066</f>
        <v/>
      </c>
      <c r="J1066" s="30"/>
      <c r="K1066" s="22" t="str">
        <f t="shared" si="13"/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1295</v>
      </c>
      <c r="H1067" s="20" t="str">
        <f>+T1067</f>
        <v/>
      </c>
      <c r="J1067" s="30"/>
      <c r="K1067" s="22" t="str">
        <f t="shared" si="13"/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1296</v>
      </c>
      <c r="B1068" s="35"/>
      <c r="C1068" s="35"/>
      <c r="D1068" s="35"/>
      <c r="E1068" s="35"/>
      <c r="F1068" s="35"/>
      <c r="G1068" s="35"/>
      <c r="H1068" s="20" t="str">
        <f>+T1068</f>
        <v/>
      </c>
      <c r="I1068" s="35"/>
      <c r="J1068" s="37"/>
      <c r="K1068" s="22" t="str">
        <f t="shared" si="13"/>
        <v/>
      </c>
      <c r="L1068" s="35"/>
      <c r="M1068" s="35"/>
      <c r="N1068" s="35"/>
      <c r="O1068" s="35"/>
      <c r="P1068" s="35"/>
      <c r="Q1068" s="36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1297</v>
      </c>
      <c r="H1069" s="20" t="str">
        <f>+T1069</f>
        <v/>
      </c>
      <c r="J1069" s="30"/>
      <c r="K1069" s="22" t="str">
        <f t="shared" si="13"/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1298</v>
      </c>
      <c r="H1070" s="20" t="str">
        <f>+T1070</f>
        <v/>
      </c>
      <c r="J1070" s="30"/>
      <c r="K1070" s="22" t="str">
        <f t="shared" si="13"/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1299</v>
      </c>
      <c r="H1071" s="20" t="str">
        <f>+T1071</f>
        <v/>
      </c>
      <c r="J1071" s="30"/>
      <c r="K1071" s="22" t="str">
        <f t="shared" si="13"/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1300</v>
      </c>
      <c r="H1072" s="20" t="str">
        <f>+T1072</f>
        <v/>
      </c>
      <c r="J1072" s="30"/>
      <c r="K1072" s="22" t="str">
        <f t="shared" si="13"/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1301</v>
      </c>
      <c r="H1073" s="20" t="str">
        <f>+T1073</f>
        <v/>
      </c>
      <c r="J1073" s="30"/>
      <c r="K1073" s="22" t="str">
        <f t="shared" si="13"/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1302</v>
      </c>
      <c r="H1074" s="20" t="str">
        <f>+T1074</f>
        <v/>
      </c>
      <c r="J1074" s="30"/>
      <c r="K1074" s="22" t="str">
        <f t="shared" si="13"/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1303</v>
      </c>
      <c r="H1075" s="20" t="str">
        <f>+T1075</f>
        <v/>
      </c>
      <c r="J1075" s="30"/>
      <c r="K1075" s="22" t="str">
        <f t="shared" si="13"/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1304</v>
      </c>
      <c r="H1076" s="20" t="str">
        <f>+T1076</f>
        <v/>
      </c>
      <c r="J1076" s="30"/>
      <c r="K1076" s="22" t="str">
        <f t="shared" si="13"/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1305</v>
      </c>
      <c r="H1077" s="20" t="str">
        <f>+T1077</f>
        <v/>
      </c>
      <c r="J1077" s="30"/>
      <c r="K1077" s="22" t="str">
        <f t="shared" si="13"/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1306</v>
      </c>
      <c r="H1078" s="20" t="str">
        <f>+T1078</f>
        <v/>
      </c>
      <c r="J1078" s="30"/>
      <c r="K1078" s="22" t="str">
        <f t="shared" si="13"/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1307</v>
      </c>
      <c r="B1079" s="35"/>
      <c r="C1079" s="35"/>
      <c r="D1079" s="35"/>
      <c r="E1079" s="35"/>
      <c r="F1079" s="35"/>
      <c r="G1079" s="35"/>
      <c r="H1079" s="20" t="str">
        <f>+T1079</f>
        <v/>
      </c>
      <c r="I1079" s="35"/>
      <c r="J1079" s="37"/>
      <c r="K1079" s="22" t="str">
        <f t="shared" si="13"/>
        <v/>
      </c>
      <c r="L1079" s="35"/>
      <c r="M1079" s="35"/>
      <c r="N1079" s="35"/>
      <c r="O1079" s="35"/>
      <c r="P1079" s="35"/>
      <c r="Q1079" s="36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1308</v>
      </c>
      <c r="H1080" s="20" t="str">
        <f>+T1080</f>
        <v/>
      </c>
      <c r="J1080" s="30"/>
      <c r="K1080" s="22" t="str">
        <f t="shared" si="13"/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1309</v>
      </c>
      <c r="H1081" s="20" t="str">
        <f>+T1081</f>
        <v/>
      </c>
      <c r="J1081" s="30"/>
      <c r="K1081" s="22" t="str">
        <f t="shared" si="13"/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1310</v>
      </c>
      <c r="H1082" s="20" t="str">
        <f>+T1082</f>
        <v/>
      </c>
      <c r="J1082" s="30"/>
      <c r="K1082" s="22" t="str">
        <f t="shared" si="13"/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1311</v>
      </c>
      <c r="H1083" s="20" t="str">
        <f>+T1083</f>
        <v/>
      </c>
      <c r="J1083" s="30"/>
      <c r="K1083" s="22" t="str">
        <f t="shared" si="13"/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1312</v>
      </c>
      <c r="H1084" s="20" t="str">
        <f>+T1084</f>
        <v/>
      </c>
      <c r="J1084" s="30"/>
      <c r="K1084" s="22" t="str">
        <f t="shared" si="13"/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1313</v>
      </c>
      <c r="H1085" s="20" t="str">
        <f>+T1085</f>
        <v/>
      </c>
      <c r="J1085" s="30"/>
      <c r="K1085" s="22" t="str">
        <f t="shared" si="13"/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1314</v>
      </c>
      <c r="H1086" s="20" t="str">
        <f>+T1086</f>
        <v/>
      </c>
      <c r="J1086" s="30"/>
      <c r="K1086" s="22" t="str">
        <f t="shared" ref="K1086:K1149" si="14"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1315</v>
      </c>
      <c r="H1087" s="20" t="str">
        <f>+T1087</f>
        <v/>
      </c>
      <c r="J1087" s="30"/>
      <c r="K1087" s="22" t="str">
        <f t="shared" si="14"/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1316</v>
      </c>
      <c r="H1088" s="20" t="str">
        <f>+T1088</f>
        <v/>
      </c>
      <c r="J1088" s="30"/>
      <c r="K1088" s="22" t="str">
        <f t="shared" si="14"/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1317</v>
      </c>
      <c r="H1089" s="20" t="str">
        <f>+T1089</f>
        <v/>
      </c>
      <c r="J1089" s="30"/>
      <c r="K1089" s="22" t="str">
        <f t="shared" si="14"/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1318</v>
      </c>
      <c r="B1090" s="35"/>
      <c r="C1090" s="35"/>
      <c r="D1090" s="35"/>
      <c r="E1090" s="35"/>
      <c r="F1090" s="35"/>
      <c r="G1090" s="35"/>
      <c r="H1090" s="20" t="str">
        <f>+T1090</f>
        <v/>
      </c>
      <c r="I1090" s="35"/>
      <c r="J1090" s="37"/>
      <c r="K1090" s="22" t="str">
        <f t="shared" si="14"/>
        <v/>
      </c>
      <c r="L1090" s="35"/>
      <c r="M1090" s="35"/>
      <c r="N1090" s="35"/>
      <c r="O1090" s="35"/>
      <c r="P1090" s="35"/>
      <c r="Q1090" s="36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1319</v>
      </c>
      <c r="H1091" s="20" t="str">
        <f>+T1091</f>
        <v/>
      </c>
      <c r="J1091" s="30"/>
      <c r="K1091" s="22" t="str">
        <f t="shared" si="14"/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1320</v>
      </c>
      <c r="H1092" s="20" t="str">
        <f>+T1092</f>
        <v/>
      </c>
      <c r="J1092" s="30"/>
      <c r="K1092" s="22" t="str">
        <f t="shared" si="14"/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1321</v>
      </c>
      <c r="H1093" s="20" t="str">
        <f>+T1093</f>
        <v/>
      </c>
      <c r="J1093" s="30"/>
      <c r="K1093" s="22" t="str">
        <f t="shared" si="14"/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1322</v>
      </c>
      <c r="H1094" s="20" t="str">
        <f>+T1094</f>
        <v/>
      </c>
      <c r="J1094" s="30"/>
      <c r="K1094" s="22" t="str">
        <f t="shared" si="14"/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1323</v>
      </c>
      <c r="H1095" s="20" t="str">
        <f>+T1095</f>
        <v/>
      </c>
      <c r="J1095" s="30"/>
      <c r="K1095" s="22" t="str">
        <f t="shared" si="14"/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1324</v>
      </c>
      <c r="H1096" s="20" t="str">
        <f>+T1096</f>
        <v/>
      </c>
      <c r="J1096" s="30"/>
      <c r="K1096" s="22" t="str">
        <f t="shared" si="14"/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1325</v>
      </c>
      <c r="H1097" s="20" t="str">
        <f>+T1097</f>
        <v/>
      </c>
      <c r="J1097" s="30"/>
      <c r="K1097" s="22" t="str">
        <f t="shared" si="14"/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1326</v>
      </c>
      <c r="H1098" s="20" t="str">
        <f>+T1098</f>
        <v/>
      </c>
      <c r="J1098" s="30"/>
      <c r="K1098" s="22" t="str">
        <f t="shared" si="14"/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1327</v>
      </c>
      <c r="H1099" s="20" t="str">
        <f>+T1099</f>
        <v/>
      </c>
      <c r="J1099" s="30"/>
      <c r="K1099" s="22" t="str">
        <f t="shared" si="14"/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1328</v>
      </c>
      <c r="H1100" s="20" t="str">
        <f>+T1100</f>
        <v/>
      </c>
      <c r="J1100" s="30"/>
      <c r="K1100" s="22" t="str">
        <f t="shared" si="14"/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1329</v>
      </c>
      <c r="B1101" s="35"/>
      <c r="C1101" s="35"/>
      <c r="D1101" s="35"/>
      <c r="E1101" s="35"/>
      <c r="F1101" s="35"/>
      <c r="G1101" s="35"/>
      <c r="H1101" s="20" t="str">
        <f>+T1101</f>
        <v/>
      </c>
      <c r="I1101" s="35"/>
      <c r="J1101" s="37"/>
      <c r="K1101" s="22" t="str">
        <f t="shared" si="14"/>
        <v/>
      </c>
      <c r="L1101" s="35"/>
      <c r="M1101" s="35"/>
      <c r="N1101" s="35"/>
      <c r="O1101" s="35"/>
      <c r="P1101" s="35"/>
      <c r="Q1101" s="36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1330</v>
      </c>
      <c r="H1102" s="20" t="str">
        <f>+T1102</f>
        <v/>
      </c>
      <c r="J1102" s="30"/>
      <c r="K1102" s="22" t="str">
        <f t="shared" si="14"/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1331</v>
      </c>
      <c r="H1103" s="20" t="str">
        <f>+T1103</f>
        <v/>
      </c>
      <c r="J1103" s="30"/>
      <c r="K1103" s="22" t="str">
        <f t="shared" si="14"/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1332</v>
      </c>
      <c r="H1104" s="20" t="str">
        <f>+T1104</f>
        <v/>
      </c>
      <c r="J1104" s="30"/>
      <c r="K1104" s="22" t="str">
        <f t="shared" si="14"/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1333</v>
      </c>
      <c r="H1105" s="20" t="str">
        <f>+T1105</f>
        <v/>
      </c>
      <c r="J1105" s="30"/>
      <c r="K1105" s="22" t="str">
        <f t="shared" si="14"/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1334</v>
      </c>
      <c r="H1106" s="20" t="str">
        <f>+T1106</f>
        <v/>
      </c>
      <c r="J1106" s="30"/>
      <c r="K1106" s="22" t="str">
        <f t="shared" si="14"/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1335</v>
      </c>
      <c r="H1107" s="20" t="str">
        <f>+T1107</f>
        <v/>
      </c>
      <c r="J1107" s="30"/>
      <c r="K1107" s="22" t="str">
        <f t="shared" si="14"/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1336</v>
      </c>
      <c r="H1108" s="20" t="str">
        <f>+T1108</f>
        <v/>
      </c>
      <c r="J1108" s="30"/>
      <c r="K1108" s="22" t="str">
        <f t="shared" si="14"/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1337</v>
      </c>
      <c r="H1109" s="20" t="str">
        <f>+T1109</f>
        <v/>
      </c>
      <c r="J1109" s="30"/>
      <c r="K1109" s="22" t="str">
        <f t="shared" si="14"/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1338</v>
      </c>
      <c r="H1110" s="20" t="str">
        <f>+T1110</f>
        <v/>
      </c>
      <c r="J1110" s="30"/>
      <c r="K1110" s="22" t="str">
        <f t="shared" si="14"/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1339</v>
      </c>
      <c r="H1111" s="20" t="str">
        <f>+T1111</f>
        <v/>
      </c>
      <c r="J1111" s="30"/>
      <c r="K1111" s="22" t="str">
        <f t="shared" si="14"/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1340</v>
      </c>
      <c r="B1112" s="35"/>
      <c r="C1112" s="35"/>
      <c r="D1112" s="35"/>
      <c r="E1112" s="35"/>
      <c r="F1112" s="35"/>
      <c r="G1112" s="35"/>
      <c r="H1112" s="20" t="str">
        <f>+T1112</f>
        <v/>
      </c>
      <c r="I1112" s="35"/>
      <c r="J1112" s="37"/>
      <c r="K1112" s="22" t="str">
        <f t="shared" si="14"/>
        <v/>
      </c>
      <c r="L1112" s="35"/>
      <c r="M1112" s="35"/>
      <c r="N1112" s="35"/>
      <c r="O1112" s="35"/>
      <c r="P1112" s="35"/>
      <c r="Q1112" s="36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1341</v>
      </c>
      <c r="H1113" s="20" t="str">
        <f>+T1113</f>
        <v/>
      </c>
      <c r="J1113" s="30"/>
      <c r="K1113" s="22" t="str">
        <f t="shared" si="14"/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1342</v>
      </c>
      <c r="H1114" s="20" t="str">
        <f>+T1114</f>
        <v/>
      </c>
      <c r="J1114" s="30"/>
      <c r="K1114" s="22" t="str">
        <f t="shared" si="14"/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1343</v>
      </c>
      <c r="H1115" s="20" t="str">
        <f>+T1115</f>
        <v/>
      </c>
      <c r="J1115" s="30"/>
      <c r="K1115" s="22" t="str">
        <f t="shared" si="14"/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1344</v>
      </c>
      <c r="H1116" s="20" t="str">
        <f>+T1116</f>
        <v/>
      </c>
      <c r="J1116" s="30"/>
      <c r="K1116" s="22" t="str">
        <f t="shared" si="14"/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1345</v>
      </c>
      <c r="H1117" s="20" t="str">
        <f>+T1117</f>
        <v/>
      </c>
      <c r="J1117" s="30"/>
      <c r="K1117" s="22" t="str">
        <f t="shared" si="14"/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1346</v>
      </c>
      <c r="H1118" s="20" t="str">
        <f>+T1118</f>
        <v/>
      </c>
      <c r="J1118" s="30"/>
      <c r="K1118" s="22" t="str">
        <f t="shared" si="14"/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1347</v>
      </c>
      <c r="H1119" s="20" t="str">
        <f>+T1119</f>
        <v/>
      </c>
      <c r="J1119" s="30"/>
      <c r="K1119" s="22" t="str">
        <f t="shared" si="14"/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1348</v>
      </c>
      <c r="H1120" s="20" t="str">
        <f>+T1120</f>
        <v/>
      </c>
      <c r="J1120" s="30"/>
      <c r="K1120" s="22" t="str">
        <f t="shared" si="14"/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1349</v>
      </c>
      <c r="H1121" s="20" t="str">
        <f>+T1121</f>
        <v/>
      </c>
      <c r="J1121" s="30"/>
      <c r="K1121" s="22" t="str">
        <f t="shared" si="14"/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1350</v>
      </c>
      <c r="H1122" s="20" t="str">
        <f>+T1122</f>
        <v/>
      </c>
      <c r="J1122" s="30"/>
      <c r="K1122" s="22" t="str">
        <f t="shared" si="14"/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1351</v>
      </c>
      <c r="B1123" s="35"/>
      <c r="C1123" s="35"/>
      <c r="D1123" s="35"/>
      <c r="E1123" s="35"/>
      <c r="F1123" s="35"/>
      <c r="G1123" s="35"/>
      <c r="H1123" s="20" t="str">
        <f>+T1123</f>
        <v/>
      </c>
      <c r="I1123" s="35"/>
      <c r="J1123" s="37"/>
      <c r="K1123" s="22" t="str">
        <f t="shared" si="14"/>
        <v/>
      </c>
      <c r="L1123" s="35"/>
      <c r="M1123" s="35"/>
      <c r="N1123" s="35"/>
      <c r="O1123" s="35"/>
      <c r="P1123" s="35"/>
      <c r="Q1123" s="36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1352</v>
      </c>
      <c r="H1124" s="20" t="str">
        <f>+T1124</f>
        <v/>
      </c>
      <c r="J1124" s="30"/>
      <c r="K1124" s="22" t="str">
        <f t="shared" si="14"/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1353</v>
      </c>
      <c r="H1125" s="20" t="str">
        <f>+T1125</f>
        <v/>
      </c>
      <c r="J1125" s="30"/>
      <c r="K1125" s="22" t="str">
        <f t="shared" si="14"/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1354</v>
      </c>
      <c r="H1126" s="20" t="str">
        <f>+T1126</f>
        <v/>
      </c>
      <c r="J1126" s="30"/>
      <c r="K1126" s="22" t="str">
        <f t="shared" si="14"/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1355</v>
      </c>
      <c r="H1127" s="20" t="str">
        <f>+T1127</f>
        <v/>
      </c>
      <c r="J1127" s="30"/>
      <c r="K1127" s="22" t="str">
        <f t="shared" si="14"/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1356</v>
      </c>
      <c r="H1128" s="20" t="str">
        <f>+T1128</f>
        <v/>
      </c>
      <c r="J1128" s="30"/>
      <c r="K1128" s="22" t="str">
        <f t="shared" si="14"/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1357</v>
      </c>
      <c r="H1129" s="20" t="str">
        <f>+T1129</f>
        <v/>
      </c>
      <c r="J1129" s="30"/>
      <c r="K1129" s="22" t="str">
        <f t="shared" si="14"/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1358</v>
      </c>
      <c r="H1130" s="20" t="str">
        <f>+T1130</f>
        <v/>
      </c>
      <c r="J1130" s="30"/>
      <c r="K1130" s="22" t="str">
        <f t="shared" si="14"/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1359</v>
      </c>
      <c r="H1131" s="20" t="str">
        <f>+T1131</f>
        <v/>
      </c>
      <c r="J1131" s="30"/>
      <c r="K1131" s="22" t="str">
        <f t="shared" si="14"/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1360</v>
      </c>
      <c r="H1132" s="20" t="str">
        <f>+T1132</f>
        <v/>
      </c>
      <c r="J1132" s="30"/>
      <c r="K1132" s="22" t="str">
        <f t="shared" si="14"/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1361</v>
      </c>
      <c r="H1133" s="20" t="str">
        <f>+T1133</f>
        <v/>
      </c>
      <c r="J1133" s="30"/>
      <c r="K1133" s="22" t="str">
        <f t="shared" si="14"/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1362</v>
      </c>
      <c r="B1134" s="35"/>
      <c r="C1134" s="35"/>
      <c r="D1134" s="35"/>
      <c r="E1134" s="35"/>
      <c r="F1134" s="35"/>
      <c r="G1134" s="35"/>
      <c r="H1134" s="20" t="str">
        <f>+T1134</f>
        <v/>
      </c>
      <c r="I1134" s="35"/>
      <c r="J1134" s="37"/>
      <c r="K1134" s="22" t="str">
        <f t="shared" si="14"/>
        <v/>
      </c>
      <c r="L1134" s="35"/>
      <c r="M1134" s="35"/>
      <c r="N1134" s="35"/>
      <c r="O1134" s="35"/>
      <c r="P1134" s="35"/>
      <c r="Q1134" s="36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1363</v>
      </c>
      <c r="H1135" s="20" t="str">
        <f>+T1135</f>
        <v/>
      </c>
      <c r="J1135" s="30"/>
      <c r="K1135" s="22" t="str">
        <f t="shared" si="14"/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1364</v>
      </c>
      <c r="H1136" s="20" t="str">
        <f>+T1136</f>
        <v/>
      </c>
      <c r="J1136" s="30"/>
      <c r="K1136" s="22" t="str">
        <f t="shared" si="14"/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1365</v>
      </c>
      <c r="H1137" s="20" t="str">
        <f>+T1137</f>
        <v/>
      </c>
      <c r="J1137" s="30"/>
      <c r="K1137" s="22" t="str">
        <f t="shared" si="14"/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1366</v>
      </c>
      <c r="H1138" s="20" t="str">
        <f>+T1138</f>
        <v/>
      </c>
      <c r="J1138" s="30"/>
      <c r="K1138" s="22" t="str">
        <f t="shared" si="14"/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1367</v>
      </c>
      <c r="H1139" s="20" t="str">
        <f>+T1139</f>
        <v/>
      </c>
      <c r="J1139" s="30"/>
      <c r="K1139" s="22" t="str">
        <f t="shared" si="14"/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1368</v>
      </c>
      <c r="H1140" s="20" t="str">
        <f>+T1140</f>
        <v/>
      </c>
      <c r="J1140" s="30"/>
      <c r="K1140" s="22" t="str">
        <f t="shared" si="14"/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1369</v>
      </c>
      <c r="H1141" s="20" t="str">
        <f>+T1141</f>
        <v/>
      </c>
      <c r="J1141" s="30"/>
      <c r="K1141" s="22" t="str">
        <f t="shared" si="14"/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1370</v>
      </c>
      <c r="H1142" s="20" t="str">
        <f>+T1142</f>
        <v/>
      </c>
      <c r="J1142" s="30"/>
      <c r="K1142" s="22" t="str">
        <f t="shared" si="14"/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1371</v>
      </c>
      <c r="H1143" s="20" t="str">
        <f>+T1143</f>
        <v/>
      </c>
      <c r="J1143" s="30"/>
      <c r="K1143" s="22" t="str">
        <f t="shared" si="14"/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1372</v>
      </c>
      <c r="H1144" s="20" t="str">
        <f>+T1144</f>
        <v/>
      </c>
      <c r="J1144" s="30"/>
      <c r="K1144" s="22" t="str">
        <f t="shared" si="14"/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1373</v>
      </c>
      <c r="B1145" s="35"/>
      <c r="C1145" s="35"/>
      <c r="D1145" s="35"/>
      <c r="E1145" s="35"/>
      <c r="F1145" s="35"/>
      <c r="G1145" s="35"/>
      <c r="H1145" s="20" t="str">
        <f>+T1145</f>
        <v/>
      </c>
      <c r="I1145" s="35"/>
      <c r="J1145" s="37"/>
      <c r="K1145" s="22" t="str">
        <f t="shared" si="14"/>
        <v/>
      </c>
      <c r="L1145" s="35"/>
      <c r="M1145" s="35"/>
      <c r="N1145" s="35"/>
      <c r="O1145" s="35"/>
      <c r="P1145" s="35"/>
      <c r="Q1145" s="36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1374</v>
      </c>
      <c r="H1146" s="20" t="str">
        <f>+T1146</f>
        <v/>
      </c>
      <c r="J1146" s="30"/>
      <c r="K1146" s="22" t="str">
        <f t="shared" si="14"/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1375</v>
      </c>
      <c r="H1147" s="20" t="str">
        <f>+T1147</f>
        <v/>
      </c>
      <c r="J1147" s="30"/>
      <c r="K1147" s="22" t="str">
        <f t="shared" si="14"/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1376</v>
      </c>
      <c r="H1148" s="20" t="str">
        <f>+T1148</f>
        <v/>
      </c>
      <c r="J1148" s="30"/>
      <c r="K1148" s="22" t="str">
        <f t="shared" si="14"/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1377</v>
      </c>
      <c r="H1149" s="20" t="str">
        <f>+T1149</f>
        <v/>
      </c>
      <c r="J1149" s="30"/>
      <c r="K1149" s="22" t="str">
        <f t="shared" si="14"/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1378</v>
      </c>
      <c r="H1150" s="20" t="str">
        <f>+T1150</f>
        <v/>
      </c>
      <c r="J1150" s="30"/>
      <c r="K1150" s="22" t="str">
        <f t="shared" ref="K1150:K1213" si="15"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1379</v>
      </c>
      <c r="H1151" s="20" t="str">
        <f>+T1151</f>
        <v/>
      </c>
      <c r="J1151" s="30"/>
      <c r="K1151" s="22" t="str">
        <f t="shared" si="15"/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1380</v>
      </c>
      <c r="H1152" s="20" t="str">
        <f>+T1152</f>
        <v/>
      </c>
      <c r="J1152" s="30"/>
      <c r="K1152" s="22" t="str">
        <f t="shared" si="15"/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1381</v>
      </c>
      <c r="H1153" s="20" t="str">
        <f>+T1153</f>
        <v/>
      </c>
      <c r="J1153" s="30"/>
      <c r="K1153" s="22" t="str">
        <f t="shared" si="15"/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1382</v>
      </c>
      <c r="H1154" s="20" t="str">
        <f>+T1154</f>
        <v/>
      </c>
      <c r="J1154" s="30"/>
      <c r="K1154" s="22" t="str">
        <f t="shared" si="15"/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1383</v>
      </c>
      <c r="H1155" s="20" t="str">
        <f>+T1155</f>
        <v/>
      </c>
      <c r="J1155" s="30"/>
      <c r="K1155" s="22" t="str">
        <f t="shared" si="15"/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1384</v>
      </c>
      <c r="B1156" s="35"/>
      <c r="C1156" s="35"/>
      <c r="D1156" s="35"/>
      <c r="E1156" s="35"/>
      <c r="F1156" s="35"/>
      <c r="G1156" s="35"/>
      <c r="H1156" s="20" t="str">
        <f>+T1156</f>
        <v/>
      </c>
      <c r="I1156" s="35"/>
      <c r="J1156" s="37"/>
      <c r="K1156" s="22" t="str">
        <f t="shared" si="15"/>
        <v/>
      </c>
      <c r="L1156" s="35"/>
      <c r="M1156" s="35"/>
      <c r="N1156" s="35"/>
      <c r="O1156" s="35"/>
      <c r="P1156" s="35"/>
      <c r="Q1156" s="36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1385</v>
      </c>
      <c r="H1157" s="20" t="str">
        <f>+T1157</f>
        <v/>
      </c>
      <c r="J1157" s="30"/>
      <c r="K1157" s="22" t="str">
        <f t="shared" si="15"/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1386</v>
      </c>
      <c r="H1158" s="20" t="str">
        <f>+T1158</f>
        <v/>
      </c>
      <c r="J1158" s="30"/>
      <c r="K1158" s="22" t="str">
        <f t="shared" si="15"/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1387</v>
      </c>
      <c r="H1159" s="20" t="str">
        <f>+T1159</f>
        <v/>
      </c>
      <c r="J1159" s="30"/>
      <c r="K1159" s="22" t="str">
        <f t="shared" si="15"/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1388</v>
      </c>
      <c r="H1160" s="20" t="str">
        <f>+T1160</f>
        <v/>
      </c>
      <c r="J1160" s="30"/>
      <c r="K1160" s="22" t="str">
        <f t="shared" si="15"/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1389</v>
      </c>
      <c r="H1161" s="20" t="str">
        <f>+T1161</f>
        <v/>
      </c>
      <c r="J1161" s="30"/>
      <c r="K1161" s="22" t="str">
        <f t="shared" si="15"/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1390</v>
      </c>
      <c r="H1162" s="20" t="str">
        <f>+T1162</f>
        <v/>
      </c>
      <c r="J1162" s="30"/>
      <c r="K1162" s="22" t="str">
        <f t="shared" si="15"/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1391</v>
      </c>
      <c r="H1163" s="20" t="str">
        <f>+T1163</f>
        <v/>
      </c>
      <c r="J1163" s="30"/>
      <c r="K1163" s="22" t="str">
        <f t="shared" si="15"/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1392</v>
      </c>
      <c r="H1164" s="20" t="str">
        <f>+T1164</f>
        <v/>
      </c>
      <c r="J1164" s="30"/>
      <c r="K1164" s="22" t="str">
        <f t="shared" si="15"/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1393</v>
      </c>
      <c r="H1165" s="20" t="str">
        <f>+T1165</f>
        <v/>
      </c>
      <c r="J1165" s="30"/>
      <c r="K1165" s="22" t="str">
        <f t="shared" si="15"/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1394</v>
      </c>
      <c r="H1166" s="20" t="str">
        <f>+T1166</f>
        <v/>
      </c>
      <c r="J1166" s="30"/>
      <c r="K1166" s="22" t="str">
        <f t="shared" si="15"/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1395</v>
      </c>
      <c r="B1167" s="35"/>
      <c r="C1167" s="35"/>
      <c r="D1167" s="35"/>
      <c r="E1167" s="35"/>
      <c r="F1167" s="35"/>
      <c r="G1167" s="35"/>
      <c r="H1167" s="20" t="str">
        <f>+T1167</f>
        <v/>
      </c>
      <c r="I1167" s="35"/>
      <c r="J1167" s="37"/>
      <c r="K1167" s="22" t="str">
        <f t="shared" si="15"/>
        <v/>
      </c>
      <c r="L1167" s="35"/>
      <c r="M1167" s="35"/>
      <c r="N1167" s="35"/>
      <c r="O1167" s="35"/>
      <c r="P1167" s="35"/>
      <c r="Q1167" s="36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1396</v>
      </c>
      <c r="H1168" s="20" t="str">
        <f>+T1168</f>
        <v/>
      </c>
      <c r="J1168" s="30"/>
      <c r="K1168" s="22" t="str">
        <f t="shared" si="15"/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1397</v>
      </c>
      <c r="H1169" s="20" t="str">
        <f>+T1169</f>
        <v/>
      </c>
      <c r="J1169" s="30"/>
      <c r="K1169" s="22" t="str">
        <f t="shared" si="15"/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1398</v>
      </c>
      <c r="H1170" s="20" t="str">
        <f>+T1170</f>
        <v/>
      </c>
      <c r="J1170" s="30"/>
      <c r="K1170" s="22" t="str">
        <f t="shared" si="15"/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1399</v>
      </c>
      <c r="H1171" s="20" t="str">
        <f>+T1171</f>
        <v/>
      </c>
      <c r="J1171" s="30"/>
      <c r="K1171" s="22" t="str">
        <f t="shared" si="15"/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1400</v>
      </c>
      <c r="H1172" s="20" t="str">
        <f>+T1172</f>
        <v/>
      </c>
      <c r="J1172" s="30"/>
      <c r="K1172" s="22" t="str">
        <f t="shared" si="15"/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1401</v>
      </c>
      <c r="H1173" s="20" t="str">
        <f>+T1173</f>
        <v/>
      </c>
      <c r="J1173" s="30"/>
      <c r="K1173" s="22" t="str">
        <f t="shared" si="15"/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1402</v>
      </c>
      <c r="H1174" s="20" t="str">
        <f>+T1174</f>
        <v/>
      </c>
      <c r="J1174" s="30"/>
      <c r="K1174" s="22" t="str">
        <f t="shared" si="15"/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1403</v>
      </c>
      <c r="H1175" s="20" t="str">
        <f>+T1175</f>
        <v/>
      </c>
      <c r="J1175" s="30"/>
      <c r="K1175" s="22" t="str">
        <f t="shared" si="15"/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1404</v>
      </c>
      <c r="H1176" s="20" t="str">
        <f>+T1176</f>
        <v/>
      </c>
      <c r="J1176" s="30"/>
      <c r="K1176" s="22" t="str">
        <f t="shared" si="15"/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1405</v>
      </c>
      <c r="H1177" s="20" t="str">
        <f>+T1177</f>
        <v/>
      </c>
      <c r="J1177" s="30"/>
      <c r="K1177" s="22" t="str">
        <f t="shared" si="15"/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1406</v>
      </c>
      <c r="B1178" s="35"/>
      <c r="C1178" s="35"/>
      <c r="D1178" s="35"/>
      <c r="E1178" s="35"/>
      <c r="F1178" s="35"/>
      <c r="G1178" s="35"/>
      <c r="H1178" s="20" t="str">
        <f>+T1178</f>
        <v/>
      </c>
      <c r="I1178" s="35"/>
      <c r="J1178" s="37"/>
      <c r="K1178" s="22" t="str">
        <f t="shared" si="15"/>
        <v/>
      </c>
      <c r="L1178" s="35"/>
      <c r="M1178" s="35"/>
      <c r="N1178" s="35"/>
      <c r="O1178" s="35"/>
      <c r="P1178" s="35"/>
      <c r="Q1178" s="36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1407</v>
      </c>
      <c r="H1179" s="20" t="str">
        <f>+T1179</f>
        <v/>
      </c>
      <c r="J1179" s="30"/>
      <c r="K1179" s="22" t="str">
        <f t="shared" si="15"/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1408</v>
      </c>
      <c r="H1180" s="20" t="str">
        <f>+T1180</f>
        <v/>
      </c>
      <c r="J1180" s="30"/>
      <c r="K1180" s="22" t="str">
        <f t="shared" si="15"/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1409</v>
      </c>
      <c r="H1181" s="20" t="str">
        <f>+T1181</f>
        <v/>
      </c>
      <c r="J1181" s="30"/>
      <c r="K1181" s="22" t="str">
        <f t="shared" si="15"/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1410</v>
      </c>
      <c r="H1182" s="20" t="str">
        <f>+T1182</f>
        <v/>
      </c>
      <c r="J1182" s="30"/>
      <c r="K1182" s="22" t="str">
        <f t="shared" si="15"/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1411</v>
      </c>
      <c r="H1183" s="20" t="str">
        <f>+T1183</f>
        <v/>
      </c>
      <c r="J1183" s="30"/>
      <c r="K1183" s="22" t="str">
        <f t="shared" si="15"/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1412</v>
      </c>
      <c r="H1184" s="20" t="str">
        <f>+T1184</f>
        <v/>
      </c>
      <c r="J1184" s="30"/>
      <c r="K1184" s="22" t="str">
        <f t="shared" si="15"/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1413</v>
      </c>
      <c r="H1185" s="20" t="str">
        <f>+T1185</f>
        <v/>
      </c>
      <c r="J1185" s="30"/>
      <c r="K1185" s="22" t="str">
        <f t="shared" si="15"/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1414</v>
      </c>
      <c r="H1186" s="20" t="str">
        <f>+T1186</f>
        <v/>
      </c>
      <c r="J1186" s="30"/>
      <c r="K1186" s="22" t="str">
        <f t="shared" si="15"/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1415</v>
      </c>
      <c r="H1187" s="20" t="str">
        <f>+T1187</f>
        <v/>
      </c>
      <c r="J1187" s="30"/>
      <c r="K1187" s="22" t="str">
        <f t="shared" si="15"/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1416</v>
      </c>
      <c r="H1188" s="20" t="str">
        <f>+T1188</f>
        <v/>
      </c>
      <c r="J1188" s="30"/>
      <c r="K1188" s="22" t="str">
        <f t="shared" si="15"/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1417</v>
      </c>
      <c r="B1189" s="35"/>
      <c r="C1189" s="35"/>
      <c r="D1189" s="35"/>
      <c r="E1189" s="35"/>
      <c r="F1189" s="35"/>
      <c r="G1189" s="35"/>
      <c r="H1189" s="20" t="str">
        <f>+T1189</f>
        <v/>
      </c>
      <c r="I1189" s="35"/>
      <c r="J1189" s="37"/>
      <c r="K1189" s="22" t="str">
        <f t="shared" si="15"/>
        <v/>
      </c>
      <c r="L1189" s="35"/>
      <c r="M1189" s="35"/>
      <c r="N1189" s="35"/>
      <c r="O1189" s="35"/>
      <c r="P1189" s="35"/>
      <c r="Q1189" s="36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1418</v>
      </c>
      <c r="H1190" s="20" t="str">
        <f>+T1190</f>
        <v/>
      </c>
      <c r="J1190" s="30"/>
      <c r="K1190" s="22" t="str">
        <f t="shared" si="15"/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1419</v>
      </c>
      <c r="H1191" s="20" t="str">
        <f>+T1191</f>
        <v/>
      </c>
      <c r="J1191" s="30"/>
      <c r="K1191" s="22" t="str">
        <f t="shared" si="15"/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1420</v>
      </c>
      <c r="H1192" s="20" t="str">
        <f>+T1192</f>
        <v/>
      </c>
      <c r="J1192" s="30"/>
      <c r="K1192" s="22" t="str">
        <f t="shared" si="15"/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1421</v>
      </c>
      <c r="H1193" s="20" t="str">
        <f>+T1193</f>
        <v/>
      </c>
      <c r="J1193" s="30"/>
      <c r="K1193" s="22" t="str">
        <f t="shared" si="15"/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1422</v>
      </c>
      <c r="H1194" s="20" t="str">
        <f>+T1194</f>
        <v/>
      </c>
      <c r="J1194" s="30"/>
      <c r="K1194" s="22" t="str">
        <f t="shared" si="15"/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1423</v>
      </c>
      <c r="H1195" s="20" t="str">
        <f>+T1195</f>
        <v/>
      </c>
      <c r="J1195" s="30"/>
      <c r="K1195" s="22" t="str">
        <f t="shared" si="15"/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1424</v>
      </c>
      <c r="H1196" s="20" t="str">
        <f>+T1196</f>
        <v/>
      </c>
      <c r="J1196" s="30"/>
      <c r="K1196" s="22" t="str">
        <f t="shared" si="15"/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1425</v>
      </c>
      <c r="H1197" s="34"/>
      <c r="K1197" s="22" t="str">
        <f t="shared" si="15"/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1426</v>
      </c>
      <c r="H1198" s="34"/>
      <c r="K1198" s="22" t="str">
        <f t="shared" si="15"/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1427</v>
      </c>
      <c r="H1199" s="34"/>
      <c r="K1199" s="22" t="str">
        <f t="shared" si="15"/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1428</v>
      </c>
      <c r="B1200" s="35"/>
      <c r="C1200" s="35"/>
      <c r="D1200" s="35"/>
      <c r="E1200" s="35"/>
      <c r="F1200" s="35"/>
      <c r="G1200" s="35"/>
      <c r="H1200" s="20" t="str">
        <f>+T1200</f>
        <v/>
      </c>
      <c r="I1200" s="35"/>
      <c r="J1200" s="37"/>
      <c r="K1200" s="22" t="str">
        <f t="shared" si="15"/>
        <v/>
      </c>
      <c r="L1200" s="35"/>
      <c r="M1200" s="35"/>
      <c r="N1200" s="35"/>
      <c r="O1200" s="35"/>
      <c r="P1200" s="35"/>
      <c r="Q1200" s="36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1429</v>
      </c>
      <c r="H1201" s="34"/>
      <c r="K1201" s="22" t="str">
        <f t="shared" si="15"/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1430</v>
      </c>
      <c r="H1202" s="20" t="str">
        <f>+T1202</f>
        <v/>
      </c>
      <c r="J1202" s="30"/>
      <c r="K1202" s="22" t="str">
        <f t="shared" si="15"/>
        <v/>
      </c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1431</v>
      </c>
      <c r="H1203" s="20" t="str">
        <f>+T1203</f>
        <v/>
      </c>
      <c r="J1203" s="30"/>
      <c r="K1203" s="22" t="str">
        <f t="shared" si="15"/>
        <v/>
      </c>
      <c r="Q1203" s="36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1432</v>
      </c>
      <c r="H1204" s="20" t="str">
        <f>+T1204</f>
        <v/>
      </c>
      <c r="J1204" s="30"/>
      <c r="K1204" s="22" t="str">
        <f t="shared" si="15"/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1433</v>
      </c>
      <c r="H1205" s="20" t="str">
        <f>+T1205</f>
        <v/>
      </c>
      <c r="J1205" s="30"/>
      <c r="K1205" s="22" t="str">
        <f t="shared" si="15"/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1434</v>
      </c>
      <c r="H1206" s="20" t="str">
        <f>+T1206</f>
        <v/>
      </c>
      <c r="J1206" s="30"/>
      <c r="K1206" s="22" t="str">
        <f t="shared" si="15"/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1435</v>
      </c>
      <c r="H1207" s="20" t="str">
        <f>+T1207</f>
        <v/>
      </c>
      <c r="J1207" s="30"/>
      <c r="K1207" s="22" t="str">
        <f t="shared" si="15"/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1436</v>
      </c>
      <c r="H1208" s="20" t="str">
        <f>+T1208</f>
        <v/>
      </c>
      <c r="J1208" s="30"/>
      <c r="K1208" s="22" t="str">
        <f t="shared" si="15"/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1437</v>
      </c>
      <c r="H1209" s="20" t="str">
        <f>+T1209</f>
        <v/>
      </c>
      <c r="J1209" s="30"/>
      <c r="K1209" s="22" t="str">
        <f t="shared" si="15"/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1438</v>
      </c>
      <c r="H1210" s="20" t="str">
        <f>+T1210</f>
        <v/>
      </c>
      <c r="J1210" s="30"/>
      <c r="K1210" s="22" t="str">
        <f t="shared" si="15"/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1439</v>
      </c>
      <c r="H1211" s="20" t="str">
        <f>+T1211</f>
        <v/>
      </c>
      <c r="J1211" s="30"/>
      <c r="K1211" s="22" t="str">
        <f t="shared" si="15"/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1440</v>
      </c>
      <c r="H1212" s="20" t="str">
        <f>+T1212</f>
        <v/>
      </c>
      <c r="J1212" s="30"/>
      <c r="K1212" s="22" t="str">
        <f t="shared" si="15"/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1441</v>
      </c>
      <c r="H1213" s="20" t="str">
        <f>+T1213</f>
        <v/>
      </c>
      <c r="J1213" s="30"/>
      <c r="K1213" s="22" t="str">
        <f t="shared" si="15"/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1442</v>
      </c>
      <c r="H1214" s="20" t="str">
        <f>+T1214</f>
        <v/>
      </c>
      <c r="J1214" s="30"/>
      <c r="K1214" s="22" t="str">
        <f t="shared" ref="K1214:K1277" si="16"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1443</v>
      </c>
      <c r="H1215" s="20" t="str">
        <f>+T1215</f>
        <v/>
      </c>
      <c r="J1215" s="30"/>
      <c r="K1215" s="22" t="str">
        <f t="shared" si="16"/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1444</v>
      </c>
      <c r="H1216" s="20" t="str">
        <f>+T1216</f>
        <v/>
      </c>
      <c r="J1216" s="30"/>
      <c r="K1216" s="22" t="str">
        <f t="shared" si="16"/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1445</v>
      </c>
      <c r="H1217" s="20" t="str">
        <f>+T1217</f>
        <v/>
      </c>
      <c r="J1217" s="30"/>
      <c r="K1217" s="22" t="str">
        <f t="shared" si="16"/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1446</v>
      </c>
      <c r="H1218" s="20" t="str">
        <f>+T1218</f>
        <v/>
      </c>
      <c r="J1218" s="30"/>
      <c r="K1218" s="22" t="str">
        <f t="shared" si="16"/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1447</v>
      </c>
      <c r="H1219" s="20" t="str">
        <f>+T1219</f>
        <v/>
      </c>
      <c r="J1219" s="30"/>
      <c r="K1219" s="22" t="str">
        <f t="shared" si="16"/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1448</v>
      </c>
      <c r="H1220" s="20" t="str">
        <f>+T1220</f>
        <v/>
      </c>
      <c r="J1220" s="30"/>
      <c r="K1220" s="22" t="str">
        <f t="shared" si="16"/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1449</v>
      </c>
      <c r="H1221" s="20" t="str">
        <f>+T1221</f>
        <v/>
      </c>
      <c r="J1221" s="30"/>
      <c r="K1221" s="22" t="str">
        <f t="shared" si="16"/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1450</v>
      </c>
      <c r="H1222" s="20" t="str">
        <f>+T1222</f>
        <v/>
      </c>
      <c r="J1222" s="30"/>
      <c r="K1222" s="22" t="str">
        <f t="shared" si="16"/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1451</v>
      </c>
      <c r="H1223" s="20" t="str">
        <f>+T1223</f>
        <v/>
      </c>
      <c r="J1223" s="30"/>
      <c r="K1223" s="22" t="str">
        <f t="shared" si="16"/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1452</v>
      </c>
      <c r="H1224" s="20" t="str">
        <f>+T1224</f>
        <v/>
      </c>
      <c r="J1224" s="30"/>
      <c r="K1224" s="22" t="str">
        <f t="shared" si="16"/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1453</v>
      </c>
      <c r="H1225" s="20" t="str">
        <f>+T1225</f>
        <v/>
      </c>
      <c r="J1225" s="30"/>
      <c r="K1225" s="22" t="str">
        <f t="shared" si="16"/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1454</v>
      </c>
      <c r="H1226" s="20" t="str">
        <f>+T1226</f>
        <v/>
      </c>
      <c r="J1226" s="30"/>
      <c r="K1226" s="22" t="str">
        <f t="shared" si="16"/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1455</v>
      </c>
      <c r="H1227" s="20" t="str">
        <f>+T1227</f>
        <v/>
      </c>
      <c r="J1227" s="30"/>
      <c r="K1227" s="22" t="str">
        <f t="shared" si="16"/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1456</v>
      </c>
      <c r="H1228" s="20" t="str">
        <f>+T1228</f>
        <v/>
      </c>
      <c r="J1228" s="30"/>
      <c r="K1228" s="22" t="str">
        <f t="shared" si="16"/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1457</v>
      </c>
      <c r="H1229" s="20" t="str">
        <f>+T1229</f>
        <v/>
      </c>
      <c r="J1229" s="30"/>
      <c r="K1229" s="22" t="str">
        <f t="shared" si="16"/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1458</v>
      </c>
      <c r="H1230" s="20" t="str">
        <f>+T1230</f>
        <v/>
      </c>
      <c r="J1230" s="30"/>
      <c r="K1230" s="22" t="str">
        <f t="shared" si="16"/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1459</v>
      </c>
      <c r="H1231" s="20" t="str">
        <f>+T1231</f>
        <v/>
      </c>
      <c r="J1231" s="30"/>
      <c r="K1231" s="22" t="str">
        <f t="shared" si="16"/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1460</v>
      </c>
      <c r="H1232" s="20" t="str">
        <f>+T1232</f>
        <v/>
      </c>
      <c r="J1232" s="30"/>
      <c r="K1232" s="22" t="str">
        <f t="shared" si="16"/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1461</v>
      </c>
      <c r="H1233" s="20" t="str">
        <f>+T1233</f>
        <v/>
      </c>
      <c r="J1233" s="30"/>
      <c r="K1233" s="22" t="str">
        <f t="shared" si="16"/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1462</v>
      </c>
      <c r="H1234" s="20" t="str">
        <f>+T1234</f>
        <v/>
      </c>
      <c r="J1234" s="30"/>
      <c r="K1234" s="22" t="str">
        <f t="shared" si="16"/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1463</v>
      </c>
      <c r="H1235" s="20" t="str">
        <f>+T1235</f>
        <v/>
      </c>
      <c r="J1235" s="30"/>
      <c r="K1235" s="22" t="str">
        <f t="shared" si="16"/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1464</v>
      </c>
      <c r="H1236" s="20" t="str">
        <f>+T1236</f>
        <v/>
      </c>
      <c r="J1236" s="30"/>
      <c r="K1236" s="22" t="str">
        <f t="shared" si="16"/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1465</v>
      </c>
      <c r="H1237" s="20" t="str">
        <f>+T1237</f>
        <v/>
      </c>
      <c r="J1237" s="30"/>
      <c r="K1237" s="22" t="str">
        <f t="shared" si="16"/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1466</v>
      </c>
      <c r="H1238" s="20" t="str">
        <f>+T1238</f>
        <v/>
      </c>
      <c r="J1238" s="30"/>
      <c r="K1238" s="22" t="str">
        <f t="shared" si="16"/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1467</v>
      </c>
      <c r="H1239" s="20" t="str">
        <f>+T1239</f>
        <v/>
      </c>
      <c r="J1239" s="30"/>
      <c r="K1239" s="22" t="str">
        <f t="shared" si="16"/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1468</v>
      </c>
      <c r="H1240" s="20" t="str">
        <f>+T1240</f>
        <v/>
      </c>
      <c r="J1240" s="30"/>
      <c r="K1240" s="22" t="str">
        <f t="shared" si="16"/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1469</v>
      </c>
      <c r="H1241" s="20" t="str">
        <f>+T1241</f>
        <v/>
      </c>
      <c r="J1241" s="30"/>
      <c r="K1241" s="22" t="str">
        <f t="shared" si="16"/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1470</v>
      </c>
      <c r="H1242" s="20" t="str">
        <f>+T1242</f>
        <v/>
      </c>
      <c r="J1242" s="30"/>
      <c r="K1242" s="22" t="str">
        <f t="shared" si="16"/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1471</v>
      </c>
      <c r="H1243" s="20" t="str">
        <f>+T1243</f>
        <v/>
      </c>
      <c r="J1243" s="30"/>
      <c r="K1243" s="22" t="str">
        <f t="shared" si="16"/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1472</v>
      </c>
      <c r="H1244" s="20" t="str">
        <f>+T1244</f>
        <v/>
      </c>
      <c r="J1244" s="30"/>
      <c r="K1244" s="22" t="str">
        <f t="shared" si="16"/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1473</v>
      </c>
      <c r="H1245" s="20" t="str">
        <f>+T1245</f>
        <v/>
      </c>
      <c r="J1245" s="30"/>
      <c r="K1245" s="22" t="str">
        <f t="shared" si="16"/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1474</v>
      </c>
      <c r="H1246" s="20" t="str">
        <f>+T1246</f>
        <v/>
      </c>
      <c r="J1246" s="30"/>
      <c r="K1246" s="22" t="str">
        <f t="shared" si="16"/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1475</v>
      </c>
      <c r="H1247" s="20" t="str">
        <f>+T1247</f>
        <v/>
      </c>
      <c r="J1247" s="30"/>
      <c r="K1247" s="22" t="str">
        <f t="shared" si="16"/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1476</v>
      </c>
      <c r="H1248" s="20" t="str">
        <f>+T1248</f>
        <v/>
      </c>
      <c r="J1248" s="30"/>
      <c r="K1248" s="22" t="str">
        <f t="shared" si="16"/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1477</v>
      </c>
      <c r="H1249" s="20" t="str">
        <f>+T1249</f>
        <v/>
      </c>
      <c r="J1249" s="30"/>
      <c r="K1249" s="22" t="str">
        <f t="shared" si="16"/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1478</v>
      </c>
      <c r="H1250" s="20" t="str">
        <f>+T1250</f>
        <v/>
      </c>
      <c r="J1250" s="30"/>
      <c r="K1250" s="22" t="str">
        <f t="shared" si="16"/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1479</v>
      </c>
      <c r="H1251" s="20" t="str">
        <f>+T1251</f>
        <v/>
      </c>
      <c r="J1251" s="30"/>
      <c r="K1251" s="22" t="str">
        <f t="shared" si="16"/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1480</v>
      </c>
      <c r="H1252" s="20" t="str">
        <f>+T1252</f>
        <v/>
      </c>
      <c r="J1252" s="30"/>
      <c r="K1252" s="22" t="str">
        <f t="shared" si="16"/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1481</v>
      </c>
      <c r="H1253" s="20" t="str">
        <f>+T1253</f>
        <v/>
      </c>
      <c r="J1253" s="30"/>
      <c r="K1253" s="22" t="str">
        <f t="shared" si="16"/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1482</v>
      </c>
      <c r="H1254" s="20" t="str">
        <f>+T1254</f>
        <v/>
      </c>
      <c r="J1254" s="30"/>
      <c r="K1254" s="22" t="str">
        <f t="shared" si="16"/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1483</v>
      </c>
      <c r="H1255" s="20" t="str">
        <f>+T1255</f>
        <v/>
      </c>
      <c r="J1255" s="30"/>
      <c r="K1255" s="22" t="str">
        <f t="shared" si="16"/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1484</v>
      </c>
      <c r="H1256" s="20" t="str">
        <f>+T1256</f>
        <v/>
      </c>
      <c r="J1256" s="30"/>
      <c r="K1256" s="22" t="str">
        <f t="shared" si="16"/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1485</v>
      </c>
      <c r="H1257" s="20" t="str">
        <f>+T1257</f>
        <v/>
      </c>
      <c r="J1257" s="30"/>
      <c r="K1257" s="22" t="str">
        <f t="shared" si="16"/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1486</v>
      </c>
      <c r="H1258" s="20" t="str">
        <f>+T1258</f>
        <v/>
      </c>
      <c r="J1258" s="30"/>
      <c r="K1258" s="22" t="str">
        <f t="shared" si="16"/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1487</v>
      </c>
      <c r="H1259" s="20" t="str">
        <f>+T1259</f>
        <v/>
      </c>
      <c r="J1259" s="30"/>
      <c r="K1259" s="22" t="str">
        <f t="shared" si="16"/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1488</v>
      </c>
      <c r="H1260" s="20" t="str">
        <f>+T1260</f>
        <v/>
      </c>
      <c r="J1260" s="30"/>
      <c r="K1260" s="22" t="str">
        <f t="shared" si="16"/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1489</v>
      </c>
      <c r="H1261" s="20" t="str">
        <f>+T1261</f>
        <v/>
      </c>
      <c r="J1261" s="30"/>
      <c r="K1261" s="22" t="str">
        <f t="shared" si="16"/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1490</v>
      </c>
      <c r="H1262" s="20" t="str">
        <f>+T1262</f>
        <v/>
      </c>
      <c r="J1262" s="30"/>
      <c r="K1262" s="22" t="str">
        <f t="shared" si="16"/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1491</v>
      </c>
      <c r="H1263" s="20" t="str">
        <f>+T1263</f>
        <v/>
      </c>
      <c r="J1263" s="30"/>
      <c r="K1263" s="22" t="str">
        <f t="shared" si="16"/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1492</v>
      </c>
      <c r="H1264" s="20" t="str">
        <f>+T1264</f>
        <v/>
      </c>
      <c r="J1264" s="30"/>
      <c r="K1264" s="22" t="str">
        <f t="shared" si="16"/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1493</v>
      </c>
      <c r="H1265" s="20" t="str">
        <f>+T1265</f>
        <v/>
      </c>
      <c r="J1265" s="30"/>
      <c r="K1265" s="22" t="str">
        <f t="shared" si="16"/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1494</v>
      </c>
      <c r="H1266" s="20" t="str">
        <f>+T1266</f>
        <v/>
      </c>
      <c r="J1266" s="30"/>
      <c r="K1266" s="22" t="str">
        <f t="shared" si="16"/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1495</v>
      </c>
      <c r="H1267" s="20" t="str">
        <f>+T1267</f>
        <v/>
      </c>
      <c r="J1267" s="30"/>
      <c r="K1267" s="22" t="str">
        <f t="shared" si="16"/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1496</v>
      </c>
      <c r="H1268" s="20" t="str">
        <f>+T1268</f>
        <v/>
      </c>
      <c r="J1268" s="30"/>
      <c r="K1268" s="22" t="str">
        <f t="shared" si="16"/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1497</v>
      </c>
      <c r="H1269" s="20" t="str">
        <f>+T1269</f>
        <v/>
      </c>
      <c r="J1269" s="30"/>
      <c r="K1269" s="22" t="str">
        <f t="shared" si="16"/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1498</v>
      </c>
      <c r="H1270" s="20" t="str">
        <f>+T1270</f>
        <v/>
      </c>
      <c r="J1270" s="30"/>
      <c r="K1270" s="22" t="str">
        <f t="shared" si="16"/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1499</v>
      </c>
      <c r="H1271" s="20" t="str">
        <f>+T1271</f>
        <v/>
      </c>
      <c r="J1271" s="30"/>
      <c r="K1271" s="22" t="str">
        <f t="shared" si="16"/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1500</v>
      </c>
      <c r="H1272" s="20" t="str">
        <f>+T1272</f>
        <v/>
      </c>
      <c r="J1272" s="30"/>
      <c r="K1272" s="22" t="str">
        <f t="shared" si="16"/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1501</v>
      </c>
      <c r="H1273" s="20" t="str">
        <f>+T1273</f>
        <v/>
      </c>
      <c r="J1273" s="30"/>
      <c r="K1273" s="22" t="str">
        <f t="shared" si="16"/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1502</v>
      </c>
      <c r="H1274" s="20" t="str">
        <f>+T1274</f>
        <v/>
      </c>
      <c r="J1274" s="30"/>
      <c r="K1274" s="22" t="str">
        <f t="shared" si="16"/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1503</v>
      </c>
      <c r="H1275" s="20" t="str">
        <f>+T1275</f>
        <v/>
      </c>
      <c r="J1275" s="30"/>
      <c r="K1275" s="22" t="str">
        <f t="shared" si="16"/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1504</v>
      </c>
      <c r="H1276" s="20" t="str">
        <f>+T1276</f>
        <v/>
      </c>
      <c r="J1276" s="30"/>
      <c r="K1276" s="22" t="str">
        <f t="shared" si="16"/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1505</v>
      </c>
      <c r="H1277" s="20" t="str">
        <f>+T1277</f>
        <v/>
      </c>
      <c r="J1277" s="30"/>
      <c r="K1277" s="22" t="str">
        <f t="shared" si="16"/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1506</v>
      </c>
      <c r="H1278" s="20" t="str">
        <f>+T1278</f>
        <v/>
      </c>
      <c r="J1278" s="30"/>
      <c r="K1278" s="22" t="str">
        <f t="shared" ref="K1278:K1341" si="17"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1507</v>
      </c>
      <c r="H1279" s="20" t="str">
        <f>+T1279</f>
        <v/>
      </c>
      <c r="J1279" s="30"/>
      <c r="K1279" s="22" t="str">
        <f t="shared" si="17"/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1508</v>
      </c>
      <c r="H1280" s="20" t="str">
        <f>+T1280</f>
        <v/>
      </c>
      <c r="J1280" s="30"/>
      <c r="K1280" s="22" t="str">
        <f t="shared" si="17"/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1509</v>
      </c>
      <c r="H1281" s="20" t="str">
        <f>+T1281</f>
        <v/>
      </c>
      <c r="J1281" s="30"/>
      <c r="K1281" s="22" t="str">
        <f t="shared" si="17"/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1510</v>
      </c>
      <c r="H1282" s="20" t="str">
        <f>+T1282</f>
        <v/>
      </c>
      <c r="J1282" s="30"/>
      <c r="K1282" s="22" t="str">
        <f t="shared" si="17"/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1511</v>
      </c>
      <c r="H1283" s="20" t="str">
        <f>+T1283</f>
        <v/>
      </c>
      <c r="J1283" s="30"/>
      <c r="K1283" s="22" t="str">
        <f t="shared" si="17"/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1512</v>
      </c>
      <c r="H1284" s="20" t="str">
        <f>+T1284</f>
        <v/>
      </c>
      <c r="J1284" s="30"/>
      <c r="K1284" s="22" t="str">
        <f t="shared" si="17"/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1513</v>
      </c>
      <c r="H1285" s="20" t="str">
        <f>+T1285</f>
        <v/>
      </c>
      <c r="J1285" s="30"/>
      <c r="K1285" s="22" t="str">
        <f t="shared" si="17"/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1514</v>
      </c>
      <c r="H1286" s="20" t="str">
        <f>+T1286</f>
        <v/>
      </c>
      <c r="J1286" s="30"/>
      <c r="K1286" s="22" t="str">
        <f t="shared" si="17"/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1515</v>
      </c>
      <c r="H1287" s="20" t="str">
        <f>+T1287</f>
        <v/>
      </c>
      <c r="J1287" s="30"/>
      <c r="K1287" s="22" t="str">
        <f t="shared" si="17"/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1516</v>
      </c>
      <c r="H1288" s="20" t="str">
        <f>+T1288</f>
        <v/>
      </c>
      <c r="J1288" s="30"/>
      <c r="K1288" s="22" t="str">
        <f t="shared" si="17"/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1517</v>
      </c>
      <c r="H1289" s="20" t="str">
        <f>+T1289</f>
        <v/>
      </c>
      <c r="J1289" s="30"/>
      <c r="K1289" s="22" t="str">
        <f t="shared" si="17"/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1518</v>
      </c>
      <c r="H1290" s="20" t="str">
        <f>+T1290</f>
        <v/>
      </c>
      <c r="J1290" s="30"/>
      <c r="K1290" s="22" t="str">
        <f t="shared" si="17"/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1519</v>
      </c>
      <c r="H1291" s="20" t="str">
        <f>+T1291</f>
        <v/>
      </c>
      <c r="J1291" s="30"/>
      <c r="K1291" s="22" t="str">
        <f t="shared" si="17"/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1520</v>
      </c>
      <c r="H1292" s="20" t="str">
        <f>+T1292</f>
        <v/>
      </c>
      <c r="J1292" s="30"/>
      <c r="K1292" s="22" t="str">
        <f t="shared" si="17"/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1521</v>
      </c>
      <c r="H1293" s="20" t="str">
        <f>+T1293</f>
        <v/>
      </c>
      <c r="J1293" s="30"/>
      <c r="K1293" s="22" t="str">
        <f t="shared" si="17"/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1522</v>
      </c>
      <c r="H1294" s="20" t="str">
        <f>+T1294</f>
        <v/>
      </c>
      <c r="J1294" s="30"/>
      <c r="K1294" s="22" t="str">
        <f t="shared" si="17"/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1523</v>
      </c>
      <c r="H1295" s="20" t="str">
        <f>+T1295</f>
        <v/>
      </c>
      <c r="J1295" s="30"/>
      <c r="K1295" s="22" t="str">
        <f t="shared" si="17"/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1524</v>
      </c>
      <c r="H1296" s="20" t="str">
        <f>+T1296</f>
        <v/>
      </c>
      <c r="J1296" s="30"/>
      <c r="K1296" s="22" t="str">
        <f t="shared" si="17"/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1525</v>
      </c>
      <c r="H1297" s="20" t="str">
        <f>+T1297</f>
        <v/>
      </c>
      <c r="J1297" s="30"/>
      <c r="K1297" s="22" t="str">
        <f t="shared" si="17"/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1526</v>
      </c>
      <c r="H1298" s="20" t="str">
        <f>+T1298</f>
        <v/>
      </c>
      <c r="J1298" s="30"/>
      <c r="K1298" s="22" t="str">
        <f t="shared" si="17"/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1527</v>
      </c>
      <c r="H1299" s="20" t="str">
        <f>+T1299</f>
        <v/>
      </c>
      <c r="J1299" s="30"/>
      <c r="K1299" s="22" t="str">
        <f t="shared" si="17"/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1528</v>
      </c>
      <c r="H1300" s="20" t="str">
        <f>+T1300</f>
        <v/>
      </c>
      <c r="J1300" s="30"/>
      <c r="K1300" s="22" t="str">
        <f t="shared" si="17"/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1529</v>
      </c>
      <c r="H1301" s="20" t="str">
        <f>+T1301</f>
        <v/>
      </c>
      <c r="J1301" s="30"/>
      <c r="K1301" s="22" t="str">
        <f t="shared" si="17"/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1530</v>
      </c>
      <c r="H1302" s="20" t="str">
        <f>+T1302</f>
        <v/>
      </c>
      <c r="J1302" s="30"/>
      <c r="K1302" s="22" t="str">
        <f t="shared" si="17"/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1531</v>
      </c>
      <c r="H1303" s="20" t="str">
        <f>+T1303</f>
        <v/>
      </c>
      <c r="J1303" s="30"/>
      <c r="K1303" s="22" t="str">
        <f t="shared" si="17"/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1532</v>
      </c>
      <c r="H1304" s="20" t="str">
        <f>+T1304</f>
        <v/>
      </c>
      <c r="J1304" s="30"/>
      <c r="K1304" s="22" t="str">
        <f t="shared" si="17"/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1533</v>
      </c>
      <c r="H1305" s="20" t="str">
        <f>+T1305</f>
        <v/>
      </c>
      <c r="J1305" s="30"/>
      <c r="K1305" s="22" t="str">
        <f t="shared" si="17"/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1534</v>
      </c>
      <c r="H1306" s="20" t="str">
        <f>+T1306</f>
        <v/>
      </c>
      <c r="J1306" s="30"/>
      <c r="K1306" s="22" t="str">
        <f t="shared" si="17"/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1535</v>
      </c>
      <c r="H1307" s="20" t="str">
        <f>+T1307</f>
        <v/>
      </c>
      <c r="J1307" s="30"/>
      <c r="K1307" s="22" t="str">
        <f t="shared" si="17"/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1536</v>
      </c>
      <c r="H1308" s="20" t="str">
        <f>+T1308</f>
        <v/>
      </c>
      <c r="J1308" s="30"/>
      <c r="K1308" s="22" t="str">
        <f t="shared" si="17"/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1537</v>
      </c>
      <c r="H1309" s="20" t="str">
        <f>+T1309</f>
        <v/>
      </c>
      <c r="J1309" s="30"/>
      <c r="K1309" s="22" t="str">
        <f t="shared" si="17"/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1538</v>
      </c>
      <c r="H1310" s="20" t="str">
        <f>+T1310</f>
        <v/>
      </c>
      <c r="J1310" s="30"/>
      <c r="K1310" s="22" t="str">
        <f t="shared" si="17"/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1539</v>
      </c>
      <c r="H1311" s="20" t="str">
        <f>+T1311</f>
        <v/>
      </c>
      <c r="J1311" s="30"/>
      <c r="K1311" s="22" t="str">
        <f t="shared" si="17"/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1540</v>
      </c>
      <c r="H1312" s="20" t="str">
        <f>+T1312</f>
        <v/>
      </c>
      <c r="J1312" s="30"/>
      <c r="K1312" s="22" t="str">
        <f t="shared" si="17"/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1541</v>
      </c>
      <c r="H1313" s="20" t="str">
        <f>+T1313</f>
        <v/>
      </c>
      <c r="J1313" s="30"/>
      <c r="K1313" s="22" t="str">
        <f t="shared" si="17"/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1542</v>
      </c>
      <c r="H1314" s="20" t="str">
        <f>+T1314</f>
        <v/>
      </c>
      <c r="J1314" s="30"/>
      <c r="K1314" s="22" t="str">
        <f t="shared" si="17"/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1543</v>
      </c>
      <c r="H1315" s="20" t="str">
        <f>+T1315</f>
        <v/>
      </c>
      <c r="J1315" s="30"/>
      <c r="K1315" s="22" t="str">
        <f t="shared" si="17"/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1544</v>
      </c>
      <c r="H1316" s="20" t="str">
        <f>+T1316</f>
        <v/>
      </c>
      <c r="J1316" s="30"/>
      <c r="K1316" s="22" t="str">
        <f t="shared" si="17"/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1545</v>
      </c>
      <c r="H1317" s="20" t="str">
        <f>+T1317</f>
        <v/>
      </c>
      <c r="J1317" s="30"/>
      <c r="K1317" s="22" t="str">
        <f t="shared" si="17"/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1546</v>
      </c>
      <c r="H1318" s="20" t="str">
        <f>+T1318</f>
        <v/>
      </c>
      <c r="J1318" s="30"/>
      <c r="K1318" s="22" t="str">
        <f t="shared" si="17"/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1547</v>
      </c>
      <c r="H1319" s="20" t="str">
        <f>+T1319</f>
        <v/>
      </c>
      <c r="J1319" s="30"/>
      <c r="K1319" s="22" t="str">
        <f t="shared" si="17"/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1548</v>
      </c>
      <c r="H1320" s="20" t="str">
        <f>+T1320</f>
        <v/>
      </c>
      <c r="J1320" s="30"/>
      <c r="K1320" s="22" t="str">
        <f t="shared" si="17"/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1549</v>
      </c>
      <c r="H1321" s="20" t="str">
        <f>+T1321</f>
        <v/>
      </c>
      <c r="J1321" s="30"/>
      <c r="K1321" s="22" t="str">
        <f t="shared" si="17"/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1550</v>
      </c>
      <c r="H1322" s="20" t="str">
        <f>+T1322</f>
        <v/>
      </c>
      <c r="J1322" s="30"/>
      <c r="K1322" s="22" t="str">
        <f t="shared" si="17"/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1551</v>
      </c>
      <c r="H1323" s="20" t="str">
        <f>+T1323</f>
        <v/>
      </c>
      <c r="J1323" s="30"/>
      <c r="K1323" s="22" t="str">
        <f t="shared" si="17"/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1552</v>
      </c>
      <c r="H1324" s="20" t="str">
        <f>+T1324</f>
        <v/>
      </c>
      <c r="J1324" s="30"/>
      <c r="K1324" s="22" t="str">
        <f t="shared" si="17"/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1553</v>
      </c>
      <c r="H1325" s="20" t="str">
        <f>+T1325</f>
        <v/>
      </c>
      <c r="J1325" s="30"/>
      <c r="K1325" s="22" t="str">
        <f t="shared" si="17"/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1554</v>
      </c>
      <c r="H1326" s="20" t="str">
        <f>+T1326</f>
        <v/>
      </c>
      <c r="J1326" s="30"/>
      <c r="K1326" s="22" t="str">
        <f t="shared" si="17"/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1555</v>
      </c>
      <c r="H1327" s="20" t="str">
        <f>+T1327</f>
        <v/>
      </c>
      <c r="J1327" s="30"/>
      <c r="K1327" s="22" t="str">
        <f t="shared" si="17"/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1556</v>
      </c>
      <c r="H1328" s="20" t="str">
        <f>+T1328</f>
        <v/>
      </c>
      <c r="J1328" s="30"/>
      <c r="K1328" s="22" t="str">
        <f t="shared" si="17"/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1557</v>
      </c>
      <c r="H1329" s="20" t="str">
        <f>+T1329</f>
        <v/>
      </c>
      <c r="J1329" s="30"/>
      <c r="K1329" s="22" t="str">
        <f t="shared" si="17"/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1558</v>
      </c>
      <c r="H1330" s="20" t="str">
        <f>+T1330</f>
        <v/>
      </c>
      <c r="J1330" s="30"/>
      <c r="K1330" s="22" t="str">
        <f t="shared" si="17"/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1559</v>
      </c>
      <c r="H1331" s="20" t="str">
        <f>+T1331</f>
        <v/>
      </c>
      <c r="J1331" s="30"/>
      <c r="K1331" s="22" t="str">
        <f t="shared" si="17"/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1560</v>
      </c>
      <c r="H1332" s="20" t="str">
        <f>+T1332</f>
        <v/>
      </c>
      <c r="J1332" s="30"/>
      <c r="K1332" s="22" t="str">
        <f t="shared" si="17"/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1561</v>
      </c>
      <c r="H1333" s="20" t="str">
        <f>+T1333</f>
        <v/>
      </c>
      <c r="J1333" s="30"/>
      <c r="K1333" s="22" t="str">
        <f t="shared" si="17"/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1562</v>
      </c>
      <c r="H1334" s="20" t="str">
        <f>+T1334</f>
        <v/>
      </c>
      <c r="J1334" s="30"/>
      <c r="K1334" s="22" t="str">
        <f t="shared" si="17"/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1563</v>
      </c>
      <c r="H1335" s="20" t="str">
        <f>+T1335</f>
        <v/>
      </c>
      <c r="J1335" s="30"/>
      <c r="K1335" s="22" t="str">
        <f t="shared" si="17"/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1564</v>
      </c>
      <c r="H1336" s="20" t="str">
        <f>+T1336</f>
        <v/>
      </c>
      <c r="J1336" s="30"/>
      <c r="K1336" s="22" t="str">
        <f t="shared" si="17"/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1565</v>
      </c>
      <c r="H1337" s="20" t="str">
        <f>+T1337</f>
        <v/>
      </c>
      <c r="J1337" s="30"/>
      <c r="K1337" s="22" t="str">
        <f t="shared" si="17"/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1566</v>
      </c>
      <c r="H1338" s="20" t="str">
        <f>+T1338</f>
        <v/>
      </c>
      <c r="J1338" s="30"/>
      <c r="K1338" s="22" t="str">
        <f t="shared" si="17"/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1567</v>
      </c>
      <c r="H1339" s="20" t="str">
        <f>+T1339</f>
        <v/>
      </c>
      <c r="J1339" s="30"/>
      <c r="K1339" s="22" t="str">
        <f t="shared" si="17"/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1568</v>
      </c>
      <c r="H1340" s="20" t="str">
        <f>+T1340</f>
        <v/>
      </c>
      <c r="J1340" s="30"/>
      <c r="K1340" s="22" t="str">
        <f t="shared" si="17"/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1569</v>
      </c>
      <c r="H1341" s="20" t="str">
        <f>+T1341</f>
        <v/>
      </c>
      <c r="J1341" s="30"/>
      <c r="K1341" s="22" t="str">
        <f t="shared" si="17"/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1570</v>
      </c>
      <c r="H1342" s="20" t="str">
        <f>+T1342</f>
        <v/>
      </c>
      <c r="J1342" s="30"/>
      <c r="K1342" s="22" t="str">
        <f t="shared" ref="K1342:K1405" si="18"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1571</v>
      </c>
      <c r="H1343" s="20" t="str">
        <f>+T1343</f>
        <v/>
      </c>
      <c r="J1343" s="30"/>
      <c r="K1343" s="22" t="str">
        <f t="shared" si="18"/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1572</v>
      </c>
      <c r="H1344" s="20" t="str">
        <f>+T1344</f>
        <v/>
      </c>
      <c r="J1344" s="30"/>
      <c r="K1344" s="22" t="str">
        <f t="shared" si="18"/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1573</v>
      </c>
      <c r="H1345" s="20" t="str">
        <f>+T1345</f>
        <v/>
      </c>
      <c r="J1345" s="30"/>
      <c r="K1345" s="22" t="str">
        <f t="shared" si="18"/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1574</v>
      </c>
      <c r="H1346" s="20" t="str">
        <f>+T1346</f>
        <v/>
      </c>
      <c r="J1346" s="30"/>
      <c r="K1346" s="22" t="str">
        <f t="shared" si="18"/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1575</v>
      </c>
      <c r="H1347" s="20" t="str">
        <f>+T1347</f>
        <v/>
      </c>
      <c r="J1347" s="30"/>
      <c r="K1347" s="22" t="str">
        <f t="shared" si="18"/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1576</v>
      </c>
      <c r="H1348" s="20" t="str">
        <f>+T1348</f>
        <v/>
      </c>
      <c r="J1348" s="30"/>
      <c r="K1348" s="22" t="str">
        <f t="shared" si="18"/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1577</v>
      </c>
      <c r="H1349" s="20" t="str">
        <f>+T1349</f>
        <v/>
      </c>
      <c r="J1349" s="30"/>
      <c r="K1349" s="22" t="str">
        <f t="shared" si="18"/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1578</v>
      </c>
      <c r="H1350" s="20" t="str">
        <f>+T1350</f>
        <v/>
      </c>
      <c r="J1350" s="30"/>
      <c r="K1350" s="22" t="str">
        <f t="shared" si="18"/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1579</v>
      </c>
      <c r="H1351" s="20" t="str">
        <f>+T1351</f>
        <v/>
      </c>
      <c r="J1351" s="30"/>
      <c r="K1351" s="22" t="str">
        <f t="shared" si="18"/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1580</v>
      </c>
      <c r="H1352" s="20" t="str">
        <f>+T1352</f>
        <v/>
      </c>
      <c r="J1352" s="30"/>
      <c r="K1352" s="22" t="str">
        <f t="shared" si="18"/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1581</v>
      </c>
      <c r="H1353" s="20" t="str">
        <f>+T1353</f>
        <v/>
      </c>
      <c r="J1353" s="30"/>
      <c r="K1353" s="22" t="str">
        <f t="shared" si="18"/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1582</v>
      </c>
      <c r="H1354" s="20" t="str">
        <f>+T1354</f>
        <v/>
      </c>
      <c r="J1354" s="30"/>
      <c r="K1354" s="22" t="str">
        <f t="shared" si="18"/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1583</v>
      </c>
      <c r="H1355" s="20" t="str">
        <f>+T1355</f>
        <v/>
      </c>
      <c r="J1355" s="30"/>
      <c r="K1355" s="22" t="str">
        <f t="shared" si="18"/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1584</v>
      </c>
      <c r="H1356" s="20" t="str">
        <f>+T1356</f>
        <v/>
      </c>
      <c r="J1356" s="30"/>
      <c r="K1356" s="22" t="str">
        <f t="shared" si="18"/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1585</v>
      </c>
      <c r="H1357" s="20" t="str">
        <f>+T1357</f>
        <v/>
      </c>
      <c r="J1357" s="30"/>
      <c r="K1357" s="22" t="str">
        <f t="shared" si="18"/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1586</v>
      </c>
      <c r="H1358" s="20" t="str">
        <f>+T1358</f>
        <v/>
      </c>
      <c r="J1358" s="30"/>
      <c r="K1358" s="22" t="str">
        <f t="shared" si="18"/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1587</v>
      </c>
      <c r="H1359" s="20" t="str">
        <f>+T1359</f>
        <v/>
      </c>
      <c r="J1359" s="30"/>
      <c r="K1359" s="22" t="str">
        <f t="shared" si="18"/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1588</v>
      </c>
      <c r="H1360" s="20" t="str">
        <f>+T1360</f>
        <v/>
      </c>
      <c r="J1360" s="30"/>
      <c r="K1360" s="22" t="str">
        <f t="shared" si="18"/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1589</v>
      </c>
      <c r="H1361" s="20" t="str">
        <f>+T1361</f>
        <v/>
      </c>
      <c r="J1361" s="30"/>
      <c r="K1361" s="22" t="str">
        <f t="shared" si="18"/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1590</v>
      </c>
      <c r="H1362" s="20" t="str">
        <f>+T1362</f>
        <v/>
      </c>
      <c r="J1362" s="30"/>
      <c r="K1362" s="22" t="str">
        <f t="shared" si="18"/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1591</v>
      </c>
      <c r="H1363" s="20" t="str">
        <f>+T1363</f>
        <v/>
      </c>
      <c r="J1363" s="30"/>
      <c r="K1363" s="22" t="str">
        <f t="shared" si="18"/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1592</v>
      </c>
      <c r="H1364" s="20" t="str">
        <f>+T1364</f>
        <v/>
      </c>
      <c r="J1364" s="30"/>
      <c r="K1364" s="22" t="str">
        <f t="shared" si="18"/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1593</v>
      </c>
      <c r="H1365" s="20" t="str">
        <f>+T1365</f>
        <v/>
      </c>
      <c r="J1365" s="30"/>
      <c r="K1365" s="22" t="str">
        <f t="shared" si="18"/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1594</v>
      </c>
      <c r="H1366" s="20" t="str">
        <f>+T1366</f>
        <v/>
      </c>
      <c r="J1366" s="30"/>
      <c r="K1366" s="22" t="str">
        <f t="shared" si="18"/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1595</v>
      </c>
      <c r="H1367" s="20" t="str">
        <f>+T1367</f>
        <v/>
      </c>
      <c r="J1367" s="30"/>
      <c r="K1367" s="22" t="str">
        <f t="shared" si="18"/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1596</v>
      </c>
      <c r="H1368" s="20" t="str">
        <f>+T1368</f>
        <v/>
      </c>
      <c r="J1368" s="30"/>
      <c r="K1368" s="22" t="str">
        <f t="shared" si="18"/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1597</v>
      </c>
      <c r="H1369" s="20" t="str">
        <f>+T1369</f>
        <v/>
      </c>
      <c r="J1369" s="30"/>
      <c r="K1369" s="22" t="str">
        <f t="shared" si="18"/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1598</v>
      </c>
      <c r="H1370" s="20" t="str">
        <f>+T1370</f>
        <v/>
      </c>
      <c r="J1370" s="30"/>
      <c r="K1370" s="22" t="str">
        <f t="shared" si="18"/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1599</v>
      </c>
      <c r="H1371" s="20" t="str">
        <f>+T1371</f>
        <v/>
      </c>
      <c r="J1371" s="30"/>
      <c r="K1371" s="22" t="str">
        <f t="shared" si="18"/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1600</v>
      </c>
      <c r="H1372" s="20" t="str">
        <f>+T1372</f>
        <v/>
      </c>
      <c r="J1372" s="30"/>
      <c r="K1372" s="22" t="str">
        <f t="shared" si="18"/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1601</v>
      </c>
      <c r="H1373" s="20" t="str">
        <f>+T1373</f>
        <v/>
      </c>
      <c r="J1373" s="30"/>
      <c r="K1373" s="22" t="str">
        <f t="shared" si="18"/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1602</v>
      </c>
      <c r="H1374" s="20" t="str">
        <f>+T1374</f>
        <v/>
      </c>
      <c r="J1374" s="30"/>
      <c r="K1374" s="22" t="str">
        <f t="shared" si="18"/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1603</v>
      </c>
      <c r="H1375" s="20" t="str">
        <f>+T1375</f>
        <v/>
      </c>
      <c r="J1375" s="30"/>
      <c r="K1375" s="22" t="str">
        <f t="shared" si="18"/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1604</v>
      </c>
      <c r="H1376" s="20" t="str">
        <f>+T1376</f>
        <v/>
      </c>
      <c r="J1376" s="30"/>
      <c r="K1376" s="22" t="str">
        <f t="shared" si="18"/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1605</v>
      </c>
      <c r="H1377" s="20" t="str">
        <f>+T1377</f>
        <v/>
      </c>
      <c r="J1377" s="30"/>
      <c r="K1377" s="22" t="str">
        <f t="shared" si="18"/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1606</v>
      </c>
      <c r="H1378" s="20" t="str">
        <f>+T1378</f>
        <v/>
      </c>
      <c r="J1378" s="30"/>
      <c r="K1378" s="22" t="str">
        <f t="shared" si="18"/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1607</v>
      </c>
      <c r="H1379" s="20" t="str">
        <f>+T1379</f>
        <v/>
      </c>
      <c r="J1379" s="30"/>
      <c r="K1379" s="22" t="str">
        <f t="shared" si="18"/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1608</v>
      </c>
      <c r="H1380" s="20" t="str">
        <f>+T1380</f>
        <v/>
      </c>
      <c r="J1380" s="30"/>
      <c r="K1380" s="22" t="str">
        <f t="shared" si="18"/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1609</v>
      </c>
      <c r="H1381" s="20" t="str">
        <f>+T1381</f>
        <v/>
      </c>
      <c r="J1381" s="30"/>
      <c r="K1381" s="22" t="str">
        <f t="shared" si="18"/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1610</v>
      </c>
      <c r="H1382" s="20" t="str">
        <f>+T1382</f>
        <v/>
      </c>
      <c r="J1382" s="30"/>
      <c r="K1382" s="22" t="str">
        <f t="shared" si="18"/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1611</v>
      </c>
      <c r="H1383" s="20" t="str">
        <f>+T1383</f>
        <v/>
      </c>
      <c r="J1383" s="30"/>
      <c r="K1383" s="22" t="str">
        <f t="shared" si="18"/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1612</v>
      </c>
      <c r="H1384" s="20" t="str">
        <f>+T1384</f>
        <v/>
      </c>
      <c r="J1384" s="30"/>
      <c r="K1384" s="22" t="str">
        <f t="shared" si="18"/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1613</v>
      </c>
      <c r="H1385" s="20" t="str">
        <f>+T1385</f>
        <v/>
      </c>
      <c r="J1385" s="30"/>
      <c r="K1385" s="22" t="str">
        <f t="shared" si="18"/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1614</v>
      </c>
      <c r="H1386" s="20" t="str">
        <f>+T1386</f>
        <v/>
      </c>
      <c r="J1386" s="30"/>
      <c r="K1386" s="22" t="str">
        <f t="shared" si="18"/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1615</v>
      </c>
      <c r="H1387" s="20" t="str">
        <f>+T1387</f>
        <v/>
      </c>
      <c r="J1387" s="30"/>
      <c r="K1387" s="22" t="str">
        <f t="shared" si="18"/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1616</v>
      </c>
      <c r="H1388" s="20" t="str">
        <f>+T1388</f>
        <v/>
      </c>
      <c r="J1388" s="30"/>
      <c r="K1388" s="22" t="str">
        <f t="shared" si="18"/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1617</v>
      </c>
      <c r="H1389" s="20" t="str">
        <f>+T1389</f>
        <v/>
      </c>
      <c r="J1389" s="30"/>
      <c r="K1389" s="22" t="str">
        <f t="shared" si="18"/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1618</v>
      </c>
      <c r="H1390" s="20" t="str">
        <f>+T1390</f>
        <v/>
      </c>
      <c r="J1390" s="30"/>
      <c r="K1390" s="22" t="str">
        <f t="shared" si="18"/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1619</v>
      </c>
      <c r="H1391" s="20" t="str">
        <f>+T1391</f>
        <v/>
      </c>
      <c r="J1391" s="30"/>
      <c r="K1391" s="22" t="str">
        <f t="shared" si="18"/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1620</v>
      </c>
      <c r="H1392" s="20" t="str">
        <f>+T1392</f>
        <v/>
      </c>
      <c r="J1392" s="30"/>
      <c r="K1392" s="22" t="str">
        <f t="shared" si="18"/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1621</v>
      </c>
      <c r="H1393" s="20" t="str">
        <f>+T1393</f>
        <v/>
      </c>
      <c r="J1393" s="30"/>
      <c r="K1393" s="22" t="str">
        <f t="shared" si="18"/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1622</v>
      </c>
      <c r="H1394" s="20" t="str">
        <f>+T1394</f>
        <v/>
      </c>
      <c r="J1394" s="30"/>
      <c r="K1394" s="22" t="str">
        <f t="shared" si="18"/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1623</v>
      </c>
      <c r="H1395" s="20" t="str">
        <f>+T1395</f>
        <v/>
      </c>
      <c r="J1395" s="30"/>
      <c r="K1395" s="22" t="str">
        <f t="shared" si="18"/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1624</v>
      </c>
      <c r="H1396" s="20" t="str">
        <f>+T1396</f>
        <v/>
      </c>
      <c r="J1396" s="30"/>
      <c r="K1396" s="22" t="str">
        <f t="shared" si="18"/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1625</v>
      </c>
      <c r="H1397" s="20" t="str">
        <f>+T1397</f>
        <v/>
      </c>
      <c r="J1397" s="30"/>
      <c r="K1397" s="22" t="str">
        <f t="shared" si="18"/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1626</v>
      </c>
      <c r="H1398" s="20" t="str">
        <f>+T1398</f>
        <v/>
      </c>
      <c r="J1398" s="30"/>
      <c r="K1398" s="22" t="str">
        <f t="shared" si="18"/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1627</v>
      </c>
      <c r="H1399" s="20" t="str">
        <f>+T1399</f>
        <v/>
      </c>
      <c r="J1399" s="30"/>
      <c r="K1399" s="22" t="str">
        <f t="shared" si="18"/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1628</v>
      </c>
      <c r="H1400" s="20" t="str">
        <f>+T1400</f>
        <v/>
      </c>
      <c r="J1400" s="30"/>
      <c r="K1400" s="22" t="str">
        <f t="shared" si="18"/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1629</v>
      </c>
      <c r="H1401" s="20" t="str">
        <f>+T1401</f>
        <v/>
      </c>
      <c r="J1401" s="30"/>
      <c r="K1401" s="22" t="str">
        <f t="shared" si="18"/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1630</v>
      </c>
      <c r="H1402" s="20" t="str">
        <f>+T1402</f>
        <v/>
      </c>
      <c r="J1402" s="30"/>
      <c r="K1402" s="22" t="str">
        <f t="shared" si="18"/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1631</v>
      </c>
      <c r="H1403" s="20" t="str">
        <f>+T1403</f>
        <v/>
      </c>
      <c r="J1403" s="30"/>
      <c r="K1403" s="22" t="str">
        <f t="shared" si="18"/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1632</v>
      </c>
      <c r="H1404" s="20" t="str">
        <f>+T1404</f>
        <v/>
      </c>
      <c r="J1404" s="30"/>
      <c r="K1404" s="22" t="str">
        <f t="shared" si="18"/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1633</v>
      </c>
      <c r="H1405" s="20" t="str">
        <f>+T1405</f>
        <v/>
      </c>
      <c r="J1405" s="30"/>
      <c r="K1405" s="22" t="str">
        <f t="shared" si="18"/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1634</v>
      </c>
      <c r="H1406" s="20" t="str">
        <f>+T1406</f>
        <v/>
      </c>
      <c r="J1406" s="30"/>
      <c r="K1406" s="22" t="str">
        <f t="shared" ref="K1406:K1469" si="19"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1635</v>
      </c>
      <c r="H1407" s="20" t="str">
        <f>+T1407</f>
        <v/>
      </c>
      <c r="J1407" s="30"/>
      <c r="K1407" s="22" t="str">
        <f t="shared" si="19"/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1636</v>
      </c>
      <c r="H1408" s="20" t="str">
        <f>+T1408</f>
        <v/>
      </c>
      <c r="J1408" s="30"/>
      <c r="K1408" s="22" t="str">
        <f t="shared" si="19"/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1637</v>
      </c>
      <c r="H1409" s="20" t="str">
        <f>+T1409</f>
        <v/>
      </c>
      <c r="J1409" s="30"/>
      <c r="K1409" s="22" t="str">
        <f t="shared" si="19"/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1638</v>
      </c>
      <c r="H1410" s="20" t="str">
        <f>+T1410</f>
        <v/>
      </c>
      <c r="J1410" s="30"/>
      <c r="K1410" s="22" t="str">
        <f t="shared" si="19"/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1639</v>
      </c>
      <c r="H1411" s="20" t="str">
        <f>+T1411</f>
        <v/>
      </c>
      <c r="J1411" s="30"/>
      <c r="K1411" s="22" t="str">
        <f t="shared" si="19"/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1640</v>
      </c>
      <c r="H1412" s="20" t="str">
        <f>+T1412</f>
        <v/>
      </c>
      <c r="J1412" s="30"/>
      <c r="K1412" s="22" t="str">
        <f t="shared" si="19"/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1641</v>
      </c>
      <c r="H1413" s="20" t="str">
        <f>+T1413</f>
        <v/>
      </c>
      <c r="J1413" s="30"/>
      <c r="K1413" s="22" t="str">
        <f t="shared" si="19"/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1642</v>
      </c>
      <c r="H1414" s="20" t="str">
        <f>+T1414</f>
        <v/>
      </c>
      <c r="J1414" s="30"/>
      <c r="K1414" s="22" t="str">
        <f t="shared" si="19"/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1643</v>
      </c>
      <c r="H1415" s="20" t="str">
        <f>+T1415</f>
        <v/>
      </c>
      <c r="J1415" s="30"/>
      <c r="K1415" s="22" t="str">
        <f t="shared" si="19"/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1644</v>
      </c>
      <c r="H1416" s="20" t="str">
        <f>+T1416</f>
        <v/>
      </c>
      <c r="J1416" s="30"/>
      <c r="K1416" s="22" t="str">
        <f t="shared" si="19"/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1645</v>
      </c>
      <c r="H1417" s="20" t="str">
        <f>+T1417</f>
        <v/>
      </c>
      <c r="J1417" s="30"/>
      <c r="K1417" s="22" t="str">
        <f t="shared" si="19"/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1646</v>
      </c>
      <c r="H1418" s="20" t="str">
        <f>+T1418</f>
        <v/>
      </c>
      <c r="J1418" s="30"/>
      <c r="K1418" s="22" t="str">
        <f t="shared" si="19"/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1647</v>
      </c>
      <c r="H1419" s="20" t="str">
        <f>+T1419</f>
        <v/>
      </c>
      <c r="J1419" s="30"/>
      <c r="K1419" s="22" t="str">
        <f t="shared" si="19"/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1648</v>
      </c>
      <c r="H1420" s="20" t="str">
        <f>+T1420</f>
        <v/>
      </c>
      <c r="J1420" s="30"/>
      <c r="K1420" s="22" t="str">
        <f t="shared" si="19"/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1649</v>
      </c>
      <c r="H1421" s="20" t="str">
        <f>+T1421</f>
        <v/>
      </c>
      <c r="J1421" s="30"/>
      <c r="K1421" s="22" t="str">
        <f t="shared" si="19"/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1650</v>
      </c>
      <c r="H1422" s="20" t="str">
        <f>+T1422</f>
        <v/>
      </c>
      <c r="J1422" s="30"/>
      <c r="K1422" s="22" t="str">
        <f t="shared" si="19"/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1651</v>
      </c>
      <c r="H1423" s="20" t="str">
        <f>+T1423</f>
        <v/>
      </c>
      <c r="J1423" s="30"/>
      <c r="K1423" s="22" t="str">
        <f t="shared" si="19"/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1652</v>
      </c>
      <c r="H1424" s="20" t="str">
        <f>+T1424</f>
        <v/>
      </c>
      <c r="J1424" s="30"/>
      <c r="K1424" s="22" t="str">
        <f t="shared" si="19"/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1653</v>
      </c>
      <c r="H1425" s="20" t="str">
        <f>+T1425</f>
        <v/>
      </c>
      <c r="J1425" s="30"/>
      <c r="K1425" s="22" t="str">
        <f t="shared" si="19"/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1654</v>
      </c>
      <c r="H1426" s="20" t="str">
        <f>+T1426</f>
        <v/>
      </c>
      <c r="J1426" s="30"/>
      <c r="K1426" s="22" t="str">
        <f t="shared" si="19"/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1655</v>
      </c>
      <c r="H1427" s="20" t="str">
        <f>+T1427</f>
        <v/>
      </c>
      <c r="J1427" s="30"/>
      <c r="K1427" s="22" t="str">
        <f t="shared" si="19"/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1656</v>
      </c>
      <c r="H1428" s="20" t="str">
        <f>+T1428</f>
        <v/>
      </c>
      <c r="J1428" s="30"/>
      <c r="K1428" s="22" t="str">
        <f t="shared" si="19"/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1657</v>
      </c>
      <c r="H1429" s="20" t="str">
        <f>+T1429</f>
        <v/>
      </c>
      <c r="J1429" s="30"/>
      <c r="K1429" s="22" t="str">
        <f t="shared" si="19"/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1658</v>
      </c>
      <c r="H1430" s="20" t="str">
        <f>+T1430</f>
        <v/>
      </c>
      <c r="J1430" s="30"/>
      <c r="K1430" s="22" t="str">
        <f t="shared" si="19"/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1659</v>
      </c>
      <c r="H1431" s="20" t="str">
        <f>+T1431</f>
        <v/>
      </c>
      <c r="J1431" s="30"/>
      <c r="K1431" s="22" t="str">
        <f t="shared" si="19"/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1660</v>
      </c>
      <c r="H1432" s="20" t="str">
        <f>+T1432</f>
        <v/>
      </c>
      <c r="J1432" s="30"/>
      <c r="K1432" s="22" t="str">
        <f t="shared" si="19"/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1661</v>
      </c>
      <c r="H1433" s="20" t="str">
        <f>+T1433</f>
        <v/>
      </c>
      <c r="J1433" s="30"/>
      <c r="K1433" s="22" t="str">
        <f t="shared" si="19"/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1662</v>
      </c>
      <c r="H1434" s="20" t="str">
        <f>+T1434</f>
        <v/>
      </c>
      <c r="J1434" s="30"/>
      <c r="K1434" s="22" t="str">
        <f t="shared" si="19"/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1663</v>
      </c>
      <c r="H1435" s="20" t="str">
        <f>+T1435</f>
        <v/>
      </c>
      <c r="J1435" s="30"/>
      <c r="K1435" s="22" t="str">
        <f t="shared" si="19"/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1664</v>
      </c>
      <c r="H1436" s="20" t="str">
        <f>+T1436</f>
        <v/>
      </c>
      <c r="J1436" s="30"/>
      <c r="K1436" s="22" t="str">
        <f t="shared" si="19"/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1665</v>
      </c>
      <c r="H1437" s="20" t="str">
        <f>+T1437</f>
        <v/>
      </c>
      <c r="J1437" s="30"/>
      <c r="K1437" s="22" t="str">
        <f t="shared" si="19"/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1666</v>
      </c>
      <c r="H1438" s="20" t="str">
        <f>+T1438</f>
        <v/>
      </c>
      <c r="J1438" s="30"/>
      <c r="K1438" s="22" t="str">
        <f t="shared" si="19"/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1667</v>
      </c>
      <c r="H1439" s="20" t="str">
        <f>+T1439</f>
        <v/>
      </c>
      <c r="J1439" s="30"/>
      <c r="K1439" s="22" t="str">
        <f t="shared" si="19"/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1668</v>
      </c>
      <c r="H1440" s="20" t="str">
        <f>+T1440</f>
        <v/>
      </c>
      <c r="J1440" s="30"/>
      <c r="K1440" s="22" t="str">
        <f t="shared" si="19"/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1669</v>
      </c>
      <c r="H1441" s="20" t="str">
        <f>+T1441</f>
        <v/>
      </c>
      <c r="J1441" s="30"/>
      <c r="K1441" s="22" t="str">
        <f t="shared" si="19"/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1670</v>
      </c>
      <c r="H1442" s="20" t="str">
        <f>+T1442</f>
        <v/>
      </c>
      <c r="J1442" s="30"/>
      <c r="K1442" s="22" t="str">
        <f t="shared" si="19"/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1671</v>
      </c>
      <c r="H1443" s="20" t="str">
        <f>+T1443</f>
        <v/>
      </c>
      <c r="J1443" s="30"/>
      <c r="K1443" s="22" t="str">
        <f t="shared" si="19"/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1672</v>
      </c>
      <c r="H1444" s="20" t="str">
        <f>+T1444</f>
        <v/>
      </c>
      <c r="J1444" s="30"/>
      <c r="K1444" s="22" t="str">
        <f t="shared" si="19"/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1673</v>
      </c>
      <c r="H1445" s="20" t="str">
        <f>+T1445</f>
        <v/>
      </c>
      <c r="J1445" s="30"/>
      <c r="K1445" s="22" t="str">
        <f t="shared" si="19"/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1674</v>
      </c>
      <c r="H1446" s="20" t="str">
        <f>+T1446</f>
        <v/>
      </c>
      <c r="J1446" s="30"/>
      <c r="K1446" s="22" t="str">
        <f t="shared" si="19"/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1675</v>
      </c>
      <c r="H1447" s="20" t="str">
        <f>+T1447</f>
        <v/>
      </c>
      <c r="J1447" s="30"/>
      <c r="K1447" s="22" t="str">
        <f t="shared" si="19"/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1676</v>
      </c>
      <c r="H1448" s="20" t="str">
        <f>+T1448</f>
        <v/>
      </c>
      <c r="J1448" s="30"/>
      <c r="K1448" s="22" t="str">
        <f t="shared" si="19"/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1677</v>
      </c>
      <c r="H1449" s="20" t="str">
        <f>+T1449</f>
        <v/>
      </c>
      <c r="J1449" s="30"/>
      <c r="K1449" s="22" t="str">
        <f t="shared" si="19"/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1678</v>
      </c>
      <c r="H1450" s="20" t="str">
        <f>+T1450</f>
        <v/>
      </c>
      <c r="J1450" s="30"/>
      <c r="K1450" s="22" t="str">
        <f t="shared" si="19"/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1679</v>
      </c>
      <c r="H1451" s="20" t="str">
        <f>+T1451</f>
        <v/>
      </c>
      <c r="J1451" s="30"/>
      <c r="K1451" s="22" t="str">
        <f t="shared" si="19"/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1680</v>
      </c>
      <c r="H1452" s="20" t="str">
        <f>+T1452</f>
        <v/>
      </c>
      <c r="J1452" s="30"/>
      <c r="K1452" s="22" t="str">
        <f t="shared" si="19"/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1681</v>
      </c>
      <c r="H1453" s="20" t="str">
        <f>+T1453</f>
        <v/>
      </c>
      <c r="J1453" s="30"/>
      <c r="K1453" s="22" t="str">
        <f t="shared" si="19"/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1682</v>
      </c>
      <c r="H1454" s="20" t="str">
        <f>+T1454</f>
        <v/>
      </c>
      <c r="J1454" s="30"/>
      <c r="K1454" s="22" t="str">
        <f t="shared" si="19"/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1683</v>
      </c>
      <c r="H1455" s="20" t="str">
        <f>+T1455</f>
        <v/>
      </c>
      <c r="J1455" s="30"/>
      <c r="K1455" s="22" t="str">
        <f t="shared" si="19"/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1684</v>
      </c>
      <c r="H1456" s="20" t="str">
        <f>+T1456</f>
        <v/>
      </c>
      <c r="J1456" s="30"/>
      <c r="K1456" s="22" t="str">
        <f t="shared" si="19"/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1685</v>
      </c>
      <c r="H1457" s="20" t="str">
        <f>+T1457</f>
        <v/>
      </c>
      <c r="J1457" s="30"/>
      <c r="K1457" s="22" t="str">
        <f t="shared" si="19"/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1686</v>
      </c>
      <c r="H1458" s="20" t="str">
        <f>+T1458</f>
        <v/>
      </c>
      <c r="J1458" s="30"/>
      <c r="K1458" s="22" t="str">
        <f t="shared" si="19"/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1687</v>
      </c>
      <c r="H1459" s="20" t="str">
        <f>+T1459</f>
        <v/>
      </c>
      <c r="J1459" s="30"/>
      <c r="K1459" s="22" t="str">
        <f t="shared" si="19"/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1688</v>
      </c>
      <c r="H1460" s="20" t="str">
        <f>+T1460</f>
        <v/>
      </c>
      <c r="J1460" s="30"/>
      <c r="K1460" s="22" t="str">
        <f t="shared" si="19"/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1689</v>
      </c>
      <c r="H1461" s="20" t="str">
        <f>+T1461</f>
        <v/>
      </c>
      <c r="J1461" s="30"/>
      <c r="K1461" s="22" t="str">
        <f t="shared" si="19"/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1690</v>
      </c>
      <c r="H1462" s="20" t="str">
        <f>+T1462</f>
        <v/>
      </c>
      <c r="J1462" s="30"/>
      <c r="K1462" s="22" t="str">
        <f t="shared" si="19"/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1691</v>
      </c>
      <c r="H1463" s="20" t="str">
        <f>+T1463</f>
        <v/>
      </c>
      <c r="J1463" s="30"/>
      <c r="K1463" s="22" t="str">
        <f t="shared" si="19"/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1692</v>
      </c>
      <c r="H1464" s="20" t="str">
        <f>+T1464</f>
        <v/>
      </c>
      <c r="J1464" s="30"/>
      <c r="K1464" s="22" t="str">
        <f t="shared" si="19"/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1693</v>
      </c>
      <c r="H1465" s="20" t="str">
        <f>+T1465</f>
        <v/>
      </c>
      <c r="J1465" s="30"/>
      <c r="K1465" s="22" t="str">
        <f t="shared" si="19"/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1694</v>
      </c>
      <c r="H1466" s="20" t="str">
        <f>+T1466</f>
        <v/>
      </c>
      <c r="J1466" s="30"/>
      <c r="K1466" s="22" t="str">
        <f t="shared" si="19"/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1695</v>
      </c>
      <c r="H1467" s="20" t="str">
        <f>+T1467</f>
        <v/>
      </c>
      <c r="J1467" s="30"/>
      <c r="K1467" s="22" t="str">
        <f t="shared" si="19"/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1696</v>
      </c>
      <c r="H1468" s="20" t="str">
        <f>+T1468</f>
        <v/>
      </c>
      <c r="J1468" s="30"/>
      <c r="K1468" s="22" t="str">
        <f t="shared" si="19"/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1697</v>
      </c>
      <c r="H1469" s="20" t="str">
        <f>+T1469</f>
        <v/>
      </c>
      <c r="J1469" s="30"/>
      <c r="K1469" s="22" t="str">
        <f t="shared" si="19"/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1698</v>
      </c>
      <c r="H1470" s="20" t="str">
        <f>+T1470</f>
        <v/>
      </c>
      <c r="J1470" s="30"/>
      <c r="K1470" s="22" t="str">
        <f t="shared" ref="K1470:K1533" si="20"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1699</v>
      </c>
      <c r="H1471" s="20" t="str">
        <f>+T1471</f>
        <v/>
      </c>
      <c r="J1471" s="30"/>
      <c r="K1471" s="22" t="str">
        <f t="shared" si="20"/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1700</v>
      </c>
      <c r="H1472" s="20" t="str">
        <f>+T1472</f>
        <v/>
      </c>
      <c r="J1472" s="30"/>
      <c r="K1472" s="22" t="str">
        <f t="shared" si="20"/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1701</v>
      </c>
      <c r="H1473" s="20" t="str">
        <f>+T1473</f>
        <v/>
      </c>
      <c r="J1473" s="30"/>
      <c r="K1473" s="22" t="str">
        <f t="shared" si="20"/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1702</v>
      </c>
      <c r="H1474" s="20" t="str">
        <f>+T1474</f>
        <v/>
      </c>
      <c r="J1474" s="30"/>
      <c r="K1474" s="22" t="str">
        <f t="shared" si="20"/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1703</v>
      </c>
      <c r="H1475" s="20" t="str">
        <f>+T1475</f>
        <v/>
      </c>
      <c r="J1475" s="30"/>
      <c r="K1475" s="22" t="str">
        <f t="shared" si="20"/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1704</v>
      </c>
      <c r="H1476" s="20" t="str">
        <f>+T1476</f>
        <v/>
      </c>
      <c r="J1476" s="30"/>
      <c r="K1476" s="22" t="str">
        <f t="shared" si="20"/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1705</v>
      </c>
      <c r="H1477" s="20" t="str">
        <f>+T1477</f>
        <v/>
      </c>
      <c r="J1477" s="30"/>
      <c r="K1477" s="22" t="str">
        <f t="shared" si="20"/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1706</v>
      </c>
      <c r="H1478" s="20" t="str">
        <f>+T1478</f>
        <v/>
      </c>
      <c r="J1478" s="30"/>
      <c r="K1478" s="22" t="str">
        <f t="shared" si="20"/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1707</v>
      </c>
      <c r="H1479" s="20" t="str">
        <f>+T1479</f>
        <v/>
      </c>
      <c r="J1479" s="30"/>
      <c r="K1479" s="22" t="str">
        <f t="shared" si="20"/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1708</v>
      </c>
      <c r="H1480" s="20" t="str">
        <f>+T1480</f>
        <v/>
      </c>
      <c r="J1480" s="30"/>
      <c r="K1480" s="22" t="str">
        <f t="shared" si="20"/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1709</v>
      </c>
      <c r="H1481" s="20" t="str">
        <f>+T1481</f>
        <v/>
      </c>
      <c r="J1481" s="30"/>
      <c r="K1481" s="22" t="str">
        <f t="shared" si="20"/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1710</v>
      </c>
      <c r="H1482" s="20" t="str">
        <f>+T1482</f>
        <v/>
      </c>
      <c r="J1482" s="30"/>
      <c r="K1482" s="22" t="str">
        <f t="shared" si="20"/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1711</v>
      </c>
      <c r="H1483" s="20" t="str">
        <f>+T1483</f>
        <v/>
      </c>
      <c r="J1483" s="30"/>
      <c r="K1483" s="22" t="str">
        <f t="shared" si="20"/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1712</v>
      </c>
      <c r="H1484" s="20" t="str">
        <f>+T1484</f>
        <v/>
      </c>
      <c r="J1484" s="30"/>
      <c r="K1484" s="22" t="str">
        <f t="shared" si="20"/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1713</v>
      </c>
      <c r="H1485" s="20" t="str">
        <f>+T1485</f>
        <v/>
      </c>
      <c r="J1485" s="30"/>
      <c r="K1485" s="22" t="str">
        <f t="shared" si="20"/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1714</v>
      </c>
      <c r="H1486" s="20" t="str">
        <f>+T1486</f>
        <v/>
      </c>
      <c r="J1486" s="30"/>
      <c r="K1486" s="22" t="str">
        <f t="shared" si="20"/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1715</v>
      </c>
      <c r="H1487" s="20" t="str">
        <f>+T1487</f>
        <v/>
      </c>
      <c r="J1487" s="30"/>
      <c r="K1487" s="22" t="str">
        <f t="shared" si="20"/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1716</v>
      </c>
      <c r="H1488" s="20" t="str">
        <f>+T1488</f>
        <v/>
      </c>
      <c r="J1488" s="30"/>
      <c r="K1488" s="22" t="str">
        <f t="shared" si="20"/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1717</v>
      </c>
      <c r="H1489" s="20" t="str">
        <f>+T1489</f>
        <v/>
      </c>
      <c r="J1489" s="30"/>
      <c r="K1489" s="22" t="str">
        <f t="shared" si="20"/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1718</v>
      </c>
      <c r="H1490" s="20" t="str">
        <f>+T1490</f>
        <v/>
      </c>
      <c r="J1490" s="30"/>
      <c r="K1490" s="22" t="str">
        <f t="shared" si="20"/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1719</v>
      </c>
      <c r="H1491" s="20" t="str">
        <f>+T1491</f>
        <v/>
      </c>
      <c r="J1491" s="30"/>
      <c r="K1491" s="22" t="str">
        <f t="shared" si="20"/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1720</v>
      </c>
      <c r="H1492" s="20" t="str">
        <f>+T1492</f>
        <v/>
      </c>
      <c r="J1492" s="30"/>
      <c r="K1492" s="22" t="str">
        <f t="shared" si="20"/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1721</v>
      </c>
      <c r="H1493" s="20" t="str">
        <f>+T1493</f>
        <v/>
      </c>
      <c r="J1493" s="30"/>
      <c r="K1493" s="22" t="str">
        <f t="shared" si="20"/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1722</v>
      </c>
      <c r="H1494" s="20" t="str">
        <f>+T1494</f>
        <v/>
      </c>
      <c r="J1494" s="30"/>
      <c r="K1494" s="22" t="str">
        <f t="shared" si="20"/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1723</v>
      </c>
      <c r="H1495" s="20" t="str">
        <f>+T1495</f>
        <v/>
      </c>
      <c r="J1495" s="30"/>
      <c r="K1495" s="22" t="str">
        <f t="shared" si="20"/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1724</v>
      </c>
      <c r="H1496" s="20" t="str">
        <f>+T1496</f>
        <v/>
      </c>
      <c r="J1496" s="30"/>
      <c r="K1496" s="22" t="str">
        <f t="shared" si="20"/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1725</v>
      </c>
      <c r="H1497" s="20" t="str">
        <f>+T1497</f>
        <v/>
      </c>
      <c r="J1497" s="30"/>
      <c r="K1497" s="22" t="str">
        <f t="shared" si="20"/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1726</v>
      </c>
      <c r="H1498" s="20" t="str">
        <f>+T1498</f>
        <v/>
      </c>
      <c r="J1498" s="30"/>
      <c r="K1498" s="22" t="str">
        <f t="shared" si="20"/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1727</v>
      </c>
      <c r="H1499" s="20" t="str">
        <f>+T1499</f>
        <v/>
      </c>
      <c r="J1499" s="30"/>
      <c r="K1499" s="22" t="str">
        <f t="shared" si="20"/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1728</v>
      </c>
      <c r="H1500" s="20" t="str">
        <f>+T1500</f>
        <v/>
      </c>
      <c r="J1500" s="30"/>
      <c r="K1500" s="22" t="str">
        <f t="shared" si="20"/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1729</v>
      </c>
      <c r="H1501" s="20" t="str">
        <f>+T1501</f>
        <v/>
      </c>
      <c r="J1501" s="30"/>
      <c r="K1501" s="22" t="str">
        <f t="shared" si="20"/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1730</v>
      </c>
      <c r="H1502" s="20" t="str">
        <f>+T1502</f>
        <v/>
      </c>
      <c r="J1502" s="30"/>
      <c r="K1502" s="22" t="str">
        <f t="shared" si="20"/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1731</v>
      </c>
      <c r="H1503" s="20" t="str">
        <f>+T1503</f>
        <v/>
      </c>
      <c r="J1503" s="30"/>
      <c r="K1503" s="22" t="str">
        <f t="shared" si="20"/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1732</v>
      </c>
      <c r="H1504" s="20" t="str">
        <f>+T1504</f>
        <v/>
      </c>
      <c r="J1504" s="30"/>
      <c r="K1504" s="22" t="str">
        <f t="shared" si="20"/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1733</v>
      </c>
      <c r="H1505" s="20" t="str">
        <f>+T1505</f>
        <v/>
      </c>
      <c r="J1505" s="30"/>
      <c r="K1505" s="22" t="str">
        <f t="shared" si="20"/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1734</v>
      </c>
      <c r="H1506" s="20" t="str">
        <f>+T1506</f>
        <v/>
      </c>
      <c r="J1506" s="30"/>
      <c r="K1506" s="22" t="str">
        <f t="shared" si="20"/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1735</v>
      </c>
      <c r="H1507" s="20" t="str">
        <f>+T1507</f>
        <v/>
      </c>
      <c r="J1507" s="30"/>
      <c r="K1507" s="22" t="str">
        <f t="shared" si="20"/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1736</v>
      </c>
      <c r="H1508" s="20" t="str">
        <f>+T1508</f>
        <v/>
      </c>
      <c r="J1508" s="30"/>
      <c r="K1508" s="22" t="str">
        <f t="shared" si="20"/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1737</v>
      </c>
      <c r="H1509" s="20" t="str">
        <f>+T1509</f>
        <v/>
      </c>
      <c r="J1509" s="30"/>
      <c r="K1509" s="22" t="str">
        <f t="shared" si="20"/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1738</v>
      </c>
      <c r="H1510" s="20" t="str">
        <f>+T1510</f>
        <v/>
      </c>
      <c r="J1510" s="30"/>
      <c r="K1510" s="22" t="str">
        <f t="shared" si="20"/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1739</v>
      </c>
      <c r="H1511" s="20" t="str">
        <f>+T1511</f>
        <v/>
      </c>
      <c r="J1511" s="30"/>
      <c r="K1511" s="22" t="str">
        <f t="shared" si="20"/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1740</v>
      </c>
      <c r="H1512" s="20" t="str">
        <f>+T1512</f>
        <v/>
      </c>
      <c r="J1512" s="30"/>
      <c r="K1512" s="22" t="str">
        <f t="shared" si="20"/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1741</v>
      </c>
      <c r="H1513" s="20" t="str">
        <f>+T1513</f>
        <v/>
      </c>
      <c r="J1513" s="30"/>
      <c r="K1513" s="22" t="str">
        <f t="shared" si="20"/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1742</v>
      </c>
      <c r="H1514" s="20" t="str">
        <f>+T1514</f>
        <v/>
      </c>
      <c r="J1514" s="30"/>
      <c r="K1514" s="22" t="str">
        <f t="shared" si="20"/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1743</v>
      </c>
      <c r="H1515" s="20" t="str">
        <f>+T1515</f>
        <v/>
      </c>
      <c r="J1515" s="30"/>
      <c r="K1515" s="22" t="str">
        <f t="shared" si="20"/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1744</v>
      </c>
      <c r="H1516" s="20" t="str">
        <f>+T1516</f>
        <v/>
      </c>
      <c r="J1516" s="30"/>
      <c r="K1516" s="22" t="str">
        <f t="shared" si="20"/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1745</v>
      </c>
      <c r="H1517" s="20" t="str">
        <f>+T1517</f>
        <v/>
      </c>
      <c r="J1517" s="30"/>
      <c r="K1517" s="22" t="str">
        <f t="shared" si="20"/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1746</v>
      </c>
      <c r="H1518" s="20" t="str">
        <f>+T1518</f>
        <v/>
      </c>
      <c r="J1518" s="30"/>
      <c r="K1518" s="22" t="str">
        <f t="shared" si="20"/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1747</v>
      </c>
      <c r="H1519" s="20" t="str">
        <f>+T1519</f>
        <v/>
      </c>
      <c r="J1519" s="30"/>
      <c r="K1519" s="22" t="str">
        <f t="shared" si="20"/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1748</v>
      </c>
      <c r="H1520" s="20" t="str">
        <f>+T1520</f>
        <v/>
      </c>
      <c r="J1520" s="30"/>
      <c r="K1520" s="22" t="str">
        <f t="shared" si="20"/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1749</v>
      </c>
      <c r="H1521" s="20" t="str">
        <f>+T1521</f>
        <v/>
      </c>
      <c r="J1521" s="30"/>
      <c r="K1521" s="22" t="str">
        <f t="shared" si="20"/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1750</v>
      </c>
      <c r="H1522" s="20" t="str">
        <f>+T1522</f>
        <v/>
      </c>
      <c r="J1522" s="30"/>
      <c r="K1522" s="22" t="str">
        <f t="shared" si="20"/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1751</v>
      </c>
      <c r="H1523" s="20" t="str">
        <f>+T1523</f>
        <v/>
      </c>
      <c r="J1523" s="30"/>
      <c r="K1523" s="22" t="str">
        <f t="shared" si="20"/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1752</v>
      </c>
      <c r="H1524" s="20" t="str">
        <f>+T1524</f>
        <v/>
      </c>
      <c r="J1524" s="30"/>
      <c r="K1524" s="22" t="str">
        <f t="shared" si="20"/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1753</v>
      </c>
      <c r="H1525" s="20" t="str">
        <f>+T1525</f>
        <v/>
      </c>
      <c r="J1525" s="30"/>
      <c r="K1525" s="22" t="str">
        <f t="shared" si="20"/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1754</v>
      </c>
      <c r="H1526" s="20" t="str">
        <f>+T1526</f>
        <v/>
      </c>
      <c r="J1526" s="30"/>
      <c r="K1526" s="22" t="str">
        <f t="shared" si="20"/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1755</v>
      </c>
      <c r="H1527" s="20" t="str">
        <f>+T1527</f>
        <v/>
      </c>
      <c r="J1527" s="30"/>
      <c r="K1527" s="22" t="str">
        <f t="shared" si="20"/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1756</v>
      </c>
      <c r="H1528" s="20" t="str">
        <f>+T1528</f>
        <v/>
      </c>
      <c r="J1528" s="30"/>
      <c r="K1528" s="22" t="str">
        <f t="shared" si="20"/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1757</v>
      </c>
      <c r="H1529" s="20" t="str">
        <f>+T1529</f>
        <v/>
      </c>
      <c r="J1529" s="30"/>
      <c r="K1529" s="22" t="str">
        <f t="shared" si="20"/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1758</v>
      </c>
      <c r="H1530" s="20" t="str">
        <f>+T1530</f>
        <v/>
      </c>
      <c r="J1530" s="30"/>
      <c r="K1530" s="22" t="str">
        <f t="shared" si="20"/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1759</v>
      </c>
      <c r="H1531" s="20" t="str">
        <f>+T1531</f>
        <v/>
      </c>
      <c r="J1531" s="30"/>
      <c r="K1531" s="22" t="str">
        <f t="shared" si="20"/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1760</v>
      </c>
      <c r="H1532" s="20" t="str">
        <f>+T1532</f>
        <v/>
      </c>
      <c r="J1532" s="30"/>
      <c r="K1532" s="22" t="str">
        <f t="shared" si="20"/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1761</v>
      </c>
      <c r="H1533" s="20" t="str">
        <f>+T1533</f>
        <v/>
      </c>
      <c r="J1533" s="30"/>
      <c r="K1533" s="22" t="str">
        <f t="shared" si="20"/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1762</v>
      </c>
      <c r="H1534" s="20" t="str">
        <f>+T1534</f>
        <v/>
      </c>
      <c r="J1534" s="30"/>
      <c r="K1534" s="22" t="str">
        <f t="shared" ref="K1534:K1597" si="21"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1763</v>
      </c>
      <c r="H1535" s="20" t="str">
        <f>+T1535</f>
        <v/>
      </c>
      <c r="J1535" s="30"/>
      <c r="K1535" s="22" t="str">
        <f t="shared" si="21"/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1764</v>
      </c>
      <c r="H1536" s="20" t="str">
        <f>+T1536</f>
        <v/>
      </c>
      <c r="J1536" s="30"/>
      <c r="K1536" s="22" t="str">
        <f t="shared" si="21"/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1765</v>
      </c>
      <c r="H1537" s="20" t="str">
        <f>+T1537</f>
        <v/>
      </c>
      <c r="J1537" s="30"/>
      <c r="K1537" s="22" t="str">
        <f t="shared" si="21"/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1766</v>
      </c>
      <c r="H1538" s="20" t="str">
        <f>+T1538</f>
        <v/>
      </c>
      <c r="J1538" s="30"/>
      <c r="K1538" s="22" t="str">
        <f t="shared" si="21"/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1767</v>
      </c>
      <c r="H1539" s="20" t="str">
        <f>+T1539</f>
        <v/>
      </c>
      <c r="J1539" s="30"/>
      <c r="K1539" s="22" t="str">
        <f t="shared" si="21"/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1768</v>
      </c>
      <c r="H1540" s="20" t="str">
        <f>+T1540</f>
        <v/>
      </c>
      <c r="J1540" s="30"/>
      <c r="K1540" s="22" t="str">
        <f t="shared" si="21"/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1769</v>
      </c>
      <c r="H1541" s="20" t="str">
        <f>+T1541</f>
        <v/>
      </c>
      <c r="J1541" s="30"/>
      <c r="K1541" s="22" t="str">
        <f t="shared" si="21"/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1770</v>
      </c>
      <c r="H1542" s="20" t="str">
        <f>+T1542</f>
        <v/>
      </c>
      <c r="J1542" s="30"/>
      <c r="K1542" s="22" t="str">
        <f t="shared" si="21"/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1771</v>
      </c>
      <c r="H1543" s="20" t="str">
        <f>+T1543</f>
        <v/>
      </c>
      <c r="J1543" s="30"/>
      <c r="K1543" s="22" t="str">
        <f t="shared" si="21"/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1772</v>
      </c>
      <c r="H1544" s="20" t="str">
        <f>+T1544</f>
        <v/>
      </c>
      <c r="J1544" s="30"/>
      <c r="K1544" s="22" t="str">
        <f t="shared" si="21"/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1773</v>
      </c>
      <c r="H1545" s="20" t="str">
        <f>+T1545</f>
        <v/>
      </c>
      <c r="J1545" s="30"/>
      <c r="K1545" s="22" t="str">
        <f t="shared" si="21"/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1774</v>
      </c>
      <c r="H1546" s="20" t="str">
        <f>+T1546</f>
        <v/>
      </c>
      <c r="J1546" s="30"/>
      <c r="K1546" s="22" t="str">
        <f t="shared" si="21"/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1775</v>
      </c>
      <c r="H1547" s="20" t="str">
        <f>+T1547</f>
        <v/>
      </c>
      <c r="J1547" s="30"/>
      <c r="K1547" s="22" t="str">
        <f t="shared" si="21"/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1776</v>
      </c>
      <c r="H1548" s="20" t="str">
        <f>+T1548</f>
        <v/>
      </c>
      <c r="J1548" s="30"/>
      <c r="K1548" s="22" t="str">
        <f t="shared" si="21"/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1777</v>
      </c>
      <c r="H1549" s="20" t="str">
        <f>+T1549</f>
        <v/>
      </c>
      <c r="J1549" s="30"/>
      <c r="K1549" s="22" t="str">
        <f t="shared" si="21"/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1778</v>
      </c>
      <c r="H1550" s="20" t="str">
        <f>+T1550</f>
        <v/>
      </c>
      <c r="J1550" s="30"/>
      <c r="K1550" s="22" t="str">
        <f t="shared" si="21"/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1779</v>
      </c>
      <c r="H1551" s="20" t="str">
        <f>+T1551</f>
        <v/>
      </c>
      <c r="J1551" s="30"/>
      <c r="K1551" s="22" t="str">
        <f t="shared" si="21"/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1780</v>
      </c>
      <c r="H1552" s="20" t="str">
        <f>+T1552</f>
        <v/>
      </c>
      <c r="J1552" s="30"/>
      <c r="K1552" s="22" t="str">
        <f t="shared" si="21"/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1781</v>
      </c>
      <c r="H1553" s="20" t="str">
        <f>+T1553</f>
        <v/>
      </c>
      <c r="J1553" s="30"/>
      <c r="K1553" s="22" t="str">
        <f t="shared" si="21"/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1782</v>
      </c>
      <c r="H1554" s="20" t="str">
        <f>+T1554</f>
        <v/>
      </c>
      <c r="J1554" s="30"/>
      <c r="K1554" s="22" t="str">
        <f t="shared" si="21"/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1783</v>
      </c>
      <c r="H1555" s="20" t="str">
        <f>+T1555</f>
        <v/>
      </c>
      <c r="J1555" s="30"/>
      <c r="K1555" s="22" t="str">
        <f t="shared" si="21"/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1784</v>
      </c>
      <c r="H1556" s="20" t="str">
        <f>+T1556</f>
        <v/>
      </c>
      <c r="J1556" s="30"/>
      <c r="K1556" s="22" t="str">
        <f t="shared" si="21"/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1785</v>
      </c>
      <c r="H1557" s="20" t="str">
        <f>+T1557</f>
        <v/>
      </c>
      <c r="J1557" s="30"/>
      <c r="K1557" s="22" t="str">
        <f t="shared" si="21"/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1786</v>
      </c>
      <c r="H1558" s="20" t="str">
        <f>+T1558</f>
        <v/>
      </c>
      <c r="J1558" s="30"/>
      <c r="K1558" s="22" t="str">
        <f t="shared" si="21"/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1787</v>
      </c>
      <c r="H1559" s="20" t="str">
        <f>+T1559</f>
        <v/>
      </c>
      <c r="J1559" s="30"/>
      <c r="K1559" s="22" t="str">
        <f t="shared" si="21"/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1788</v>
      </c>
      <c r="H1560" s="20" t="str">
        <f>+T1560</f>
        <v/>
      </c>
      <c r="J1560" s="30"/>
      <c r="K1560" s="22" t="str">
        <f t="shared" si="21"/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1789</v>
      </c>
      <c r="H1561" s="20" t="str">
        <f>+T1561</f>
        <v/>
      </c>
      <c r="J1561" s="30"/>
      <c r="K1561" s="22" t="str">
        <f t="shared" si="21"/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1790</v>
      </c>
      <c r="H1562" s="20" t="str">
        <f>+T1562</f>
        <v/>
      </c>
      <c r="J1562" s="30"/>
      <c r="K1562" s="22" t="str">
        <f t="shared" si="21"/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1791</v>
      </c>
      <c r="H1563" s="20" t="str">
        <f>+T1563</f>
        <v/>
      </c>
      <c r="J1563" s="30"/>
      <c r="K1563" s="22" t="str">
        <f t="shared" si="21"/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1792</v>
      </c>
      <c r="H1564" s="20" t="str">
        <f>+T1564</f>
        <v/>
      </c>
      <c r="J1564" s="30"/>
      <c r="K1564" s="22" t="str">
        <f t="shared" si="21"/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1793</v>
      </c>
      <c r="H1565" s="20" t="str">
        <f>+T1565</f>
        <v/>
      </c>
      <c r="J1565" s="30"/>
      <c r="K1565" s="22" t="str">
        <f t="shared" si="21"/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1794</v>
      </c>
      <c r="H1566" s="20" t="str">
        <f>+T1566</f>
        <v/>
      </c>
      <c r="J1566" s="30"/>
      <c r="K1566" s="22" t="str">
        <f t="shared" si="21"/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1795</v>
      </c>
      <c r="H1567" s="20" t="str">
        <f>+T1567</f>
        <v/>
      </c>
      <c r="J1567" s="30"/>
      <c r="K1567" s="22" t="str">
        <f t="shared" si="21"/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1796</v>
      </c>
      <c r="H1568" s="20" t="str">
        <f>+T1568</f>
        <v/>
      </c>
      <c r="J1568" s="30"/>
      <c r="K1568" s="22" t="str">
        <f t="shared" si="21"/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1797</v>
      </c>
      <c r="H1569" s="20" t="str">
        <f>+T1569</f>
        <v/>
      </c>
      <c r="J1569" s="30"/>
      <c r="K1569" s="22" t="str">
        <f t="shared" si="21"/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1798</v>
      </c>
      <c r="H1570" s="20" t="str">
        <f>+T1570</f>
        <v/>
      </c>
      <c r="J1570" s="30"/>
      <c r="K1570" s="22" t="str">
        <f t="shared" si="21"/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1799</v>
      </c>
      <c r="H1571" s="20" t="str">
        <f>+T1571</f>
        <v/>
      </c>
      <c r="J1571" s="30"/>
      <c r="K1571" s="22" t="str">
        <f t="shared" si="21"/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1800</v>
      </c>
      <c r="H1572" s="20" t="str">
        <f>+T1572</f>
        <v/>
      </c>
      <c r="J1572" s="30"/>
      <c r="K1572" s="22" t="str">
        <f t="shared" si="21"/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1801</v>
      </c>
      <c r="H1573" s="20" t="str">
        <f>+T1573</f>
        <v/>
      </c>
      <c r="J1573" s="30"/>
      <c r="K1573" s="22" t="str">
        <f t="shared" si="21"/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1802</v>
      </c>
      <c r="H1574" s="20" t="str">
        <f>+T1574</f>
        <v/>
      </c>
      <c r="J1574" s="30"/>
      <c r="K1574" s="22" t="str">
        <f t="shared" si="21"/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1803</v>
      </c>
      <c r="H1575" s="20" t="str">
        <f>+T1575</f>
        <v/>
      </c>
      <c r="J1575" s="30"/>
      <c r="K1575" s="22" t="str">
        <f t="shared" si="21"/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1804</v>
      </c>
      <c r="H1576" s="20" t="str">
        <f>+T1576</f>
        <v/>
      </c>
      <c r="J1576" s="30"/>
      <c r="K1576" s="22" t="str">
        <f t="shared" si="21"/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1805</v>
      </c>
      <c r="H1577" s="20" t="str">
        <f>+T1577</f>
        <v/>
      </c>
      <c r="J1577" s="30"/>
      <c r="K1577" s="22" t="str">
        <f t="shared" si="21"/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1806</v>
      </c>
      <c r="H1578" s="20" t="str">
        <f>+T1578</f>
        <v/>
      </c>
      <c r="J1578" s="30"/>
      <c r="K1578" s="22" t="str">
        <f t="shared" si="21"/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1807</v>
      </c>
      <c r="H1579" s="20" t="str">
        <f>+T1579</f>
        <v/>
      </c>
      <c r="J1579" s="30"/>
      <c r="K1579" s="22" t="str">
        <f t="shared" si="21"/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1808</v>
      </c>
      <c r="H1580" s="20" t="str">
        <f>+T1580</f>
        <v/>
      </c>
      <c r="J1580" s="30"/>
      <c r="K1580" s="22" t="str">
        <f t="shared" si="21"/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1809</v>
      </c>
      <c r="H1581" s="20" t="str">
        <f>+T1581</f>
        <v/>
      </c>
      <c r="J1581" s="30"/>
      <c r="K1581" s="22" t="str">
        <f t="shared" si="21"/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1810</v>
      </c>
      <c r="H1582" s="20" t="str">
        <f>+T1582</f>
        <v/>
      </c>
      <c r="J1582" s="30"/>
      <c r="K1582" s="22" t="str">
        <f t="shared" si="21"/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1811</v>
      </c>
      <c r="H1583" s="20" t="str">
        <f>+T1583</f>
        <v/>
      </c>
      <c r="J1583" s="30"/>
      <c r="K1583" s="22" t="str">
        <f t="shared" si="21"/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1812</v>
      </c>
      <c r="H1584" s="20" t="str">
        <f>+T1584</f>
        <v/>
      </c>
      <c r="J1584" s="30"/>
      <c r="K1584" s="22" t="str">
        <f t="shared" si="21"/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1813</v>
      </c>
      <c r="H1585" s="20" t="str">
        <f>+T1585</f>
        <v/>
      </c>
      <c r="J1585" s="30"/>
      <c r="K1585" s="22" t="str">
        <f t="shared" si="21"/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1814</v>
      </c>
      <c r="H1586" s="20" t="str">
        <f>+T1586</f>
        <v/>
      </c>
      <c r="J1586" s="30"/>
      <c r="K1586" s="22" t="str">
        <f t="shared" si="21"/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1815</v>
      </c>
      <c r="H1587" s="20" t="str">
        <f>+T1587</f>
        <v/>
      </c>
      <c r="J1587" s="30"/>
      <c r="K1587" s="22" t="str">
        <f t="shared" si="21"/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1816</v>
      </c>
      <c r="H1588" s="20" t="str">
        <f>+T1588</f>
        <v/>
      </c>
      <c r="J1588" s="30"/>
      <c r="K1588" s="22" t="str">
        <f t="shared" si="21"/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1817</v>
      </c>
      <c r="H1589" s="20" t="str">
        <f>+T1589</f>
        <v/>
      </c>
      <c r="J1589" s="30"/>
      <c r="K1589" s="22" t="str">
        <f t="shared" si="21"/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1818</v>
      </c>
      <c r="H1590" s="20" t="str">
        <f>+T1590</f>
        <v/>
      </c>
      <c r="J1590" s="30"/>
      <c r="K1590" s="22" t="str">
        <f t="shared" si="21"/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1819</v>
      </c>
      <c r="H1591" s="20" t="str">
        <f>+T1591</f>
        <v/>
      </c>
      <c r="J1591" s="30"/>
      <c r="K1591" s="22" t="str">
        <f t="shared" si="21"/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1820</v>
      </c>
      <c r="H1592" s="20" t="str">
        <f>+T1592</f>
        <v/>
      </c>
      <c r="J1592" s="30"/>
      <c r="K1592" s="22" t="str">
        <f t="shared" si="21"/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1821</v>
      </c>
      <c r="H1593" s="20" t="str">
        <f>+T1593</f>
        <v/>
      </c>
      <c r="J1593" s="30"/>
      <c r="K1593" s="22" t="str">
        <f t="shared" si="21"/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1822</v>
      </c>
      <c r="H1594" s="20" t="str">
        <f>+T1594</f>
        <v/>
      </c>
      <c r="J1594" s="30"/>
      <c r="K1594" s="22" t="str">
        <f t="shared" si="21"/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1823</v>
      </c>
      <c r="H1595" s="20" t="str">
        <f>+T1595</f>
        <v/>
      </c>
      <c r="J1595" s="30"/>
      <c r="K1595" s="22" t="str">
        <f t="shared" si="21"/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1824</v>
      </c>
      <c r="H1596" s="20" t="str">
        <f>+T1596</f>
        <v/>
      </c>
      <c r="J1596" s="30"/>
      <c r="K1596" s="22" t="str">
        <f t="shared" si="21"/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1825</v>
      </c>
      <c r="H1597" s="20" t="str">
        <f>+T1597</f>
        <v/>
      </c>
      <c r="J1597" s="30"/>
      <c r="K1597" s="22" t="str">
        <f t="shared" si="21"/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1826</v>
      </c>
      <c r="H1598" s="20" t="str">
        <f>+T1598</f>
        <v/>
      </c>
      <c r="J1598" s="30"/>
      <c r="K1598" s="22" t="str">
        <f t="shared" ref="K1598:K1661" si="22"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1827</v>
      </c>
      <c r="H1599" s="20" t="str">
        <f>+T1599</f>
        <v/>
      </c>
      <c r="J1599" s="30"/>
      <c r="K1599" s="22" t="str">
        <f t="shared" si="22"/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1828</v>
      </c>
      <c r="H1600" s="20" t="str">
        <f>+T1600</f>
        <v/>
      </c>
      <c r="J1600" s="30"/>
      <c r="K1600" s="22" t="str">
        <f t="shared" si="22"/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1829</v>
      </c>
      <c r="H1601" s="20" t="str">
        <f>+T1601</f>
        <v/>
      </c>
      <c r="J1601" s="30"/>
      <c r="K1601" s="22" t="str">
        <f t="shared" si="22"/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1830</v>
      </c>
      <c r="H1602" s="20" t="str">
        <f>+T1602</f>
        <v/>
      </c>
      <c r="J1602" s="30"/>
      <c r="K1602" s="22" t="str">
        <f t="shared" si="22"/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1831</v>
      </c>
      <c r="H1603" s="20" t="str">
        <f>+T1603</f>
        <v/>
      </c>
      <c r="J1603" s="30"/>
      <c r="K1603" s="22" t="str">
        <f t="shared" si="22"/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1832</v>
      </c>
      <c r="H1604" s="20" t="str">
        <f>+T1604</f>
        <v/>
      </c>
      <c r="J1604" s="30"/>
      <c r="K1604" s="22" t="str">
        <f t="shared" si="22"/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1833</v>
      </c>
      <c r="H1605" s="20" t="str">
        <f>+T1605</f>
        <v/>
      </c>
      <c r="J1605" s="30"/>
      <c r="K1605" s="22" t="str">
        <f t="shared" si="22"/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1834</v>
      </c>
      <c r="H1606" s="20" t="str">
        <f>+T1606</f>
        <v/>
      </c>
      <c r="J1606" s="30"/>
      <c r="K1606" s="22" t="str">
        <f t="shared" si="22"/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1835</v>
      </c>
      <c r="H1607" s="20" t="str">
        <f>+T1607</f>
        <v/>
      </c>
      <c r="J1607" s="30"/>
      <c r="K1607" s="22" t="str">
        <f t="shared" si="22"/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1836</v>
      </c>
      <c r="H1608" s="20" t="str">
        <f>+T1608</f>
        <v/>
      </c>
      <c r="J1608" s="30"/>
      <c r="K1608" s="22" t="str">
        <f t="shared" si="22"/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1837</v>
      </c>
      <c r="H1609" s="20" t="str">
        <f>+T1609</f>
        <v/>
      </c>
      <c r="J1609" s="30"/>
      <c r="K1609" s="22" t="str">
        <f t="shared" si="22"/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1838</v>
      </c>
      <c r="H1610" s="20" t="str">
        <f>+T1610</f>
        <v/>
      </c>
      <c r="J1610" s="30"/>
      <c r="K1610" s="22" t="str">
        <f t="shared" si="22"/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1839</v>
      </c>
      <c r="H1611" s="20" t="str">
        <f>+T1611</f>
        <v/>
      </c>
      <c r="J1611" s="30"/>
      <c r="K1611" s="22" t="str">
        <f t="shared" si="22"/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1840</v>
      </c>
      <c r="H1612" s="20" t="str">
        <f>+T1612</f>
        <v/>
      </c>
      <c r="J1612" s="30"/>
      <c r="K1612" s="22" t="str">
        <f t="shared" si="22"/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1841</v>
      </c>
      <c r="H1613" s="20" t="str">
        <f>+T1613</f>
        <v/>
      </c>
      <c r="J1613" s="30"/>
      <c r="K1613" s="22" t="str">
        <f t="shared" si="22"/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1842</v>
      </c>
      <c r="H1614" s="20" t="str">
        <f>+T1614</f>
        <v/>
      </c>
      <c r="J1614" s="30"/>
      <c r="K1614" s="22" t="str">
        <f t="shared" si="22"/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1843</v>
      </c>
      <c r="H1615" s="20" t="str">
        <f>+T1615</f>
        <v/>
      </c>
      <c r="J1615" s="30"/>
      <c r="K1615" s="22" t="str">
        <f t="shared" si="22"/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1844</v>
      </c>
      <c r="H1616" s="20" t="str">
        <f>+T1616</f>
        <v/>
      </c>
      <c r="J1616" s="30"/>
      <c r="K1616" s="22" t="str">
        <f t="shared" si="22"/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1845</v>
      </c>
      <c r="H1617" s="20" t="str">
        <f>+T1617</f>
        <v/>
      </c>
      <c r="J1617" s="30"/>
      <c r="K1617" s="22" t="str">
        <f t="shared" si="22"/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1846</v>
      </c>
      <c r="H1618" s="20" t="str">
        <f>+T1618</f>
        <v/>
      </c>
      <c r="J1618" s="30"/>
      <c r="K1618" s="22" t="str">
        <f t="shared" si="22"/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1847</v>
      </c>
      <c r="H1619" s="20" t="str">
        <f>+T1619</f>
        <v/>
      </c>
      <c r="J1619" s="30"/>
      <c r="K1619" s="22" t="str">
        <f t="shared" si="22"/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1848</v>
      </c>
      <c r="H1620" s="20" t="str">
        <f>+T1620</f>
        <v/>
      </c>
      <c r="J1620" s="30"/>
      <c r="K1620" s="22" t="str">
        <f t="shared" si="22"/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1849</v>
      </c>
      <c r="H1621" s="20" t="str">
        <f>+T1621</f>
        <v/>
      </c>
      <c r="J1621" s="30"/>
      <c r="K1621" s="22" t="str">
        <f t="shared" si="22"/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1850</v>
      </c>
      <c r="H1622" s="20" t="str">
        <f>+T1622</f>
        <v/>
      </c>
      <c r="J1622" s="30"/>
      <c r="K1622" s="22" t="str">
        <f t="shared" si="22"/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1851</v>
      </c>
      <c r="H1623" s="20" t="str">
        <f>+T1623</f>
        <v/>
      </c>
      <c r="J1623" s="30"/>
      <c r="K1623" s="22" t="str">
        <f t="shared" si="22"/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1852</v>
      </c>
      <c r="H1624" s="20" t="str">
        <f>+T1624</f>
        <v/>
      </c>
      <c r="J1624" s="30"/>
      <c r="K1624" s="22" t="str">
        <f t="shared" si="22"/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1853</v>
      </c>
      <c r="H1625" s="20" t="str">
        <f>+T1625</f>
        <v/>
      </c>
      <c r="J1625" s="30"/>
      <c r="K1625" s="22" t="str">
        <f t="shared" si="22"/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1854</v>
      </c>
      <c r="H1626" s="20" t="str">
        <f>+T1626</f>
        <v/>
      </c>
      <c r="J1626" s="30"/>
      <c r="K1626" s="22" t="str">
        <f t="shared" si="22"/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1855</v>
      </c>
      <c r="H1627" s="20" t="str">
        <f>+T1627</f>
        <v/>
      </c>
      <c r="J1627" s="30"/>
      <c r="K1627" s="22" t="str">
        <f t="shared" si="22"/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1856</v>
      </c>
      <c r="H1628" s="20" t="str">
        <f>+T1628</f>
        <v/>
      </c>
      <c r="J1628" s="30"/>
      <c r="K1628" s="22" t="str">
        <f t="shared" si="22"/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1857</v>
      </c>
      <c r="H1629" s="20" t="str">
        <f>+T1629</f>
        <v/>
      </c>
      <c r="J1629" s="30"/>
      <c r="K1629" s="22" t="str">
        <f t="shared" si="22"/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1858</v>
      </c>
      <c r="H1630" s="20" t="str">
        <f>+T1630</f>
        <v/>
      </c>
      <c r="J1630" s="30"/>
      <c r="K1630" s="22" t="str">
        <f t="shared" si="22"/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1859</v>
      </c>
      <c r="H1631" s="20" t="str">
        <f>+T1631</f>
        <v/>
      </c>
      <c r="J1631" s="30"/>
      <c r="K1631" s="22" t="str">
        <f t="shared" si="22"/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1860</v>
      </c>
      <c r="H1632" s="20" t="str">
        <f>+T1632</f>
        <v/>
      </c>
      <c r="J1632" s="30"/>
      <c r="K1632" s="22" t="str">
        <f t="shared" si="22"/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1861</v>
      </c>
      <c r="H1633" s="20" t="str">
        <f>+T1633</f>
        <v/>
      </c>
      <c r="J1633" s="30"/>
      <c r="K1633" s="22" t="str">
        <f t="shared" si="22"/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1862</v>
      </c>
      <c r="H1634" s="20" t="str">
        <f>+T1634</f>
        <v/>
      </c>
      <c r="J1634" s="30"/>
      <c r="K1634" s="22" t="str">
        <f t="shared" si="22"/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1863</v>
      </c>
      <c r="H1635" s="20" t="str">
        <f>+T1635</f>
        <v/>
      </c>
      <c r="J1635" s="30"/>
      <c r="K1635" s="22" t="str">
        <f t="shared" si="22"/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1864</v>
      </c>
      <c r="H1636" s="20" t="str">
        <f>+T1636</f>
        <v/>
      </c>
      <c r="J1636" s="30"/>
      <c r="K1636" s="22" t="str">
        <f t="shared" si="22"/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1865</v>
      </c>
      <c r="H1637" s="20" t="str">
        <f>+T1637</f>
        <v/>
      </c>
      <c r="J1637" s="30"/>
      <c r="K1637" s="22" t="str">
        <f t="shared" si="22"/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1866</v>
      </c>
      <c r="H1638" s="20" t="str">
        <f>+T1638</f>
        <v/>
      </c>
      <c r="J1638" s="30"/>
      <c r="K1638" s="22" t="str">
        <f t="shared" si="22"/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1867</v>
      </c>
      <c r="H1639" s="20" t="str">
        <f>+T1639</f>
        <v/>
      </c>
      <c r="J1639" s="30"/>
      <c r="K1639" s="22" t="str">
        <f t="shared" si="22"/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1868</v>
      </c>
      <c r="H1640" s="20" t="str">
        <f>+T1640</f>
        <v/>
      </c>
      <c r="J1640" s="30"/>
      <c r="K1640" s="22" t="str">
        <f t="shared" si="22"/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1869</v>
      </c>
      <c r="H1641" s="20" t="str">
        <f>+T1641</f>
        <v/>
      </c>
      <c r="J1641" s="30"/>
      <c r="K1641" s="22" t="str">
        <f t="shared" si="22"/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1870</v>
      </c>
      <c r="H1642" s="20" t="str">
        <f>+T1642</f>
        <v/>
      </c>
      <c r="J1642" s="30"/>
      <c r="K1642" s="22" t="str">
        <f t="shared" si="22"/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1871</v>
      </c>
      <c r="H1643" s="20" t="str">
        <f>+T1643</f>
        <v/>
      </c>
      <c r="J1643" s="30"/>
      <c r="K1643" s="22" t="str">
        <f t="shared" si="22"/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1872</v>
      </c>
      <c r="H1644" s="20" t="str">
        <f>+T1644</f>
        <v/>
      </c>
      <c r="J1644" s="30"/>
      <c r="K1644" s="22" t="str">
        <f t="shared" si="22"/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1873</v>
      </c>
      <c r="H1645" s="20" t="str">
        <f>+T1645</f>
        <v/>
      </c>
      <c r="J1645" s="30"/>
      <c r="K1645" s="22" t="str">
        <f t="shared" si="22"/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1874</v>
      </c>
      <c r="H1646" s="20" t="str">
        <f>+T1646</f>
        <v/>
      </c>
      <c r="J1646" s="30"/>
      <c r="K1646" s="22" t="str">
        <f t="shared" si="22"/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1875</v>
      </c>
      <c r="H1647" s="20" t="str">
        <f>+T1647</f>
        <v/>
      </c>
      <c r="J1647" s="30"/>
      <c r="K1647" s="22" t="str">
        <f t="shared" si="22"/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1876</v>
      </c>
      <c r="H1648" s="20" t="str">
        <f>+T1648</f>
        <v/>
      </c>
      <c r="J1648" s="30"/>
      <c r="K1648" s="22" t="str">
        <f t="shared" si="22"/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1877</v>
      </c>
      <c r="H1649" s="20" t="str">
        <f>+T1649</f>
        <v/>
      </c>
      <c r="J1649" s="30"/>
      <c r="K1649" s="22" t="str">
        <f t="shared" si="22"/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1878</v>
      </c>
      <c r="H1650" s="20" t="str">
        <f>+T1650</f>
        <v/>
      </c>
      <c r="J1650" s="30"/>
      <c r="K1650" s="22" t="str">
        <f t="shared" si="22"/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1879</v>
      </c>
      <c r="H1651" s="20" t="str">
        <f>+T1651</f>
        <v/>
      </c>
      <c r="J1651" s="30"/>
      <c r="K1651" s="22" t="str">
        <f t="shared" si="22"/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1880</v>
      </c>
      <c r="H1652" s="20" t="str">
        <f>+T1652</f>
        <v/>
      </c>
      <c r="J1652" s="30"/>
      <c r="K1652" s="22" t="str">
        <f t="shared" si="22"/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1881</v>
      </c>
      <c r="H1653" s="20" t="str">
        <f>+T1653</f>
        <v/>
      </c>
      <c r="J1653" s="30"/>
      <c r="K1653" s="22" t="str">
        <f t="shared" si="22"/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1882</v>
      </c>
      <c r="H1654" s="20" t="str">
        <f>+T1654</f>
        <v/>
      </c>
      <c r="J1654" s="30"/>
      <c r="K1654" s="22" t="str">
        <f t="shared" si="22"/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1883</v>
      </c>
      <c r="H1655" s="20" t="str">
        <f>+T1655</f>
        <v/>
      </c>
      <c r="J1655" s="30"/>
      <c r="K1655" s="22" t="str">
        <f t="shared" si="22"/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1884</v>
      </c>
      <c r="H1656" s="20" t="str">
        <f>+T1656</f>
        <v/>
      </c>
      <c r="J1656" s="30"/>
      <c r="K1656" s="22" t="str">
        <f t="shared" si="22"/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1885</v>
      </c>
      <c r="H1657" s="20" t="str">
        <f>+T1657</f>
        <v/>
      </c>
      <c r="J1657" s="30"/>
      <c r="K1657" s="22" t="str">
        <f t="shared" si="22"/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1886</v>
      </c>
      <c r="H1658" s="20" t="str">
        <f>+T1658</f>
        <v/>
      </c>
      <c r="J1658" s="30"/>
      <c r="K1658" s="22" t="str">
        <f t="shared" si="22"/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1887</v>
      </c>
      <c r="H1659" s="20" t="str">
        <f>+T1659</f>
        <v/>
      </c>
      <c r="J1659" s="30"/>
      <c r="K1659" s="22" t="str">
        <f t="shared" si="22"/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1888</v>
      </c>
      <c r="H1660" s="20" t="str">
        <f>+T1660</f>
        <v/>
      </c>
      <c r="J1660" s="30"/>
      <c r="K1660" s="22" t="str">
        <f t="shared" si="22"/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1889</v>
      </c>
      <c r="H1661" s="20" t="str">
        <f>+T1661</f>
        <v/>
      </c>
      <c r="J1661" s="30"/>
      <c r="K1661" s="22" t="str">
        <f t="shared" si="22"/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1890</v>
      </c>
      <c r="H1662" s="20" t="str">
        <f>+T1662</f>
        <v/>
      </c>
      <c r="J1662" s="30"/>
      <c r="K1662" s="22" t="str">
        <f t="shared" ref="K1662:K1725" si="23"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1891</v>
      </c>
      <c r="H1663" s="20" t="str">
        <f>+T1663</f>
        <v/>
      </c>
      <c r="J1663" s="30"/>
      <c r="K1663" s="22" t="str">
        <f t="shared" si="23"/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1892</v>
      </c>
      <c r="H1664" s="20" t="str">
        <f>+T1664</f>
        <v/>
      </c>
      <c r="J1664" s="30"/>
      <c r="K1664" s="22" t="str">
        <f t="shared" si="23"/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1893</v>
      </c>
      <c r="H1665" s="20" t="str">
        <f>+T1665</f>
        <v/>
      </c>
      <c r="J1665" s="30"/>
      <c r="K1665" s="22" t="str">
        <f t="shared" si="23"/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1894</v>
      </c>
      <c r="H1666" s="20" t="str">
        <f>+T1666</f>
        <v/>
      </c>
      <c r="J1666" s="30"/>
      <c r="K1666" s="22" t="str">
        <f t="shared" si="23"/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1895</v>
      </c>
      <c r="H1667" s="20" t="str">
        <f>+T1667</f>
        <v/>
      </c>
      <c r="J1667" s="30"/>
      <c r="K1667" s="22" t="str">
        <f t="shared" si="23"/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1896</v>
      </c>
      <c r="H1668" s="20" t="str">
        <f>+T1668</f>
        <v/>
      </c>
      <c r="J1668" s="30"/>
      <c r="K1668" s="22" t="str">
        <f t="shared" si="23"/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1897</v>
      </c>
      <c r="H1669" s="20" t="str">
        <f>+T1669</f>
        <v/>
      </c>
      <c r="J1669" s="30"/>
      <c r="K1669" s="22" t="str">
        <f t="shared" si="23"/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1898</v>
      </c>
      <c r="H1670" s="20" t="str">
        <f>+T1670</f>
        <v/>
      </c>
      <c r="J1670" s="30"/>
      <c r="K1670" s="22" t="str">
        <f t="shared" si="23"/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1899</v>
      </c>
      <c r="H1671" s="20" t="str">
        <f>+T1671</f>
        <v/>
      </c>
      <c r="J1671" s="30"/>
      <c r="K1671" s="22" t="str">
        <f t="shared" si="23"/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1900</v>
      </c>
      <c r="H1672" s="20" t="str">
        <f>+T1672</f>
        <v/>
      </c>
      <c r="J1672" s="30"/>
      <c r="K1672" s="22" t="str">
        <f t="shared" si="23"/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1901</v>
      </c>
      <c r="H1673" s="20" t="str">
        <f>+T1673</f>
        <v/>
      </c>
      <c r="J1673" s="30"/>
      <c r="K1673" s="22" t="str">
        <f t="shared" si="23"/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1902</v>
      </c>
      <c r="H1674" s="20" t="str">
        <f>+T1674</f>
        <v/>
      </c>
      <c r="J1674" s="30"/>
      <c r="K1674" s="22" t="str">
        <f t="shared" si="23"/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1903</v>
      </c>
      <c r="H1675" s="20" t="str">
        <f>+T1675</f>
        <v/>
      </c>
      <c r="J1675" s="30"/>
      <c r="K1675" s="22" t="str">
        <f t="shared" si="23"/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1904</v>
      </c>
      <c r="H1676" s="20" t="str">
        <f>+T1676</f>
        <v/>
      </c>
      <c r="J1676" s="30"/>
      <c r="K1676" s="22" t="str">
        <f t="shared" si="23"/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1905</v>
      </c>
      <c r="H1677" s="20" t="str">
        <f>+T1677</f>
        <v/>
      </c>
      <c r="J1677" s="30"/>
      <c r="K1677" s="22" t="str">
        <f t="shared" si="23"/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1906</v>
      </c>
      <c r="H1678" s="20" t="str">
        <f>+T1678</f>
        <v/>
      </c>
      <c r="J1678" s="30"/>
      <c r="K1678" s="22" t="str">
        <f t="shared" si="23"/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1907</v>
      </c>
      <c r="H1679" s="20" t="str">
        <f>+T1679</f>
        <v/>
      </c>
      <c r="J1679" s="30"/>
      <c r="K1679" s="22" t="str">
        <f t="shared" si="23"/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1908</v>
      </c>
      <c r="H1680" s="20" t="str">
        <f>+T1680</f>
        <v/>
      </c>
      <c r="J1680" s="30"/>
      <c r="K1680" s="22" t="str">
        <f t="shared" si="23"/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1909</v>
      </c>
      <c r="H1681" s="20" t="str">
        <f>+T1681</f>
        <v/>
      </c>
      <c r="J1681" s="30"/>
      <c r="K1681" s="22" t="str">
        <f t="shared" si="23"/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1910</v>
      </c>
      <c r="H1682" s="20" t="str">
        <f>+T1682</f>
        <v/>
      </c>
      <c r="J1682" s="30"/>
      <c r="K1682" s="22" t="str">
        <f t="shared" si="23"/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1911</v>
      </c>
      <c r="H1683" s="20" t="str">
        <f>+T1683</f>
        <v/>
      </c>
      <c r="J1683" s="30"/>
      <c r="K1683" s="22" t="str">
        <f t="shared" si="23"/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1912</v>
      </c>
      <c r="H1684" s="20" t="str">
        <f>+T1684</f>
        <v/>
      </c>
      <c r="J1684" s="30"/>
      <c r="K1684" s="22" t="str">
        <f t="shared" si="23"/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1913</v>
      </c>
      <c r="H1685" s="20" t="str">
        <f>+T1685</f>
        <v/>
      </c>
      <c r="J1685" s="30"/>
      <c r="K1685" s="22" t="str">
        <f t="shared" si="23"/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1914</v>
      </c>
      <c r="H1686" s="20" t="str">
        <f>+T1686</f>
        <v/>
      </c>
      <c r="J1686" s="30"/>
      <c r="K1686" s="22" t="str">
        <f t="shared" si="23"/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1915</v>
      </c>
      <c r="H1687" s="20" t="str">
        <f>+T1687</f>
        <v/>
      </c>
      <c r="J1687" s="30"/>
      <c r="K1687" s="22" t="str">
        <f t="shared" si="23"/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1916</v>
      </c>
      <c r="H1688" s="20" t="str">
        <f>+T1688</f>
        <v/>
      </c>
      <c r="J1688" s="30"/>
      <c r="K1688" s="22" t="str">
        <f t="shared" si="23"/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1917</v>
      </c>
      <c r="H1689" s="20" t="str">
        <f>+T1689</f>
        <v/>
      </c>
      <c r="J1689" s="30"/>
      <c r="K1689" s="22" t="str">
        <f t="shared" si="23"/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1918</v>
      </c>
      <c r="H1690" s="20" t="str">
        <f>+T1690</f>
        <v/>
      </c>
      <c r="J1690" s="30"/>
      <c r="K1690" s="22" t="str">
        <f t="shared" si="23"/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1919</v>
      </c>
      <c r="H1691" s="20" t="str">
        <f>+T1691</f>
        <v/>
      </c>
      <c r="J1691" s="30"/>
      <c r="K1691" s="22" t="str">
        <f t="shared" si="23"/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1920</v>
      </c>
      <c r="H1692" s="20" t="str">
        <f>+T1692</f>
        <v/>
      </c>
      <c r="J1692" s="30"/>
      <c r="K1692" s="22" t="str">
        <f t="shared" si="23"/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1921</v>
      </c>
      <c r="H1693" s="20" t="str">
        <f>+T1693</f>
        <v/>
      </c>
      <c r="J1693" s="30"/>
      <c r="K1693" s="22" t="str">
        <f t="shared" si="23"/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1922</v>
      </c>
      <c r="H1694" s="20" t="str">
        <f>+T1694</f>
        <v/>
      </c>
      <c r="J1694" s="30"/>
      <c r="K1694" s="22" t="str">
        <f t="shared" si="23"/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1923</v>
      </c>
      <c r="H1695" s="20" t="str">
        <f>+T1695</f>
        <v/>
      </c>
      <c r="J1695" s="30"/>
      <c r="K1695" s="22" t="str">
        <f t="shared" si="23"/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1924</v>
      </c>
      <c r="H1696" s="20" t="str">
        <f>+T1696</f>
        <v/>
      </c>
      <c r="J1696" s="30"/>
      <c r="K1696" s="22" t="str">
        <f t="shared" si="23"/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1925</v>
      </c>
      <c r="H1697" s="20" t="str">
        <f>+T1697</f>
        <v/>
      </c>
      <c r="J1697" s="30"/>
      <c r="K1697" s="22" t="str">
        <f t="shared" si="23"/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1926</v>
      </c>
      <c r="H1698" s="20" t="str">
        <f>+T1698</f>
        <v/>
      </c>
      <c r="J1698" s="30"/>
      <c r="K1698" s="22" t="str">
        <f t="shared" si="23"/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1927</v>
      </c>
      <c r="H1699" s="20" t="str">
        <f>+T1699</f>
        <v/>
      </c>
      <c r="J1699" s="30"/>
      <c r="K1699" s="22" t="str">
        <f t="shared" si="23"/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1928</v>
      </c>
      <c r="H1700" s="20" t="str">
        <f>+T1700</f>
        <v/>
      </c>
      <c r="J1700" s="30"/>
      <c r="K1700" s="22" t="str">
        <f t="shared" si="23"/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1929</v>
      </c>
      <c r="H1701" s="20" t="str">
        <f>+T1701</f>
        <v/>
      </c>
      <c r="J1701" s="30"/>
      <c r="K1701" s="22" t="str">
        <f t="shared" si="23"/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1930</v>
      </c>
      <c r="H1702" s="20" t="str">
        <f>+T1702</f>
        <v/>
      </c>
      <c r="J1702" s="30"/>
      <c r="K1702" s="22" t="str">
        <f t="shared" si="23"/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1931</v>
      </c>
      <c r="H1703" s="20" t="str">
        <f>+T1703</f>
        <v/>
      </c>
      <c r="J1703" s="30"/>
      <c r="K1703" s="22" t="str">
        <f t="shared" si="23"/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1932</v>
      </c>
      <c r="H1704" s="20" t="str">
        <f>+T1704</f>
        <v/>
      </c>
      <c r="J1704" s="30"/>
      <c r="K1704" s="22" t="str">
        <f t="shared" si="23"/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1933</v>
      </c>
      <c r="H1705" s="20" t="str">
        <f>+T1705</f>
        <v/>
      </c>
      <c r="J1705" s="30"/>
      <c r="K1705" s="22" t="str">
        <f t="shared" si="23"/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1934</v>
      </c>
      <c r="H1706" s="20" t="str">
        <f>+T1706</f>
        <v/>
      </c>
      <c r="J1706" s="30"/>
      <c r="K1706" s="22" t="str">
        <f t="shared" si="23"/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1935</v>
      </c>
      <c r="H1707" s="20" t="str">
        <f>+T1707</f>
        <v/>
      </c>
      <c r="J1707" s="30"/>
      <c r="K1707" s="22" t="str">
        <f t="shared" si="23"/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1936</v>
      </c>
      <c r="H1708" s="20" t="str">
        <f>+T1708</f>
        <v/>
      </c>
      <c r="J1708" s="30"/>
      <c r="K1708" s="22" t="str">
        <f t="shared" si="23"/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1937</v>
      </c>
      <c r="H1709" s="20" t="str">
        <f>+T1709</f>
        <v/>
      </c>
      <c r="J1709" s="30"/>
      <c r="K1709" s="22" t="str">
        <f t="shared" si="23"/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1938</v>
      </c>
      <c r="H1710" s="20" t="str">
        <f>+T1710</f>
        <v/>
      </c>
      <c r="J1710" s="30"/>
      <c r="K1710" s="22" t="str">
        <f t="shared" si="23"/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1939</v>
      </c>
      <c r="H1711" s="20" t="str">
        <f>+T1711</f>
        <v/>
      </c>
      <c r="J1711" s="30"/>
      <c r="K1711" s="22" t="str">
        <f t="shared" si="23"/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1940</v>
      </c>
      <c r="H1712" s="20" t="str">
        <f>+T1712</f>
        <v/>
      </c>
      <c r="J1712" s="30"/>
      <c r="K1712" s="22" t="str">
        <f t="shared" si="23"/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1941</v>
      </c>
      <c r="H1713" s="20" t="str">
        <f>+T1713</f>
        <v/>
      </c>
      <c r="J1713" s="30"/>
      <c r="K1713" s="22" t="str">
        <f t="shared" si="23"/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1942</v>
      </c>
      <c r="H1714" s="20" t="str">
        <f>+T1714</f>
        <v/>
      </c>
      <c r="J1714" s="30"/>
      <c r="K1714" s="22" t="str">
        <f t="shared" si="23"/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1943</v>
      </c>
      <c r="H1715" s="20" t="str">
        <f>+T1715</f>
        <v/>
      </c>
      <c r="J1715" s="30"/>
      <c r="K1715" s="22" t="str">
        <f t="shared" si="23"/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1944</v>
      </c>
      <c r="H1716" s="20" t="str">
        <f>+T1716</f>
        <v/>
      </c>
      <c r="J1716" s="30"/>
      <c r="K1716" s="22" t="str">
        <f t="shared" si="23"/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1945</v>
      </c>
      <c r="H1717" s="20" t="str">
        <f>+T1717</f>
        <v/>
      </c>
      <c r="J1717" s="30"/>
      <c r="K1717" s="22" t="str">
        <f t="shared" si="23"/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1946</v>
      </c>
      <c r="H1718" s="20" t="str">
        <f>+T1718</f>
        <v/>
      </c>
      <c r="J1718" s="30"/>
      <c r="K1718" s="22" t="str">
        <f t="shared" si="23"/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1947</v>
      </c>
      <c r="H1719" s="20" t="str">
        <f>+T1719</f>
        <v/>
      </c>
      <c r="J1719" s="30"/>
      <c r="K1719" s="22" t="str">
        <f t="shared" si="23"/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1948</v>
      </c>
      <c r="H1720" s="20" t="str">
        <f>+T1720</f>
        <v/>
      </c>
      <c r="J1720" s="30"/>
      <c r="K1720" s="22" t="str">
        <f t="shared" si="23"/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1949</v>
      </c>
      <c r="H1721" s="20" t="str">
        <f>+T1721</f>
        <v/>
      </c>
      <c r="J1721" s="30"/>
      <c r="K1721" s="22" t="str">
        <f t="shared" si="23"/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1950</v>
      </c>
      <c r="H1722" s="20" t="str">
        <f>+T1722</f>
        <v/>
      </c>
      <c r="J1722" s="30"/>
      <c r="K1722" s="22" t="str">
        <f t="shared" si="23"/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1951</v>
      </c>
      <c r="H1723" s="20" t="str">
        <f>+T1723</f>
        <v/>
      </c>
      <c r="J1723" s="30"/>
      <c r="K1723" s="22" t="str">
        <f t="shared" si="23"/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1952</v>
      </c>
      <c r="H1724" s="20" t="str">
        <f>+T1724</f>
        <v/>
      </c>
      <c r="J1724" s="30"/>
      <c r="K1724" s="22" t="str">
        <f t="shared" si="23"/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1953</v>
      </c>
      <c r="H1725" s="20" t="str">
        <f>+T1725</f>
        <v/>
      </c>
      <c r="J1725" s="30"/>
      <c r="K1725" s="22" t="str">
        <f t="shared" si="23"/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1954</v>
      </c>
      <c r="H1726" s="20" t="str">
        <f>+T1726</f>
        <v/>
      </c>
      <c r="J1726" s="30"/>
      <c r="K1726" s="22" t="str">
        <f t="shared" ref="K1726:K1789" si="24"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1955</v>
      </c>
      <c r="H1727" s="20" t="str">
        <f>+T1727</f>
        <v/>
      </c>
      <c r="J1727" s="30"/>
      <c r="K1727" s="22" t="str">
        <f t="shared" si="24"/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1956</v>
      </c>
      <c r="H1728" s="20" t="str">
        <f>+T1728</f>
        <v/>
      </c>
      <c r="J1728" s="30"/>
      <c r="K1728" s="22" t="str">
        <f t="shared" si="24"/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1957</v>
      </c>
      <c r="H1729" s="20" t="str">
        <f>+T1729</f>
        <v/>
      </c>
      <c r="J1729" s="30"/>
      <c r="K1729" s="22" t="str">
        <f t="shared" si="24"/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1958</v>
      </c>
      <c r="H1730" s="20" t="str">
        <f>+T1730</f>
        <v/>
      </c>
      <c r="J1730" s="30"/>
      <c r="K1730" s="22" t="str">
        <f t="shared" si="24"/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1959</v>
      </c>
      <c r="H1731" s="20" t="str">
        <f>+T1731</f>
        <v/>
      </c>
      <c r="J1731" s="30"/>
      <c r="K1731" s="22" t="str">
        <f t="shared" si="24"/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1960</v>
      </c>
      <c r="H1732" s="20" t="str">
        <f>+T1732</f>
        <v/>
      </c>
      <c r="J1732" s="30"/>
      <c r="K1732" s="22" t="str">
        <f t="shared" si="24"/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1961</v>
      </c>
      <c r="H1733" s="20" t="str">
        <f>+T1733</f>
        <v/>
      </c>
      <c r="J1733" s="30"/>
      <c r="K1733" s="22" t="str">
        <f t="shared" si="24"/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1962</v>
      </c>
      <c r="H1734" s="20" t="str">
        <f>+T1734</f>
        <v/>
      </c>
      <c r="J1734" s="30"/>
      <c r="K1734" s="22" t="str">
        <f t="shared" si="24"/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1963</v>
      </c>
      <c r="H1735" s="20" t="str">
        <f>+T1735</f>
        <v/>
      </c>
      <c r="J1735" s="30"/>
      <c r="K1735" s="22" t="str">
        <f t="shared" si="24"/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1964</v>
      </c>
      <c r="H1736" s="20" t="str">
        <f>+T1736</f>
        <v/>
      </c>
      <c r="J1736" s="30"/>
      <c r="K1736" s="22" t="str">
        <f t="shared" si="24"/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1965</v>
      </c>
      <c r="H1737" s="20" t="str">
        <f>+T1737</f>
        <v/>
      </c>
      <c r="J1737" s="30"/>
      <c r="K1737" s="22" t="str">
        <f t="shared" si="24"/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1966</v>
      </c>
      <c r="H1738" s="20" t="str">
        <f>+T1738</f>
        <v/>
      </c>
      <c r="J1738" s="30"/>
      <c r="K1738" s="22" t="str">
        <f t="shared" si="24"/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1967</v>
      </c>
      <c r="H1739" s="20" t="str">
        <f>+T1739</f>
        <v/>
      </c>
      <c r="J1739" s="30"/>
      <c r="K1739" s="22" t="str">
        <f t="shared" si="24"/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1968</v>
      </c>
      <c r="H1740" s="20" t="str">
        <f>+T1740</f>
        <v/>
      </c>
      <c r="J1740" s="30"/>
      <c r="K1740" s="22" t="str">
        <f t="shared" si="24"/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1969</v>
      </c>
      <c r="H1741" s="20" t="str">
        <f>+T1741</f>
        <v/>
      </c>
      <c r="J1741" s="30"/>
      <c r="K1741" s="22" t="str">
        <f t="shared" si="24"/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1970</v>
      </c>
      <c r="H1742" s="20" t="str">
        <f>+T1742</f>
        <v/>
      </c>
      <c r="J1742" s="30"/>
      <c r="K1742" s="22" t="str">
        <f t="shared" si="24"/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1971</v>
      </c>
      <c r="H1743" s="20" t="str">
        <f>+T1743</f>
        <v/>
      </c>
      <c r="J1743" s="30"/>
      <c r="K1743" s="22" t="str">
        <f t="shared" si="24"/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1972</v>
      </c>
      <c r="H1744" s="20" t="str">
        <f>+T1744</f>
        <v/>
      </c>
      <c r="J1744" s="30"/>
      <c r="K1744" s="22" t="str">
        <f t="shared" si="24"/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1973</v>
      </c>
      <c r="H1745" s="20" t="str">
        <f>+T1745</f>
        <v/>
      </c>
      <c r="J1745" s="30"/>
      <c r="K1745" s="22" t="str">
        <f t="shared" si="24"/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1974</v>
      </c>
      <c r="H1746" s="20" t="str">
        <f>+T1746</f>
        <v/>
      </c>
      <c r="J1746" s="30"/>
      <c r="K1746" s="22" t="str">
        <f t="shared" si="24"/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1975</v>
      </c>
      <c r="H1747" s="20" t="str">
        <f>+T1747</f>
        <v/>
      </c>
      <c r="J1747" s="30"/>
      <c r="K1747" s="22" t="str">
        <f t="shared" si="24"/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1976</v>
      </c>
      <c r="H1748" s="20" t="str">
        <f>+T1748</f>
        <v/>
      </c>
      <c r="J1748" s="30"/>
      <c r="K1748" s="22" t="str">
        <f t="shared" si="24"/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1977</v>
      </c>
      <c r="H1749" s="20" t="str">
        <f>+T1749</f>
        <v/>
      </c>
      <c r="J1749" s="30"/>
      <c r="K1749" s="22" t="str">
        <f t="shared" si="24"/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1978</v>
      </c>
      <c r="H1750" s="20" t="str">
        <f>+T1750</f>
        <v/>
      </c>
      <c r="J1750" s="30"/>
      <c r="K1750" s="22" t="str">
        <f t="shared" si="24"/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1979</v>
      </c>
      <c r="H1751" s="20" t="str">
        <f>+T1751</f>
        <v/>
      </c>
      <c r="J1751" s="30"/>
      <c r="K1751" s="22" t="str">
        <f t="shared" si="24"/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1980</v>
      </c>
      <c r="H1752" s="20" t="str">
        <f>+T1752</f>
        <v/>
      </c>
      <c r="J1752" s="30"/>
      <c r="K1752" s="22" t="str">
        <f t="shared" si="24"/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1981</v>
      </c>
      <c r="H1753" s="20" t="str">
        <f>+T1753</f>
        <v/>
      </c>
      <c r="J1753" s="30"/>
      <c r="K1753" s="22" t="str">
        <f t="shared" si="24"/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1982</v>
      </c>
      <c r="H1754" s="20" t="str">
        <f>+T1754</f>
        <v/>
      </c>
      <c r="J1754" s="30"/>
      <c r="K1754" s="22" t="str">
        <f t="shared" si="24"/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1983</v>
      </c>
      <c r="H1755" s="20" t="str">
        <f>+T1755</f>
        <v/>
      </c>
      <c r="J1755" s="30"/>
      <c r="K1755" s="22" t="str">
        <f t="shared" si="24"/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1984</v>
      </c>
      <c r="H1756" s="20" t="str">
        <f>+T1756</f>
        <v/>
      </c>
      <c r="J1756" s="30"/>
      <c r="K1756" s="22" t="str">
        <f t="shared" si="24"/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1985</v>
      </c>
      <c r="H1757" s="20" t="str">
        <f>+T1757</f>
        <v/>
      </c>
      <c r="J1757" s="30"/>
      <c r="K1757" s="22" t="str">
        <f t="shared" si="24"/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1986</v>
      </c>
      <c r="H1758" s="20" t="str">
        <f>+T1758</f>
        <v/>
      </c>
      <c r="J1758" s="30"/>
      <c r="K1758" s="22" t="str">
        <f t="shared" si="24"/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1987</v>
      </c>
      <c r="H1759" s="20" t="str">
        <f>+T1759</f>
        <v/>
      </c>
      <c r="J1759" s="30"/>
      <c r="K1759" s="22" t="str">
        <f t="shared" si="24"/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1988</v>
      </c>
      <c r="H1760" s="20" t="str">
        <f>+T1760</f>
        <v/>
      </c>
      <c r="J1760" s="30"/>
      <c r="K1760" s="22" t="str">
        <f t="shared" si="24"/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1989</v>
      </c>
      <c r="H1761" s="20" t="str">
        <f>+T1761</f>
        <v/>
      </c>
      <c r="J1761" s="30"/>
      <c r="K1761" s="22" t="str">
        <f t="shared" si="24"/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1990</v>
      </c>
      <c r="H1762" s="20" t="str">
        <f>+T1762</f>
        <v/>
      </c>
      <c r="J1762" s="30"/>
      <c r="K1762" s="22" t="str">
        <f t="shared" si="24"/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1991</v>
      </c>
      <c r="H1763" s="20" t="str">
        <f>+T1763</f>
        <v/>
      </c>
      <c r="J1763" s="30"/>
      <c r="K1763" s="22" t="str">
        <f t="shared" si="24"/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1992</v>
      </c>
      <c r="H1764" s="20" t="str">
        <f>+T1764</f>
        <v/>
      </c>
      <c r="J1764" s="30"/>
      <c r="K1764" s="22" t="str">
        <f t="shared" si="24"/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1993</v>
      </c>
      <c r="H1765" s="20" t="str">
        <f>+T1765</f>
        <v/>
      </c>
      <c r="J1765" s="30"/>
      <c r="K1765" s="22" t="str">
        <f t="shared" si="24"/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1994</v>
      </c>
      <c r="H1766" s="20" t="str">
        <f>+T1766</f>
        <v/>
      </c>
      <c r="J1766" s="30"/>
      <c r="K1766" s="22" t="str">
        <f t="shared" si="24"/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1995</v>
      </c>
      <c r="H1767" s="20" t="str">
        <f>+T1767</f>
        <v/>
      </c>
      <c r="J1767" s="30"/>
      <c r="K1767" s="22" t="str">
        <f t="shared" si="24"/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1996</v>
      </c>
      <c r="H1768" s="20" t="str">
        <f>+T1768</f>
        <v/>
      </c>
      <c r="J1768" s="30"/>
      <c r="K1768" s="22" t="str">
        <f t="shared" si="24"/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1997</v>
      </c>
      <c r="H1769" s="20" t="str">
        <f>+T1769</f>
        <v/>
      </c>
      <c r="J1769" s="30"/>
      <c r="K1769" s="22" t="str">
        <f t="shared" si="24"/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1998</v>
      </c>
      <c r="H1770" s="20" t="str">
        <f>+T1770</f>
        <v/>
      </c>
      <c r="J1770" s="30"/>
      <c r="K1770" s="22" t="str">
        <f t="shared" si="24"/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1999</v>
      </c>
      <c r="H1771" s="20" t="str">
        <f>+T1771</f>
        <v/>
      </c>
      <c r="J1771" s="30"/>
      <c r="K1771" s="22" t="str">
        <f t="shared" si="24"/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2000</v>
      </c>
      <c r="H1772" s="20" t="str">
        <f>+T1772</f>
        <v/>
      </c>
      <c r="J1772" s="30"/>
      <c r="K1772" s="22" t="str">
        <f t="shared" si="24"/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2001</v>
      </c>
      <c r="H1773" s="20" t="str">
        <f>+T1773</f>
        <v/>
      </c>
      <c r="J1773" s="30"/>
      <c r="K1773" s="22" t="str">
        <f t="shared" si="24"/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2002</v>
      </c>
      <c r="H1774" s="20" t="str">
        <f>+T1774</f>
        <v/>
      </c>
      <c r="J1774" s="30"/>
      <c r="K1774" s="22" t="str">
        <f t="shared" si="24"/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2003</v>
      </c>
      <c r="H1775" s="20" t="str">
        <f>+T1775</f>
        <v/>
      </c>
      <c r="J1775" s="30"/>
      <c r="K1775" s="22" t="str">
        <f t="shared" si="24"/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2004</v>
      </c>
      <c r="H1776" s="20" t="str">
        <f>+T1776</f>
        <v/>
      </c>
      <c r="J1776" s="30"/>
      <c r="K1776" s="22" t="str">
        <f t="shared" si="24"/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2005</v>
      </c>
      <c r="H1777" s="20" t="str">
        <f>+T1777</f>
        <v/>
      </c>
      <c r="J1777" s="30"/>
      <c r="K1777" s="22" t="str">
        <f t="shared" si="24"/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2006</v>
      </c>
      <c r="H1778" s="20" t="str">
        <f>+T1778</f>
        <v/>
      </c>
      <c r="J1778" s="30"/>
      <c r="K1778" s="22" t="str">
        <f t="shared" si="24"/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2007</v>
      </c>
      <c r="H1779" s="20" t="str">
        <f>+T1779</f>
        <v/>
      </c>
      <c r="J1779" s="30"/>
      <c r="K1779" s="22" t="str">
        <f t="shared" si="24"/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2008</v>
      </c>
      <c r="H1780" s="20" t="str">
        <f>+T1780</f>
        <v/>
      </c>
      <c r="J1780" s="30"/>
      <c r="K1780" s="22" t="str">
        <f t="shared" si="24"/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2009</v>
      </c>
      <c r="H1781" s="20" t="str">
        <f>+T1781</f>
        <v/>
      </c>
      <c r="J1781" s="30"/>
      <c r="K1781" s="22" t="str">
        <f t="shared" si="24"/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2010</v>
      </c>
      <c r="H1782" s="20" t="str">
        <f>+T1782</f>
        <v/>
      </c>
      <c r="J1782" s="30"/>
      <c r="K1782" s="22" t="str">
        <f t="shared" si="24"/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2011</v>
      </c>
      <c r="H1783" s="20" t="str">
        <f>+T1783</f>
        <v/>
      </c>
      <c r="J1783" s="30"/>
      <c r="K1783" s="22" t="str">
        <f t="shared" si="24"/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2012</v>
      </c>
      <c r="H1784" s="20" t="str">
        <f>+T1784</f>
        <v/>
      </c>
      <c r="J1784" s="30"/>
      <c r="K1784" s="22" t="str">
        <f t="shared" si="24"/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2013</v>
      </c>
      <c r="H1785" s="20" t="str">
        <f>+T1785</f>
        <v/>
      </c>
      <c r="J1785" s="30"/>
      <c r="K1785" s="22" t="str">
        <f t="shared" si="24"/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2014</v>
      </c>
      <c r="H1786" s="20" t="str">
        <f>+T1786</f>
        <v/>
      </c>
      <c r="J1786" s="30"/>
      <c r="K1786" s="22" t="str">
        <f t="shared" si="24"/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2015</v>
      </c>
      <c r="H1787" s="20" t="str">
        <f>+T1787</f>
        <v/>
      </c>
      <c r="J1787" s="30"/>
      <c r="K1787" s="22" t="str">
        <f t="shared" si="24"/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2016</v>
      </c>
      <c r="H1788" s="20" t="str">
        <f>+T1788</f>
        <v/>
      </c>
      <c r="J1788" s="30"/>
      <c r="K1788" s="22" t="str">
        <f t="shared" si="24"/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2017</v>
      </c>
      <c r="H1789" s="20" t="str">
        <f>+T1789</f>
        <v/>
      </c>
      <c r="J1789" s="30"/>
      <c r="K1789" s="22" t="str">
        <f t="shared" si="24"/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2018</v>
      </c>
      <c r="H1790" s="20" t="str">
        <f>+T1790</f>
        <v/>
      </c>
      <c r="J1790" s="30"/>
      <c r="K1790" s="22" t="str">
        <f t="shared" ref="K1790:K1853" si="25"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2019</v>
      </c>
      <c r="H1791" s="20" t="str">
        <f>+T1791</f>
        <v/>
      </c>
      <c r="J1791" s="30"/>
      <c r="K1791" s="22" t="str">
        <f t="shared" si="25"/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2020</v>
      </c>
      <c r="H1792" s="20" t="str">
        <f>+T1792</f>
        <v/>
      </c>
      <c r="J1792" s="30"/>
      <c r="K1792" s="22" t="str">
        <f t="shared" si="25"/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2021</v>
      </c>
      <c r="H1793" s="20" t="str">
        <f>+T1793</f>
        <v/>
      </c>
      <c r="J1793" s="30"/>
      <c r="K1793" s="22" t="str">
        <f t="shared" si="25"/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2022</v>
      </c>
      <c r="H1794" s="20" t="str">
        <f>+T1794</f>
        <v/>
      </c>
      <c r="J1794" s="30"/>
      <c r="K1794" s="22" t="str">
        <f t="shared" si="25"/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2023</v>
      </c>
      <c r="H1795" s="20" t="str">
        <f>+T1795</f>
        <v/>
      </c>
      <c r="J1795" s="30"/>
      <c r="K1795" s="22" t="str">
        <f t="shared" si="25"/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2024</v>
      </c>
      <c r="H1796" s="20" t="str">
        <f>+T1796</f>
        <v/>
      </c>
      <c r="J1796" s="30"/>
      <c r="K1796" s="22" t="str">
        <f t="shared" si="25"/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2025</v>
      </c>
      <c r="H1797" s="20" t="str">
        <f>+T1797</f>
        <v/>
      </c>
      <c r="J1797" s="30"/>
      <c r="K1797" s="22" t="str">
        <f t="shared" si="25"/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2026</v>
      </c>
      <c r="H1798" s="20" t="str">
        <f>+T1798</f>
        <v/>
      </c>
      <c r="J1798" s="30"/>
      <c r="K1798" s="22" t="str">
        <f t="shared" si="25"/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2027</v>
      </c>
      <c r="H1799" s="20" t="str">
        <f>+T1799</f>
        <v/>
      </c>
      <c r="J1799" s="30"/>
      <c r="K1799" s="22" t="str">
        <f t="shared" si="25"/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2028</v>
      </c>
      <c r="H1800" s="20" t="str">
        <f>+T1800</f>
        <v/>
      </c>
      <c r="J1800" s="30"/>
      <c r="K1800" s="22" t="str">
        <f t="shared" si="25"/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2029</v>
      </c>
      <c r="H1801" s="20" t="str">
        <f>+T1801</f>
        <v/>
      </c>
      <c r="J1801" s="30"/>
      <c r="K1801" s="22" t="str">
        <f t="shared" si="25"/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2030</v>
      </c>
      <c r="H1802" s="20" t="str">
        <f>+T1802</f>
        <v/>
      </c>
      <c r="J1802" s="30"/>
      <c r="K1802" s="22" t="str">
        <f t="shared" si="25"/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2031</v>
      </c>
      <c r="H1803" s="20" t="str">
        <f>+T1803</f>
        <v/>
      </c>
      <c r="J1803" s="30"/>
      <c r="K1803" s="22" t="str">
        <f t="shared" si="25"/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2032</v>
      </c>
      <c r="H1804" s="20" t="str">
        <f>+T1804</f>
        <v/>
      </c>
      <c r="J1804" s="30"/>
      <c r="K1804" s="22" t="str">
        <f t="shared" si="25"/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2033</v>
      </c>
      <c r="H1805" s="20" t="str">
        <f>+T1805</f>
        <v/>
      </c>
      <c r="J1805" s="30"/>
      <c r="K1805" s="22" t="str">
        <f t="shared" si="25"/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2034</v>
      </c>
      <c r="H1806" s="20" t="str">
        <f>+T1806</f>
        <v/>
      </c>
      <c r="J1806" s="30"/>
      <c r="K1806" s="22" t="str">
        <f t="shared" si="25"/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2035</v>
      </c>
      <c r="H1807" s="20" t="str">
        <f>+T1807</f>
        <v/>
      </c>
      <c r="J1807" s="30"/>
      <c r="K1807" s="22" t="str">
        <f t="shared" si="25"/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2036</v>
      </c>
      <c r="H1808" s="20" t="str">
        <f>+T1808</f>
        <v/>
      </c>
      <c r="J1808" s="30"/>
      <c r="K1808" s="22" t="str">
        <f t="shared" si="25"/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2037</v>
      </c>
      <c r="H1809" s="20" t="str">
        <f>+T1809</f>
        <v/>
      </c>
      <c r="J1809" s="30"/>
      <c r="K1809" s="22" t="str">
        <f t="shared" si="25"/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2038</v>
      </c>
      <c r="H1810" s="20" t="str">
        <f>+T1810</f>
        <v/>
      </c>
      <c r="J1810" s="30"/>
      <c r="K1810" s="22" t="str">
        <f t="shared" si="25"/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2039</v>
      </c>
      <c r="H1811" s="20" t="str">
        <f>+T1811</f>
        <v/>
      </c>
      <c r="J1811" s="30"/>
      <c r="K1811" s="22" t="str">
        <f t="shared" si="25"/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2040</v>
      </c>
      <c r="H1812" s="20" t="str">
        <f>+T1812</f>
        <v/>
      </c>
      <c r="J1812" s="30"/>
      <c r="K1812" s="22" t="str">
        <f t="shared" si="25"/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2041</v>
      </c>
      <c r="H1813" s="20" t="str">
        <f>+T1813</f>
        <v/>
      </c>
      <c r="J1813" s="30"/>
      <c r="K1813" s="22" t="str">
        <f t="shared" si="25"/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2042</v>
      </c>
      <c r="H1814" s="20" t="str">
        <f>+T1814</f>
        <v/>
      </c>
      <c r="J1814" s="30"/>
      <c r="K1814" s="22" t="str">
        <f t="shared" si="25"/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2043</v>
      </c>
      <c r="H1815" s="20" t="str">
        <f>+T1815</f>
        <v/>
      </c>
      <c r="J1815" s="30"/>
      <c r="K1815" s="22" t="str">
        <f t="shared" si="25"/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2044</v>
      </c>
      <c r="H1816" s="20" t="str">
        <f>+T1816</f>
        <v/>
      </c>
      <c r="J1816" s="30"/>
      <c r="K1816" s="22" t="str">
        <f t="shared" si="25"/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2045</v>
      </c>
      <c r="H1817" s="20" t="str">
        <f>+T1817</f>
        <v/>
      </c>
      <c r="J1817" s="30"/>
      <c r="K1817" s="22" t="str">
        <f t="shared" si="25"/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2046</v>
      </c>
      <c r="H1818" s="20" t="str">
        <f>+T1818</f>
        <v/>
      </c>
      <c r="J1818" s="30"/>
      <c r="K1818" s="22" t="str">
        <f t="shared" si="25"/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2047</v>
      </c>
      <c r="H1819" s="20" t="str">
        <f>+T1819</f>
        <v/>
      </c>
      <c r="J1819" s="30"/>
      <c r="K1819" s="22" t="str">
        <f t="shared" si="25"/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2048</v>
      </c>
      <c r="H1820" s="20" t="str">
        <f>+T1820</f>
        <v/>
      </c>
      <c r="J1820" s="30"/>
      <c r="K1820" s="22" t="str">
        <f t="shared" si="25"/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2049</v>
      </c>
      <c r="H1821" s="20" t="str">
        <f>+T1821</f>
        <v/>
      </c>
      <c r="J1821" s="30"/>
      <c r="K1821" s="22" t="str">
        <f t="shared" si="25"/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2050</v>
      </c>
      <c r="H1822" s="20" t="str">
        <f>+T1822</f>
        <v/>
      </c>
      <c r="J1822" s="30"/>
      <c r="K1822" s="22" t="str">
        <f t="shared" si="25"/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2051</v>
      </c>
      <c r="H1823" s="20" t="str">
        <f>+T1823</f>
        <v/>
      </c>
      <c r="J1823" s="30"/>
      <c r="K1823" s="22" t="str">
        <f t="shared" si="25"/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2052</v>
      </c>
      <c r="H1824" s="20" t="str">
        <f>+T1824</f>
        <v/>
      </c>
      <c r="J1824" s="30"/>
      <c r="K1824" s="22" t="str">
        <f t="shared" si="25"/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2053</v>
      </c>
      <c r="H1825" s="20" t="str">
        <f>+T1825</f>
        <v/>
      </c>
      <c r="J1825" s="30"/>
      <c r="K1825" s="22" t="str">
        <f t="shared" si="25"/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2054</v>
      </c>
      <c r="H1826" s="20" t="str">
        <f>+T1826</f>
        <v/>
      </c>
      <c r="J1826" s="30"/>
      <c r="K1826" s="22" t="str">
        <f t="shared" si="25"/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2055</v>
      </c>
      <c r="H1827" s="20" t="str">
        <f>+T1827</f>
        <v/>
      </c>
      <c r="J1827" s="30"/>
      <c r="K1827" s="22" t="str">
        <f t="shared" si="25"/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2056</v>
      </c>
      <c r="H1828" s="20" t="str">
        <f>+T1828</f>
        <v/>
      </c>
      <c r="J1828" s="30"/>
      <c r="K1828" s="22" t="str">
        <f t="shared" si="25"/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2057</v>
      </c>
      <c r="H1829" s="20" t="str">
        <f>+T1829</f>
        <v/>
      </c>
      <c r="J1829" s="30"/>
      <c r="K1829" s="22" t="str">
        <f t="shared" si="25"/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2058</v>
      </c>
      <c r="H1830" s="20" t="str">
        <f>+T1830</f>
        <v/>
      </c>
      <c r="J1830" s="30"/>
      <c r="K1830" s="22" t="str">
        <f t="shared" si="25"/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2059</v>
      </c>
      <c r="H1831" s="20" t="str">
        <f>+T1831</f>
        <v/>
      </c>
      <c r="J1831" s="30"/>
      <c r="K1831" s="22" t="str">
        <f t="shared" si="25"/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2060</v>
      </c>
      <c r="H1832" s="20" t="str">
        <f>+T1832</f>
        <v/>
      </c>
      <c r="J1832" s="30"/>
      <c r="K1832" s="22" t="str">
        <f t="shared" si="25"/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2061</v>
      </c>
      <c r="H1833" s="20" t="str">
        <f>+T1833</f>
        <v/>
      </c>
      <c r="J1833" s="30"/>
      <c r="K1833" s="22" t="str">
        <f t="shared" si="25"/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2062</v>
      </c>
      <c r="H1834" s="20" t="str">
        <f>+T1834</f>
        <v/>
      </c>
      <c r="J1834" s="30"/>
      <c r="K1834" s="22" t="str">
        <f t="shared" si="25"/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2063</v>
      </c>
      <c r="H1835" s="20" t="str">
        <f>+T1835</f>
        <v/>
      </c>
      <c r="J1835" s="30"/>
      <c r="K1835" s="22" t="str">
        <f t="shared" si="25"/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2064</v>
      </c>
      <c r="H1836" s="20" t="str">
        <f>+T1836</f>
        <v/>
      </c>
      <c r="J1836" s="30"/>
      <c r="K1836" s="22" t="str">
        <f t="shared" si="25"/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2065</v>
      </c>
      <c r="H1837" s="20" t="str">
        <f>+T1837</f>
        <v/>
      </c>
      <c r="J1837" s="30"/>
      <c r="K1837" s="22" t="str">
        <f t="shared" si="25"/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2066</v>
      </c>
      <c r="H1838" s="20" t="str">
        <f>+T1838</f>
        <v/>
      </c>
      <c r="J1838" s="30"/>
      <c r="K1838" s="22" t="str">
        <f t="shared" si="25"/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2067</v>
      </c>
      <c r="H1839" s="20" t="str">
        <f>+T1839</f>
        <v/>
      </c>
      <c r="J1839" s="30"/>
      <c r="K1839" s="22" t="str">
        <f t="shared" si="25"/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2068</v>
      </c>
      <c r="H1840" s="20" t="str">
        <f>+T1840</f>
        <v/>
      </c>
      <c r="J1840" s="30"/>
      <c r="K1840" s="22" t="str">
        <f t="shared" si="25"/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2069</v>
      </c>
      <c r="H1841" s="20" t="str">
        <f>+T1841</f>
        <v/>
      </c>
      <c r="J1841" s="30"/>
      <c r="K1841" s="22" t="str">
        <f t="shared" si="25"/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2070</v>
      </c>
      <c r="H1842" s="20" t="str">
        <f>+T1842</f>
        <v/>
      </c>
      <c r="J1842" s="30"/>
      <c r="K1842" s="22" t="str">
        <f t="shared" si="25"/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2071</v>
      </c>
      <c r="H1843" s="20" t="str">
        <f>+T1843</f>
        <v/>
      </c>
      <c r="J1843" s="30"/>
      <c r="K1843" s="22" t="str">
        <f t="shared" si="25"/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2072</v>
      </c>
      <c r="H1844" s="20" t="str">
        <f>+T1844</f>
        <v/>
      </c>
      <c r="J1844" s="30"/>
      <c r="K1844" s="22" t="str">
        <f t="shared" si="25"/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2073</v>
      </c>
      <c r="H1845" s="20" t="str">
        <f>+T1845</f>
        <v/>
      </c>
      <c r="J1845" s="30"/>
      <c r="K1845" s="22" t="str">
        <f t="shared" si="25"/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2074</v>
      </c>
      <c r="H1846" s="20" t="str">
        <f>+T1846</f>
        <v/>
      </c>
      <c r="J1846" s="30"/>
      <c r="K1846" s="22" t="str">
        <f t="shared" si="25"/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2075</v>
      </c>
      <c r="H1847" s="20" t="str">
        <f>+T1847</f>
        <v/>
      </c>
      <c r="J1847" s="30"/>
      <c r="K1847" s="22" t="str">
        <f t="shared" si="25"/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2076</v>
      </c>
      <c r="H1848" s="20" t="str">
        <f>+T1848</f>
        <v/>
      </c>
      <c r="J1848" s="30"/>
      <c r="K1848" s="22" t="str">
        <f t="shared" si="25"/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2077</v>
      </c>
      <c r="H1849" s="20" t="str">
        <f>+T1849</f>
        <v/>
      </c>
      <c r="J1849" s="30"/>
      <c r="K1849" s="22" t="str">
        <f t="shared" si="25"/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2078</v>
      </c>
      <c r="H1850" s="20" t="str">
        <f>+T1850</f>
        <v/>
      </c>
      <c r="J1850" s="30"/>
      <c r="K1850" s="22" t="str">
        <f t="shared" si="25"/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2079</v>
      </c>
      <c r="H1851" s="20" t="str">
        <f>+T1851</f>
        <v/>
      </c>
      <c r="J1851" s="30"/>
      <c r="K1851" s="22" t="str">
        <f t="shared" si="25"/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2080</v>
      </c>
      <c r="H1852" s="20" t="str">
        <f>+T1852</f>
        <v/>
      </c>
      <c r="J1852" s="30"/>
      <c r="K1852" s="22" t="str">
        <f t="shared" si="25"/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2081</v>
      </c>
      <c r="H1853" s="20" t="str">
        <f>+T1853</f>
        <v/>
      </c>
      <c r="J1853" s="30"/>
      <c r="K1853" s="22" t="str">
        <f t="shared" si="25"/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2082</v>
      </c>
      <c r="H1854" s="20" t="str">
        <f>+T1854</f>
        <v/>
      </c>
      <c r="J1854" s="30"/>
      <c r="K1854" s="22" t="str">
        <f t="shared" ref="K1854:K1917" si="26"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2083</v>
      </c>
      <c r="H1855" s="20" t="str">
        <f>+T1855</f>
        <v/>
      </c>
      <c r="J1855" s="30"/>
      <c r="K1855" s="22" t="str">
        <f t="shared" si="26"/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2084</v>
      </c>
      <c r="H1856" s="20" t="str">
        <f>+T1856</f>
        <v/>
      </c>
      <c r="J1856" s="30"/>
      <c r="K1856" s="22" t="str">
        <f t="shared" si="26"/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2085</v>
      </c>
      <c r="H1857" s="20" t="str">
        <f>+T1857</f>
        <v/>
      </c>
      <c r="J1857" s="30"/>
      <c r="K1857" s="22" t="str">
        <f t="shared" si="26"/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2086</v>
      </c>
      <c r="H1858" s="20" t="str">
        <f>+T1858</f>
        <v/>
      </c>
      <c r="J1858" s="30"/>
      <c r="K1858" s="22" t="str">
        <f t="shared" si="26"/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2087</v>
      </c>
      <c r="H1859" s="20" t="str">
        <f>+T1859</f>
        <v/>
      </c>
      <c r="J1859" s="30"/>
      <c r="K1859" s="22" t="str">
        <f t="shared" si="26"/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2088</v>
      </c>
      <c r="H1860" s="20" t="str">
        <f>+T1860</f>
        <v/>
      </c>
      <c r="J1860" s="30"/>
      <c r="K1860" s="22" t="str">
        <f t="shared" si="26"/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2089</v>
      </c>
      <c r="H1861" s="20" t="str">
        <f>+T1861</f>
        <v/>
      </c>
      <c r="J1861" s="30"/>
      <c r="K1861" s="22" t="str">
        <f t="shared" si="26"/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2090</v>
      </c>
      <c r="H1862" s="20" t="str">
        <f>+T1862</f>
        <v/>
      </c>
      <c r="J1862" s="30"/>
      <c r="K1862" s="22" t="str">
        <f t="shared" si="26"/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2091</v>
      </c>
      <c r="H1863" s="20" t="str">
        <f>+T1863</f>
        <v/>
      </c>
      <c r="J1863" s="30"/>
      <c r="K1863" s="22" t="str">
        <f t="shared" si="26"/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2092</v>
      </c>
      <c r="H1864" s="20" t="str">
        <f>+T1864</f>
        <v/>
      </c>
      <c r="J1864" s="30"/>
      <c r="K1864" s="22" t="str">
        <f t="shared" si="26"/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2093</v>
      </c>
      <c r="H1865" s="20" t="str">
        <f>+T1865</f>
        <v/>
      </c>
      <c r="J1865" s="30"/>
      <c r="K1865" s="22" t="str">
        <f t="shared" si="26"/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2094</v>
      </c>
      <c r="H1866" s="20" t="str">
        <f>+T1866</f>
        <v/>
      </c>
      <c r="J1866" s="30"/>
      <c r="K1866" s="22" t="str">
        <f t="shared" si="26"/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2095</v>
      </c>
      <c r="H1867" s="20" t="str">
        <f>+T1867</f>
        <v/>
      </c>
      <c r="J1867" s="30"/>
      <c r="K1867" s="22" t="str">
        <f t="shared" si="26"/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2096</v>
      </c>
      <c r="H1868" s="20" t="str">
        <f>+T1868</f>
        <v/>
      </c>
      <c r="J1868" s="30"/>
      <c r="K1868" s="22" t="str">
        <f t="shared" si="26"/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2097</v>
      </c>
      <c r="H1869" s="20" t="str">
        <f>+T1869</f>
        <v/>
      </c>
      <c r="J1869" s="30"/>
      <c r="K1869" s="22" t="str">
        <f t="shared" si="26"/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2098</v>
      </c>
      <c r="H1870" s="20" t="str">
        <f>+T1870</f>
        <v/>
      </c>
      <c r="J1870" s="30"/>
      <c r="K1870" s="22" t="str">
        <f t="shared" si="26"/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2099</v>
      </c>
      <c r="H1871" s="20" t="str">
        <f>+T1871</f>
        <v/>
      </c>
      <c r="J1871" s="30"/>
      <c r="K1871" s="22" t="str">
        <f t="shared" si="26"/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2100</v>
      </c>
      <c r="H1872" s="20" t="str">
        <f>+T1872</f>
        <v/>
      </c>
      <c r="J1872" s="30"/>
      <c r="K1872" s="22" t="str">
        <f t="shared" si="26"/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2101</v>
      </c>
      <c r="H1873" s="20" t="str">
        <f>+T1873</f>
        <v/>
      </c>
      <c r="J1873" s="30"/>
      <c r="K1873" s="22" t="str">
        <f t="shared" si="26"/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2102</v>
      </c>
      <c r="H1874" s="20" t="str">
        <f>+T1874</f>
        <v/>
      </c>
      <c r="J1874" s="30"/>
      <c r="K1874" s="22" t="str">
        <f t="shared" si="26"/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2103</v>
      </c>
      <c r="H1875" s="20" t="str">
        <f>+T1875</f>
        <v/>
      </c>
      <c r="J1875" s="30"/>
      <c r="K1875" s="22" t="str">
        <f t="shared" si="26"/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2104</v>
      </c>
      <c r="H1876" s="20" t="str">
        <f>+T1876</f>
        <v/>
      </c>
      <c r="J1876" s="30"/>
      <c r="K1876" s="22" t="str">
        <f t="shared" si="26"/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2105</v>
      </c>
      <c r="H1877" s="20" t="str">
        <f>+T1877</f>
        <v/>
      </c>
      <c r="J1877" s="30"/>
      <c r="K1877" s="22" t="str">
        <f t="shared" si="26"/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2106</v>
      </c>
      <c r="H1878" s="20" t="str">
        <f>+T1878</f>
        <v/>
      </c>
      <c r="J1878" s="30"/>
      <c r="K1878" s="22" t="str">
        <f t="shared" si="26"/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2107</v>
      </c>
      <c r="H1879" s="20" t="str">
        <f>+T1879</f>
        <v/>
      </c>
      <c r="J1879" s="30"/>
      <c r="K1879" s="22" t="str">
        <f t="shared" si="26"/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2108</v>
      </c>
      <c r="H1880" s="20" t="str">
        <f>+T1880</f>
        <v/>
      </c>
      <c r="J1880" s="30"/>
      <c r="K1880" s="22" t="str">
        <f t="shared" si="26"/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2109</v>
      </c>
      <c r="H1881" s="20" t="str">
        <f>+T1881</f>
        <v/>
      </c>
      <c r="J1881" s="30"/>
      <c r="K1881" s="22" t="str">
        <f t="shared" si="26"/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2110</v>
      </c>
      <c r="H1882" s="20" t="str">
        <f>+T1882</f>
        <v/>
      </c>
      <c r="J1882" s="30"/>
      <c r="K1882" s="22" t="str">
        <f t="shared" si="26"/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2111</v>
      </c>
      <c r="H1883" s="20" t="str">
        <f>+T1883</f>
        <v/>
      </c>
      <c r="J1883" s="30"/>
      <c r="K1883" s="22" t="str">
        <f t="shared" si="26"/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2112</v>
      </c>
      <c r="H1884" s="20" t="str">
        <f>+T1884</f>
        <v/>
      </c>
      <c r="J1884" s="30"/>
      <c r="K1884" s="22" t="str">
        <f t="shared" si="26"/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2113</v>
      </c>
      <c r="H1885" s="20" t="str">
        <f>+T1885</f>
        <v/>
      </c>
      <c r="J1885" s="30"/>
      <c r="K1885" s="22" t="str">
        <f t="shared" si="26"/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2114</v>
      </c>
      <c r="H1886" s="20" t="str">
        <f>+T1886</f>
        <v/>
      </c>
      <c r="J1886" s="30"/>
      <c r="K1886" s="22" t="str">
        <f t="shared" si="26"/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2115</v>
      </c>
      <c r="H1887" s="20" t="str">
        <f>+T1887</f>
        <v/>
      </c>
      <c r="J1887" s="30"/>
      <c r="K1887" s="22" t="str">
        <f t="shared" si="26"/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2116</v>
      </c>
      <c r="H1888" s="20" t="str">
        <f>+T1888</f>
        <v/>
      </c>
      <c r="J1888" s="30"/>
      <c r="K1888" s="22" t="str">
        <f t="shared" si="26"/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2117</v>
      </c>
      <c r="H1889" s="20" t="str">
        <f>+T1889</f>
        <v/>
      </c>
      <c r="J1889" s="30"/>
      <c r="K1889" s="22" t="str">
        <f t="shared" si="26"/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2118</v>
      </c>
      <c r="H1890" s="20" t="str">
        <f>+T1890</f>
        <v/>
      </c>
      <c r="J1890" s="30"/>
      <c r="K1890" s="22" t="str">
        <f t="shared" si="26"/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2119</v>
      </c>
      <c r="H1891" s="20" t="str">
        <f>+T1891</f>
        <v/>
      </c>
      <c r="J1891" s="30"/>
      <c r="K1891" s="22" t="str">
        <f t="shared" si="26"/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2120</v>
      </c>
      <c r="H1892" s="20" t="str">
        <f>+T1892</f>
        <v/>
      </c>
      <c r="J1892" s="30"/>
      <c r="K1892" s="22" t="str">
        <f t="shared" si="26"/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2121</v>
      </c>
      <c r="H1893" s="20" t="str">
        <f>+T1893</f>
        <v/>
      </c>
      <c r="J1893" s="30"/>
      <c r="K1893" s="22" t="str">
        <f t="shared" si="26"/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2122</v>
      </c>
      <c r="H1894" s="20" t="str">
        <f>+T1894</f>
        <v/>
      </c>
      <c r="J1894" s="30"/>
      <c r="K1894" s="22" t="str">
        <f t="shared" si="26"/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2123</v>
      </c>
      <c r="H1895" s="20" t="str">
        <f>+T1895</f>
        <v/>
      </c>
      <c r="J1895" s="30"/>
      <c r="K1895" s="22" t="str">
        <f t="shared" si="26"/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2124</v>
      </c>
      <c r="H1896" s="20" t="str">
        <f>+T1896</f>
        <v/>
      </c>
      <c r="J1896" s="30"/>
      <c r="K1896" s="22" t="str">
        <f t="shared" si="26"/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2125</v>
      </c>
      <c r="H1897" s="20" t="str">
        <f>+T1897</f>
        <v/>
      </c>
      <c r="J1897" s="30"/>
      <c r="K1897" s="22" t="str">
        <f t="shared" si="26"/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2126</v>
      </c>
      <c r="H1898" s="20" t="str">
        <f>+T1898</f>
        <v/>
      </c>
      <c r="J1898" s="30"/>
      <c r="K1898" s="22" t="str">
        <f t="shared" si="26"/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2127</v>
      </c>
      <c r="H1899" s="20" t="str">
        <f>+T1899</f>
        <v/>
      </c>
      <c r="J1899" s="30"/>
      <c r="K1899" s="22" t="str">
        <f t="shared" si="26"/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2128</v>
      </c>
      <c r="H1900" s="20" t="str">
        <f>+T1900</f>
        <v/>
      </c>
      <c r="J1900" s="30"/>
      <c r="K1900" s="22" t="str">
        <f t="shared" si="26"/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2129</v>
      </c>
      <c r="H1901" s="20" t="str">
        <f>+T1901</f>
        <v/>
      </c>
      <c r="J1901" s="30"/>
      <c r="K1901" s="22" t="str">
        <f t="shared" si="26"/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2130</v>
      </c>
      <c r="H1902" s="20" t="str">
        <f>+T1902</f>
        <v/>
      </c>
      <c r="J1902" s="30"/>
      <c r="K1902" s="22" t="str">
        <f t="shared" si="26"/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2131</v>
      </c>
      <c r="H1903" s="20" t="str">
        <f>+T1903</f>
        <v/>
      </c>
      <c r="J1903" s="30"/>
      <c r="K1903" s="22" t="str">
        <f t="shared" si="26"/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2132</v>
      </c>
      <c r="H1904" s="20" t="str">
        <f>+T1904</f>
        <v/>
      </c>
      <c r="J1904" s="30"/>
      <c r="K1904" s="22" t="str">
        <f t="shared" si="26"/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2133</v>
      </c>
      <c r="H1905" s="20" t="str">
        <f>+T1905</f>
        <v/>
      </c>
      <c r="J1905" s="30"/>
      <c r="K1905" s="22" t="str">
        <f t="shared" si="26"/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2134</v>
      </c>
      <c r="H1906" s="20" t="str">
        <f>+T1906</f>
        <v/>
      </c>
      <c r="J1906" s="30"/>
      <c r="K1906" s="22" t="str">
        <f t="shared" si="26"/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2135</v>
      </c>
      <c r="H1907" s="20" t="str">
        <f>+T1907</f>
        <v/>
      </c>
      <c r="J1907" s="30"/>
      <c r="K1907" s="22" t="str">
        <f t="shared" si="26"/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2136</v>
      </c>
      <c r="H1908" s="20" t="str">
        <f>+T1908</f>
        <v/>
      </c>
      <c r="J1908" s="30"/>
      <c r="K1908" s="22" t="str">
        <f t="shared" si="26"/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2137</v>
      </c>
      <c r="H1909" s="20" t="str">
        <f>+T1909</f>
        <v/>
      </c>
      <c r="J1909" s="30"/>
      <c r="K1909" s="22" t="str">
        <f t="shared" si="26"/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2138</v>
      </c>
      <c r="H1910" s="20" t="str">
        <f>+T1910</f>
        <v/>
      </c>
      <c r="J1910" s="30"/>
      <c r="K1910" s="22" t="str">
        <f t="shared" si="26"/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2139</v>
      </c>
      <c r="H1911" s="20" t="str">
        <f>+T1911</f>
        <v/>
      </c>
      <c r="J1911" s="30"/>
      <c r="K1911" s="22" t="str">
        <f t="shared" si="26"/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2140</v>
      </c>
      <c r="H1912" s="20" t="str">
        <f>+T1912</f>
        <v/>
      </c>
      <c r="J1912" s="30"/>
      <c r="K1912" s="22" t="str">
        <f t="shared" si="26"/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2141</v>
      </c>
      <c r="H1913" s="20" t="str">
        <f>+T1913</f>
        <v/>
      </c>
      <c r="J1913" s="30"/>
      <c r="K1913" s="22" t="str">
        <f t="shared" si="26"/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2142</v>
      </c>
      <c r="H1914" s="20" t="str">
        <f>+T1914</f>
        <v/>
      </c>
      <c r="J1914" s="30"/>
      <c r="K1914" s="22" t="str">
        <f t="shared" si="26"/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2143</v>
      </c>
      <c r="H1915" s="20" t="str">
        <f>+T1915</f>
        <v/>
      </c>
      <c r="J1915" s="30"/>
      <c r="K1915" s="22" t="str">
        <f t="shared" si="26"/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2144</v>
      </c>
      <c r="H1916" s="20" t="str">
        <f>+T1916</f>
        <v/>
      </c>
      <c r="J1916" s="30"/>
      <c r="K1916" s="22" t="str">
        <f t="shared" si="26"/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2145</v>
      </c>
      <c r="H1917" s="20" t="str">
        <f>+T1917</f>
        <v/>
      </c>
      <c r="J1917" s="30"/>
      <c r="K1917" s="22" t="str">
        <f t="shared" si="26"/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2146</v>
      </c>
      <c r="H1918" s="20" t="str">
        <f>+T1918</f>
        <v/>
      </c>
      <c r="J1918" s="30"/>
      <c r="K1918" s="22" t="str">
        <f t="shared" ref="K1918:K1981" si="27"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2147</v>
      </c>
      <c r="H1919" s="20" t="str">
        <f>+T1919</f>
        <v/>
      </c>
      <c r="J1919" s="30"/>
      <c r="K1919" s="22" t="str">
        <f t="shared" si="27"/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2148</v>
      </c>
      <c r="H1920" s="20" t="str">
        <f>+T1920</f>
        <v/>
      </c>
      <c r="J1920" s="30"/>
      <c r="K1920" s="22" t="str">
        <f t="shared" si="27"/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2149</v>
      </c>
      <c r="H1921" s="20" t="str">
        <f>+T1921</f>
        <v/>
      </c>
      <c r="J1921" s="30"/>
      <c r="K1921" s="22" t="str">
        <f t="shared" si="27"/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2150</v>
      </c>
      <c r="H1922" s="20" t="str">
        <f>+T1922</f>
        <v/>
      </c>
      <c r="J1922" s="30"/>
      <c r="K1922" s="22" t="str">
        <f t="shared" si="27"/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2151</v>
      </c>
      <c r="H1923" s="20" t="str">
        <f>+T1923</f>
        <v/>
      </c>
      <c r="J1923" s="30"/>
      <c r="K1923" s="22" t="str">
        <f t="shared" si="27"/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2152</v>
      </c>
      <c r="H1924" s="20" t="str">
        <f>+T1924</f>
        <v/>
      </c>
      <c r="J1924" s="30"/>
      <c r="K1924" s="22" t="str">
        <f t="shared" si="27"/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2153</v>
      </c>
      <c r="H1925" s="20" t="str">
        <f>+T1925</f>
        <v/>
      </c>
      <c r="J1925" s="30"/>
      <c r="K1925" s="22" t="str">
        <f t="shared" si="27"/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2154</v>
      </c>
      <c r="H1926" s="20" t="str">
        <f>+T1926</f>
        <v/>
      </c>
      <c r="J1926" s="30"/>
      <c r="K1926" s="22" t="str">
        <f t="shared" si="27"/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2155</v>
      </c>
      <c r="H1927" s="20" t="str">
        <f>+T1927</f>
        <v/>
      </c>
      <c r="J1927" s="30"/>
      <c r="K1927" s="22" t="str">
        <f t="shared" si="27"/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2156</v>
      </c>
      <c r="H1928" s="20" t="str">
        <f>+T1928</f>
        <v/>
      </c>
      <c r="J1928" s="30"/>
      <c r="K1928" s="22" t="str">
        <f t="shared" si="27"/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2157</v>
      </c>
      <c r="H1929" s="20" t="str">
        <f>+T1929</f>
        <v/>
      </c>
      <c r="J1929" s="30"/>
      <c r="K1929" s="22" t="str">
        <f t="shared" si="27"/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2158</v>
      </c>
      <c r="H1930" s="20" t="str">
        <f>+T1930</f>
        <v/>
      </c>
      <c r="J1930" s="30"/>
      <c r="K1930" s="22" t="str">
        <f t="shared" si="27"/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2159</v>
      </c>
      <c r="H1931" s="20" t="str">
        <f>+T1931</f>
        <v/>
      </c>
      <c r="J1931" s="30"/>
      <c r="K1931" s="22" t="str">
        <f t="shared" si="27"/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2160</v>
      </c>
      <c r="H1932" s="20" t="str">
        <f>+T1932</f>
        <v/>
      </c>
      <c r="J1932" s="30"/>
      <c r="K1932" s="22" t="str">
        <f t="shared" si="27"/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2161</v>
      </c>
      <c r="H1933" s="20" t="str">
        <f>+T1933</f>
        <v/>
      </c>
      <c r="J1933" s="30"/>
      <c r="K1933" s="22" t="str">
        <f t="shared" si="27"/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2162</v>
      </c>
      <c r="H1934" s="20" t="str">
        <f>+T1934</f>
        <v/>
      </c>
      <c r="J1934" s="30"/>
      <c r="K1934" s="22" t="str">
        <f t="shared" si="27"/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2163</v>
      </c>
      <c r="H1935" s="20" t="str">
        <f>+T1935</f>
        <v/>
      </c>
      <c r="J1935" s="30"/>
      <c r="K1935" s="22" t="str">
        <f t="shared" si="27"/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2164</v>
      </c>
      <c r="H1936" s="20" t="str">
        <f>+T1936</f>
        <v/>
      </c>
      <c r="J1936" s="30"/>
      <c r="K1936" s="22" t="str">
        <f t="shared" si="27"/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2165</v>
      </c>
      <c r="H1937" s="20" t="str">
        <f>+T1937</f>
        <v/>
      </c>
      <c r="J1937" s="30"/>
      <c r="K1937" s="22" t="str">
        <f t="shared" si="27"/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2166</v>
      </c>
      <c r="H1938" s="20" t="str">
        <f>+T1938</f>
        <v/>
      </c>
      <c r="J1938" s="30"/>
      <c r="K1938" s="22" t="str">
        <f t="shared" si="27"/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2167</v>
      </c>
      <c r="H1939" s="20" t="str">
        <f>+T1939</f>
        <v/>
      </c>
      <c r="J1939" s="30"/>
      <c r="K1939" s="22" t="str">
        <f t="shared" si="27"/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2168</v>
      </c>
      <c r="H1940" s="20" t="str">
        <f>+T1940</f>
        <v/>
      </c>
      <c r="J1940" s="30"/>
      <c r="K1940" s="22" t="str">
        <f t="shared" si="27"/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2169</v>
      </c>
      <c r="H1941" s="20" t="str">
        <f>+T1941</f>
        <v/>
      </c>
      <c r="J1941" s="30"/>
      <c r="K1941" s="22" t="str">
        <f t="shared" si="27"/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2170</v>
      </c>
      <c r="H1942" s="20" t="str">
        <f>+T1942</f>
        <v/>
      </c>
      <c r="J1942" s="30"/>
      <c r="K1942" s="22" t="str">
        <f t="shared" si="27"/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2171</v>
      </c>
      <c r="H1943" s="20" t="str">
        <f>+T1943</f>
        <v/>
      </c>
      <c r="J1943" s="30"/>
      <c r="K1943" s="22" t="str">
        <f t="shared" si="27"/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2172</v>
      </c>
      <c r="H1944" s="20" t="str">
        <f>+T1944</f>
        <v/>
      </c>
      <c r="J1944" s="30"/>
      <c r="K1944" s="22" t="str">
        <f t="shared" si="27"/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2173</v>
      </c>
      <c r="H1945" s="20" t="str">
        <f>+T1945</f>
        <v/>
      </c>
      <c r="J1945" s="30"/>
      <c r="K1945" s="22" t="str">
        <f t="shared" si="27"/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2174</v>
      </c>
      <c r="H1946" s="20" t="str">
        <f>+T1946</f>
        <v/>
      </c>
      <c r="J1946" s="30"/>
      <c r="K1946" s="22" t="str">
        <f t="shared" si="27"/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2175</v>
      </c>
      <c r="H1947" s="20" t="str">
        <f>+T1947</f>
        <v/>
      </c>
      <c r="J1947" s="30"/>
      <c r="K1947" s="22" t="str">
        <f t="shared" si="27"/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2176</v>
      </c>
      <c r="H1948" s="20" t="str">
        <f>+T1948</f>
        <v/>
      </c>
      <c r="J1948" s="30"/>
      <c r="K1948" s="22" t="str">
        <f t="shared" si="27"/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2177</v>
      </c>
      <c r="H1949" s="20" t="str">
        <f>+T1949</f>
        <v/>
      </c>
      <c r="J1949" s="30"/>
      <c r="K1949" s="22" t="str">
        <f t="shared" si="27"/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2178</v>
      </c>
      <c r="H1950" s="20" t="str">
        <f>+T1950</f>
        <v/>
      </c>
      <c r="J1950" s="30"/>
      <c r="K1950" s="22" t="str">
        <f t="shared" si="27"/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2179</v>
      </c>
      <c r="H1951" s="20" t="str">
        <f>+T1951</f>
        <v/>
      </c>
      <c r="J1951" s="30"/>
      <c r="K1951" s="22" t="str">
        <f t="shared" si="27"/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2180</v>
      </c>
      <c r="H1952" s="20" t="str">
        <f>+T1952</f>
        <v/>
      </c>
      <c r="J1952" s="30"/>
      <c r="K1952" s="22" t="str">
        <f t="shared" si="27"/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2181</v>
      </c>
      <c r="H1953" s="20" t="str">
        <f>+T1953</f>
        <v/>
      </c>
      <c r="J1953" s="30"/>
      <c r="K1953" s="22" t="str">
        <f t="shared" si="27"/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2182</v>
      </c>
      <c r="H1954" s="20" t="str">
        <f>+T1954</f>
        <v/>
      </c>
      <c r="J1954" s="30"/>
      <c r="K1954" s="22" t="str">
        <f t="shared" si="27"/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2183</v>
      </c>
      <c r="H1955" s="20" t="str">
        <f>+T1955</f>
        <v/>
      </c>
      <c r="J1955" s="30"/>
      <c r="K1955" s="22" t="str">
        <f t="shared" si="27"/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2184</v>
      </c>
      <c r="H1956" s="20" t="str">
        <f>+T1956</f>
        <v/>
      </c>
      <c r="J1956" s="30"/>
      <c r="K1956" s="22" t="str">
        <f t="shared" si="27"/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2185</v>
      </c>
      <c r="H1957" s="20" t="str">
        <f>+T1957</f>
        <v/>
      </c>
      <c r="J1957" s="30"/>
      <c r="K1957" s="22" t="str">
        <f t="shared" si="27"/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2186</v>
      </c>
      <c r="H1958" s="20" t="str">
        <f>+T1958</f>
        <v/>
      </c>
      <c r="J1958" s="30"/>
      <c r="K1958" s="22" t="str">
        <f t="shared" si="27"/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2187</v>
      </c>
      <c r="H1959" s="20" t="str">
        <f>+T1959</f>
        <v/>
      </c>
      <c r="J1959" s="30"/>
      <c r="K1959" s="22" t="str">
        <f t="shared" si="27"/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2188</v>
      </c>
      <c r="H1960" s="20" t="str">
        <f>+T1960</f>
        <v/>
      </c>
      <c r="J1960" s="30"/>
      <c r="K1960" s="22" t="str">
        <f t="shared" si="27"/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2189</v>
      </c>
      <c r="H1961" s="20" t="str">
        <f>+T1961</f>
        <v/>
      </c>
      <c r="J1961" s="30"/>
      <c r="K1961" s="22" t="str">
        <f t="shared" si="27"/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2190</v>
      </c>
      <c r="H1962" s="20" t="str">
        <f>+T1962</f>
        <v/>
      </c>
      <c r="J1962" s="30"/>
      <c r="K1962" s="22" t="str">
        <f t="shared" si="27"/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2191</v>
      </c>
      <c r="H1963" s="20" t="str">
        <f>+T1963</f>
        <v/>
      </c>
      <c r="J1963" s="30"/>
      <c r="K1963" s="22" t="str">
        <f t="shared" si="27"/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2192</v>
      </c>
      <c r="H1964" s="20" t="str">
        <f>+T1964</f>
        <v/>
      </c>
      <c r="J1964" s="30"/>
      <c r="K1964" s="22" t="str">
        <f t="shared" si="27"/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2193</v>
      </c>
      <c r="H1965" s="20" t="str">
        <f>+T1965</f>
        <v/>
      </c>
      <c r="J1965" s="30"/>
      <c r="K1965" s="22" t="str">
        <f t="shared" si="27"/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2194</v>
      </c>
      <c r="H1966" s="20" t="str">
        <f>+T1966</f>
        <v/>
      </c>
      <c r="J1966" s="30"/>
      <c r="K1966" s="22" t="str">
        <f t="shared" si="27"/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2195</v>
      </c>
      <c r="H1967" s="20" t="str">
        <f>+T1967</f>
        <v/>
      </c>
      <c r="J1967" s="30"/>
      <c r="K1967" s="22" t="str">
        <f t="shared" si="27"/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2196</v>
      </c>
      <c r="H1968" s="20" t="str">
        <f>+T1968</f>
        <v/>
      </c>
      <c r="J1968" s="30"/>
      <c r="K1968" s="22" t="str">
        <f t="shared" si="27"/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2197</v>
      </c>
      <c r="H1969" s="20" t="str">
        <f>+T1969</f>
        <v/>
      </c>
      <c r="J1969" s="30"/>
      <c r="K1969" s="22" t="str">
        <f t="shared" si="27"/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2198</v>
      </c>
      <c r="H1970" s="20" t="str">
        <f>+T1970</f>
        <v/>
      </c>
      <c r="J1970" s="30"/>
      <c r="K1970" s="22" t="str">
        <f t="shared" si="27"/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2199</v>
      </c>
      <c r="H1971" s="20" t="str">
        <f>+T1971</f>
        <v/>
      </c>
      <c r="J1971" s="30"/>
      <c r="K1971" s="22" t="str">
        <f t="shared" si="27"/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2200</v>
      </c>
      <c r="H1972" s="20" t="str">
        <f>+T1972</f>
        <v/>
      </c>
      <c r="J1972" s="30"/>
      <c r="K1972" s="22" t="str">
        <f t="shared" si="27"/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2201</v>
      </c>
      <c r="H1973" s="20" t="str">
        <f>+T1973</f>
        <v/>
      </c>
      <c r="J1973" s="30"/>
      <c r="K1973" s="22" t="str">
        <f t="shared" si="27"/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2202</v>
      </c>
      <c r="H1974" s="20" t="str">
        <f>+T1974</f>
        <v/>
      </c>
      <c r="J1974" s="30"/>
      <c r="K1974" s="22" t="str">
        <f t="shared" si="27"/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2203</v>
      </c>
      <c r="H1975" s="20" t="str">
        <f>+T1975</f>
        <v/>
      </c>
      <c r="J1975" s="30"/>
      <c r="K1975" s="22" t="str">
        <f t="shared" si="27"/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2204</v>
      </c>
      <c r="H1976" s="20" t="str">
        <f>+T1976</f>
        <v/>
      </c>
      <c r="J1976" s="30"/>
      <c r="K1976" s="22" t="str">
        <f t="shared" si="27"/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2205</v>
      </c>
      <c r="H1977" s="20" t="str">
        <f>+T1977</f>
        <v/>
      </c>
      <c r="J1977" s="30"/>
      <c r="K1977" s="22" t="str">
        <f t="shared" si="27"/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2206</v>
      </c>
      <c r="H1978" s="20" t="str">
        <f>+T1978</f>
        <v/>
      </c>
      <c r="J1978" s="30"/>
      <c r="K1978" s="22" t="str">
        <f t="shared" si="27"/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2207</v>
      </c>
      <c r="H1979" s="20" t="str">
        <f>+T1979</f>
        <v/>
      </c>
      <c r="J1979" s="30"/>
      <c r="K1979" s="22" t="str">
        <f t="shared" si="27"/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2208</v>
      </c>
      <c r="H1980" s="20" t="str">
        <f>+T1980</f>
        <v/>
      </c>
      <c r="J1980" s="30"/>
      <c r="K1980" s="22" t="str">
        <f t="shared" si="27"/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2209</v>
      </c>
      <c r="H1981" s="20" t="str">
        <f>+T1981</f>
        <v/>
      </c>
      <c r="J1981" s="30"/>
      <c r="K1981" s="22" t="str">
        <f t="shared" si="27"/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2210</v>
      </c>
      <c r="H1982" s="20" t="str">
        <f>+T1982</f>
        <v/>
      </c>
      <c r="J1982" s="30"/>
      <c r="K1982" s="22" t="str">
        <f t="shared" ref="K1982:K2020" si="28"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2211</v>
      </c>
      <c r="H1983" s="20" t="str">
        <f>+T1983</f>
        <v/>
      </c>
      <c r="J1983" s="30"/>
      <c r="K1983" s="22" t="str">
        <f t="shared" si="28"/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2212</v>
      </c>
      <c r="H1984" s="20" t="str">
        <f>+T1984</f>
        <v/>
      </c>
      <c r="J1984" s="30"/>
      <c r="K1984" s="22" t="str">
        <f t="shared" si="28"/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2213</v>
      </c>
      <c r="H1985" s="20" t="str">
        <f>+T1985</f>
        <v/>
      </c>
      <c r="J1985" s="30"/>
      <c r="K1985" s="22" t="str">
        <f t="shared" si="28"/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2214</v>
      </c>
      <c r="H1986" s="20" t="str">
        <f>+T1986</f>
        <v/>
      </c>
      <c r="J1986" s="30"/>
      <c r="K1986" s="22" t="str">
        <f t="shared" si="28"/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2215</v>
      </c>
      <c r="H1987" s="20" t="str">
        <f>+T1987</f>
        <v/>
      </c>
      <c r="J1987" s="30"/>
      <c r="K1987" s="22" t="str">
        <f t="shared" si="28"/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2216</v>
      </c>
      <c r="H1988" s="20" t="str">
        <f>+T1988</f>
        <v/>
      </c>
      <c r="J1988" s="30"/>
      <c r="K1988" s="22" t="str">
        <f t="shared" si="28"/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2217</v>
      </c>
      <c r="H1989" s="20" t="str">
        <f>+T1989</f>
        <v/>
      </c>
      <c r="J1989" s="30"/>
      <c r="K1989" s="22" t="str">
        <f t="shared" si="28"/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2218</v>
      </c>
      <c r="H1990" s="20" t="str">
        <f>+T1990</f>
        <v/>
      </c>
      <c r="J1990" s="30"/>
      <c r="K1990" s="22" t="str">
        <f t="shared" si="28"/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2219</v>
      </c>
      <c r="H1991" s="20" t="str">
        <f>+T1991</f>
        <v/>
      </c>
      <c r="J1991" s="30"/>
      <c r="K1991" s="22" t="str">
        <f t="shared" si="28"/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2220</v>
      </c>
      <c r="H1992" s="20" t="str">
        <f>+T1992</f>
        <v/>
      </c>
      <c r="J1992" s="30"/>
      <c r="K1992" s="22" t="str">
        <f t="shared" si="28"/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2221</v>
      </c>
      <c r="H1993" s="20" t="str">
        <f>+T1993</f>
        <v/>
      </c>
      <c r="J1993" s="30"/>
      <c r="K1993" s="22" t="str">
        <f t="shared" si="28"/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2222</v>
      </c>
      <c r="H1994" s="20" t="str">
        <f>+T1994</f>
        <v/>
      </c>
      <c r="J1994" s="30"/>
      <c r="K1994" s="22" t="str">
        <f t="shared" si="28"/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2223</v>
      </c>
      <c r="H1995" s="42" t="str">
        <f>+T1995</f>
        <v/>
      </c>
      <c r="J1995" s="30"/>
      <c r="K1995" s="22" t="str">
        <f t="shared" si="28"/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2224</v>
      </c>
      <c r="H1996" s="42" t="str">
        <f>+T1996</f>
        <v/>
      </c>
      <c r="J1996" s="30"/>
      <c r="K1996" s="22" t="str">
        <f t="shared" si="28"/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2225</v>
      </c>
      <c r="H1997" s="42" t="str">
        <f>+T1997</f>
        <v/>
      </c>
      <c r="J1997" s="30"/>
      <c r="K1997" s="22" t="str">
        <f t="shared" si="28"/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2226</v>
      </c>
      <c r="H1998" s="42" t="str">
        <f>+T1998</f>
        <v/>
      </c>
      <c r="J1998" s="30"/>
      <c r="K1998" s="22" t="str">
        <f t="shared" si="28"/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2227</v>
      </c>
      <c r="H1999" s="42" t="str">
        <f>+T1999</f>
        <v/>
      </c>
      <c r="J1999" s="30"/>
      <c r="K1999" s="22" t="str">
        <f t="shared" si="28"/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2228</v>
      </c>
      <c r="H2000" s="42" t="str">
        <f>+T2000</f>
        <v/>
      </c>
      <c r="J2000" s="30"/>
      <c r="K2000" s="22" t="str">
        <f t="shared" si="28"/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 t="shared" si="28"/>
        <v/>
      </c>
      <c r="R2001" s="34"/>
      <c r="S2001" s="34"/>
      <c r="T2001" t="str">
        <f>IF(C2001="","",UPPER(LEFT(SUBSTITUTE(C2001," ",""),3))&amp;"-"&amp;TEXT(B2001,"AAMMDD")&amp;"-1")</f>
        <v/>
      </c>
    </row>
    <row r="2002" spans="11:20">
      <c r="K2002" s="22" t="str">
        <f t="shared" si="28"/>
        <v/>
      </c>
      <c r="R2002" s="34"/>
      <c r="S2002" s="34"/>
      <c r="T2002" t="str">
        <f>IF(C2002="","",UPPER(LEFT(SUBSTITUTE(C2002," ",""),3))&amp;"-"&amp;TEXT(B2002,"AAMMDD")&amp;"-1")</f>
        <v/>
      </c>
    </row>
    <row r="2003" spans="11:20">
      <c r="K2003" s="22" t="str">
        <f t="shared" si="28"/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1:20">
      <c r="K2004" s="22" t="str">
        <f t="shared" si="28"/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 t="shared" si="28"/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 t="shared" si="28"/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 t="shared" si="28"/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 t="shared" si="28"/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 t="shared" si="28"/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 t="shared" si="28"/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 t="shared" si="28"/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 t="shared" si="28"/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 t="shared" si="28"/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 t="shared" si="28"/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 t="shared" si="28"/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 t="shared" si="28"/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 t="shared" si="28"/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 t="shared" si="28"/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 t="shared" si="28"/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 t="shared" si="28"/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4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4"/>
      <c r="S6002" s="34"/>
      <c r="T6002" t="str">
        <f>IF(C6002="","",UPPER(LEFT(SUBSTITUTE(C6002," ",""),3))&amp;"-"&amp;TEXT(B6002,"AAMMDD")&amp;"-1")</f>
        <v/>
      </c>
    </row>
    <row r="6003" spans="18:20">
      <c r="R6003" s="34"/>
      <c r="S6003" s="34"/>
      <c r="T6003" t="str">
        <f>IF(C6003="","",UPPER(LEFT(SUBSTITUTE(C6003," ",""),3))&amp;"-"&amp;TEXT(B6003,"AAMMDD")&amp;"-1")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4"/>
      <c r="S6184" s="34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9" t="str">
        <f>IF(H6699="","",H6699&amp;I6699)</f>
        <v/>
      </c>
      <c r="S6699" s="39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9" t="str">
        <f>IF(H6700="","",H6700&amp;I6700)</f>
        <v/>
      </c>
      <c r="S6700" s="39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8"/>
      <c r="T11996" t="str">
        <f t="shared" ref="T11996:T11997" si="29">IF(C11996="","",UPPER(LEFT(SUBSTITUTE(C11996," ",""),3))&amp;"-"&amp;TEXT(B11996,"AAMMDD")&amp;"-1")</f>
        <v/>
      </c>
    </row>
    <row r="11997" spans="2:20">
      <c r="B11997" s="48"/>
      <c r="T11997" t="str">
        <f t="shared" si="29"/>
        <v/>
      </c>
    </row>
  </sheetData>
  <phoneticPr fontId="9" type="noConversion"/>
  <conditionalFormatting sqref="A2:Q2 A3:P11 N11996:N11997 B11996:B11997 L499:Q1995 K219:K2020 A12:A2000 B12:P218 L219:P498 Q3:Q498 B219:J1995">
    <cfRule type="expression" dxfId="12" priority="3">
      <formula>$I2="ENTRADA"</formula>
    </cfRule>
    <cfRule type="expression" dxfId="11" priority="4">
      <formula>$I2="SALIDA"</formula>
    </cfRule>
  </conditionalFormatting>
  <conditionalFormatting sqref="Q5790">
    <cfRule type="expression" dxfId="10" priority="1">
      <formula>$I5790="ENTRADA"</formula>
    </cfRule>
    <cfRule type="expression" dxfId="9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2" activePane="bottomLeft" state="frozen"/>
      <selection pane="bottomLeft" activeCell="A8" sqref="A8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2229</v>
      </c>
      <c r="B1" s="23" t="s">
        <v>2230</v>
      </c>
      <c r="C1" s="23" t="s">
        <v>2231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2232</v>
      </c>
      <c r="I1" s="18" t="s">
        <v>2233</v>
      </c>
      <c r="J1" s="18" t="s">
        <v>2234</v>
      </c>
      <c r="K1" s="18" t="s">
        <v>2235</v>
      </c>
    </row>
    <row r="2" spans="1:11">
      <c r="A2" s="16" t="s">
        <v>196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526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>
      <c r="A4" s="16" t="s">
        <v>469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316</v>
      </c>
      <c r="J4" s="5">
        <f>IF(A4="","",SUMIFS(Movimientos!$K:$K,Movimientos!$H:$H,A4))</f>
        <v>290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344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2236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577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333</v>
      </c>
      <c r="J7" s="5">
        <f>IF(A7="","",SUMIFS(Movimientos!$K:$K,Movimientos!$H:$H,A7))</f>
        <v>190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259</v>
      </c>
      <c r="J8" s="5">
        <f>IF(A8="","",SUMIFS(Movimientos!$K:$K,Movimientos!$H:$H,A8))</f>
        <v>189</v>
      </c>
      <c r="K8" s="13" t="str">
        <f t="shared" ca="1" si="1"/>
        <v>OK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553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541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325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213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508</v>
      </c>
      <c r="J17" s="5">
        <f>IF(A17="","",SUMIFS(Movimientos!$K:$K,Movimientos!$H:$H,A17))</f>
        <v>39240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569</v>
      </c>
      <c r="J18" s="5">
        <f>IF(A18="","",SUMIFS(Movimientos!$K:$K,Movimientos!$H:$H,A18))</f>
        <v>13690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477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629</v>
      </c>
      <c r="J20" s="5">
        <f>IF(A20="","",SUMIFS(Movimientos!$K:$K,Movimientos!$H:$H,A20))</f>
        <v>4140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477</v>
      </c>
      <c r="J21" s="5">
        <f>IF(A21="","",SUMIFS(Movimientos!$K:$K,Movimientos!$H:$H,A21))</f>
        <v>968</v>
      </c>
      <c r="K21" s="13" t="str">
        <f t="shared" ca="1" si="1"/>
        <v>OK</v>
      </c>
    </row>
    <row r="22" spans="1:11">
      <c r="A22" s="16" t="s">
        <v>467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204</v>
      </c>
      <c r="J22" s="5">
        <f>IF(A22="","",SUMIFS(Movimientos!$K:$K,Movimientos!$H:$H,A22))</f>
        <v>180</v>
      </c>
      <c r="K22" s="13" t="str">
        <f t="shared" ca="1" si="1"/>
        <v>OK</v>
      </c>
    </row>
    <row r="23" spans="1:11">
      <c r="A23" s="16" t="s">
        <v>2237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235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315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450</v>
      </c>
      <c r="K30" s="13" t="str">
        <f t="shared" ca="1" si="1"/>
        <v>OK</v>
      </c>
    </row>
    <row r="31" spans="1:11">
      <c r="A31" s="16" t="s">
        <v>349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175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319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327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>
        <f>IFERROR(INDEX(Movimientos!$F$2:$F$1995,MATCH(A37&amp;"ENTRADA",Movimientos!$R$2:$R$1995,0)),"-")</f>
        <v>0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461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-10</v>
      </c>
      <c r="J38" s="5">
        <f>IF(A38="","",SUMIFS(Movimientos!$K:$K,Movimientos!$H:$H,A38))</f>
        <v>140</v>
      </c>
      <c r="K38" s="13" t="str">
        <f t="shared" ca="1" si="1"/>
        <v>VENCIDO</v>
      </c>
    </row>
    <row r="39" spans="1:11">
      <c r="A39" s="16" t="s">
        <v>2238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1390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617</v>
      </c>
      <c r="J40" s="5">
        <f>IF(A40="","",SUMIFS(Movimientos!$K:$K,Movimientos!$H:$H,A40))</f>
        <v>2845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321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>
        <f>IFERROR(INDEX(Movimientos!$F$2:$F$1995,MATCH(A43&amp;"ENTRADA",Movimientos!$R$2:$R$1995,0)),"-")</f>
        <v>0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445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>
        <f>IFERROR(INDEX(Movimientos!$F$2:$F$1995,MATCH(A44&amp;"ENTRADA",Movimientos!$R$2:$R$1995,0)),"-")</f>
        <v>0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363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407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150</v>
      </c>
      <c r="K46" s="13" t="str">
        <f t="shared" ca="1" si="1"/>
        <v>OK</v>
      </c>
    </row>
    <row r="47" spans="1:11">
      <c r="A47" s="16" t="s">
        <v>2239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443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2240</v>
      </c>
      <c r="B49" s="2" t="str">
        <f>IFERROR(INDEX(Movimientos!$C$2:$C$1995,MATCH(A49&amp;"ENTRADA",Movimientos!$R$2:$R$1995,0)),"-")</f>
        <v>-</v>
      </c>
      <c r="C49" s="2" t="str">
        <f>IFERROR(INDEX(Movimientos!$D$2:$D$1995,MATCH(A49&amp;"ENTRADA",Movimientos!$R$2:$R$1995,0)),"-")</f>
        <v>-</v>
      </c>
      <c r="D49" s="2" t="str">
        <f>IFERROR(INDEX(Movimientos!$E$2:$E$1995,MATCH(A49&amp;"ENTRADA",Movimientos!$R$2:$R$1995,0)),"-")</f>
        <v>-</v>
      </c>
      <c r="E49" s="2" t="str">
        <f>IFERROR(INDEX(Movimientos!$F$2:$F$1995,MATCH(A49&amp;"ENTRADA",Movimientos!$R$2:$R$1995,0)),"-")</f>
        <v>-</v>
      </c>
      <c r="F49" s="2" t="str">
        <f>IFERROR(INDEX(Movimientos!$G$2:$G$1995,MATCH(A49&amp;"ENTRADA",Movimientos!$R$2:$R$1995,0)),"-")</f>
        <v>-</v>
      </c>
      <c r="G49" s="2" t="str">
        <f>IFERROR(INDEX(Movimientos!$L$2:$L$1995,MATCH(A49&amp;"ENTRADA",Movimientos!$R$2:$R$1995,0)),"-")</f>
        <v>-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0</v>
      </c>
      <c r="K49" s="13" t="str">
        <f t="shared" ca="1" si="1"/>
        <v>SIN STOCK</v>
      </c>
    </row>
    <row r="50" spans="1:11">
      <c r="A50" s="16" t="s">
        <v>2241</v>
      </c>
      <c r="B50" s="2" t="str">
        <f>IFERROR(INDEX(Movimientos!$C$2:$C$1995,MATCH(A50&amp;"ENTRADA",Movimientos!$R$2:$R$1995,0)),"-")</f>
        <v>-</v>
      </c>
      <c r="C50" s="2" t="str">
        <f>IFERROR(INDEX(Movimientos!$D$2:$D$1995,MATCH(A50&amp;"ENTRADA",Movimientos!$R$2:$R$1995,0)),"-")</f>
        <v>-</v>
      </c>
      <c r="D50" s="2" t="str">
        <f>IFERROR(INDEX(Movimientos!$E$2:$E$1995,MATCH(A50&amp;"ENTRADA",Movimientos!$R$2:$R$1995,0)),"-")</f>
        <v>-</v>
      </c>
      <c r="E50" s="2" t="str">
        <f>IFERROR(INDEX(Movimientos!$F$2:$F$1995,MATCH(A50&amp;"ENTRADA",Movimientos!$R$2:$R$1995,0)),"-")</f>
        <v>-</v>
      </c>
      <c r="F50" s="2" t="str">
        <f>IFERROR(INDEX(Movimientos!$G$2:$G$1995,MATCH(A50&amp;"ENTRADA",Movimientos!$R$2:$R$1995,0)),"-")</f>
        <v>-</v>
      </c>
      <c r="G50" s="2" t="str">
        <f>IFERROR(INDEX(Movimientos!$L$2:$L$1995,MATCH(A50&amp;"ENTRADA",Movimientos!$R$2:$R$1995,0)),"-")</f>
        <v>-</v>
      </c>
      <c r="H50" s="17" t="str">
        <f>IFERROR(IF(INDEX(Movimientos!$M$2:$M$1995,MATCH(A50&amp;"ENTRADA",Movimientos!$R$2:$R$1995,0))=0,"S/D",INDEX(Movimientos!$M$2:$M$1995,MATCH(A50&amp;"ENTRADA",Movimientos!$R$2:$R$1995,0))),"S/D")</f>
        <v>S/D</v>
      </c>
      <c r="I50" s="15" t="str">
        <f t="shared" ca="1" si="2"/>
        <v>S/D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2242</v>
      </c>
      <c r="B51" s="2" t="str">
        <f>IFERROR(INDEX(Movimientos!$C$2:$C$1995,MATCH(A51&amp;"ENTRADA",Movimientos!$R$2:$R$1995,0)),"-")</f>
        <v>-</v>
      </c>
      <c r="C51" s="2" t="str">
        <f>IFERROR(INDEX(Movimientos!$D$2:$D$1995,MATCH(A51&amp;"ENTRADA",Movimientos!$R$2:$R$1995,0)),"-")</f>
        <v>-</v>
      </c>
      <c r="D51" s="2" t="str">
        <f>IFERROR(INDEX(Movimientos!$E$2:$E$1995,MATCH(A51&amp;"ENTRADA",Movimientos!$R$2:$R$1995,0)),"-")</f>
        <v>-</v>
      </c>
      <c r="E51" s="2" t="str">
        <f>IFERROR(INDEX(Movimientos!$F$2:$F$1995,MATCH(A51&amp;"ENTRADA",Movimientos!$R$2:$R$1995,0)),"-")</f>
        <v>-</v>
      </c>
      <c r="F51" s="2" t="str">
        <f>IFERROR(INDEX(Movimientos!$G$2:$G$1995,MATCH(A51&amp;"ENTRADA",Movimientos!$R$2:$R$1995,0)),"-")</f>
        <v>-</v>
      </c>
      <c r="G51" s="2" t="str">
        <f>IFERROR(INDEX(Movimientos!$L$2:$L$1995,MATCH(A51&amp;"ENTRADA",Movimientos!$R$2:$R$1995,0)),"-")</f>
        <v>-</v>
      </c>
      <c r="H51" s="17" t="str">
        <f>IFERROR(IF(INDEX(Movimientos!$M$2:$M$1995,MATCH(A51&amp;"ENTRADA",Movimientos!$R$2:$R$1995,0))=0,"S/D",INDEX(Movimientos!$M$2:$M$1995,MATCH(A51&amp;"ENTRADA",Movimientos!$R$2:$R$1995,0))),"S/D")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>
      <c r="A52" s="16" t="s">
        <v>2243</v>
      </c>
      <c r="B52" s="2" t="str">
        <f>IFERROR(INDEX(Movimientos!$C$2:$C$1995,MATCH(A52&amp;"ENTRADA",Movimientos!$R$2:$R$1995,0)),"-")</f>
        <v>-</v>
      </c>
      <c r="C52" s="2" t="str">
        <f>IFERROR(INDEX(Movimientos!$D$2:$D$1995,MATCH(A52&amp;"ENTRADA",Movimientos!$R$2:$R$1995,0)),"-")</f>
        <v>-</v>
      </c>
      <c r="D52" s="2" t="str">
        <f>IFERROR(INDEX(Movimientos!$E$2:$E$1995,MATCH(A52&amp;"ENTRADA",Movimientos!$R$2:$R$1995,0)),"-")</f>
        <v>-</v>
      </c>
      <c r="E52" s="2" t="str">
        <f>IFERROR(INDEX(Movimientos!$F$2:$F$1995,MATCH(A52&amp;"ENTRADA",Movimientos!$R$2:$R$1995,0)),"-")</f>
        <v>-</v>
      </c>
      <c r="F52" s="2" t="str">
        <f>IFERROR(INDEX(Movimientos!$G$2:$G$1995,MATCH(A52&amp;"ENTRADA",Movimientos!$R$2:$R$1995,0)),"-")</f>
        <v>-</v>
      </c>
      <c r="G52" s="2" t="str">
        <f>IFERROR(INDEX(Movimientos!$L$2:$L$1995,MATCH(A52&amp;"ENTRADA",Movimientos!$R$2:$R$1995,0)),"-")</f>
        <v>-</v>
      </c>
      <c r="H52" s="17" t="str">
        <f>IFERROR(IF(INDEX(Movimientos!$M$2:$M$1995,MATCH(A52&amp;"ENTRADA",Movimientos!$R$2:$R$1995,0))=0,"S/D",INDEX(Movimientos!$M$2:$M$1995,MATCH(A52&amp;"ENTRADA",Movimientos!$R$2:$R$1995,0))),"S/D")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2244</v>
      </c>
      <c r="B53" s="2" t="str">
        <f>IFERROR(INDEX(Movimientos!$C$2:$C$1995,MATCH(A53&amp;"ENTRADA",Movimientos!$R$2:$R$1995,0)),"-")</f>
        <v>-</v>
      </c>
      <c r="C53" s="2" t="str">
        <f>IFERROR(INDEX(Movimientos!$D$2:$D$1995,MATCH(A53&amp;"ENTRADA",Movimientos!$R$2:$R$1995,0)),"-")</f>
        <v>-</v>
      </c>
      <c r="D53" s="2" t="str">
        <f>IFERROR(INDEX(Movimientos!$E$2:$E$1995,MATCH(A53&amp;"ENTRADA",Movimientos!$R$2:$R$1995,0)),"-")</f>
        <v>-</v>
      </c>
      <c r="E53" s="2" t="str">
        <f>IFERROR(INDEX(Movimientos!$F$2:$F$1995,MATCH(A53&amp;"ENTRADA",Movimientos!$R$2:$R$1995,0)),"-")</f>
        <v>-</v>
      </c>
      <c r="F53" s="2" t="str">
        <f>IFERROR(INDEX(Movimientos!$G$2:$G$1995,MATCH(A53&amp;"ENTRADA",Movimientos!$R$2:$R$1995,0)),"-")</f>
        <v>-</v>
      </c>
      <c r="G53" s="2" t="str">
        <f>IFERROR(INDEX(Movimientos!$L$2:$L$1995,MATCH(A53&amp;"ENTRADA",Movimientos!$R$2:$R$1995,0)),"-")</f>
        <v>-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>
      <c r="A54" s="16" t="s">
        <v>2245</v>
      </c>
      <c r="B54" s="2" t="str">
        <f>IFERROR(INDEX(Movimientos!$C$2:$C$1995,MATCH(A54&amp;"ENTRADA",Movimientos!$R$2:$R$1995,0)),"-")</f>
        <v>-</v>
      </c>
      <c r="C54" s="2" t="str">
        <f>IFERROR(INDEX(Movimientos!$D$2:$D$1995,MATCH(A54&amp;"ENTRADA",Movimientos!$R$2:$R$1995,0)),"-")</f>
        <v>-</v>
      </c>
      <c r="D54" s="2" t="str">
        <f>IFERROR(INDEX(Movimientos!$E$2:$E$1995,MATCH(A54&amp;"ENTRADA",Movimientos!$R$2:$R$1995,0)),"-")</f>
        <v>-</v>
      </c>
      <c r="E54" s="2" t="str">
        <f>IFERROR(INDEX(Movimientos!$F$2:$F$1995,MATCH(A54&amp;"ENTRADA",Movimientos!$R$2:$R$1995,0)),"-")</f>
        <v>-</v>
      </c>
      <c r="F54" s="2" t="str">
        <f>IFERROR(INDEX(Movimientos!$G$2:$G$1995,MATCH(A54&amp;"ENTRADA",Movimientos!$R$2:$R$1995,0)),"-")</f>
        <v>-</v>
      </c>
      <c r="G54" s="2" t="str">
        <f>IFERROR(INDEX(Movimientos!$L$2:$L$1995,MATCH(A54&amp;"ENTRADA",Movimientos!$R$2:$R$1995,0)),"-")</f>
        <v>-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2246</v>
      </c>
      <c r="B55" s="2" t="str">
        <f>IFERROR(INDEX(Movimientos!$C$2:$C$1995,MATCH(A55&amp;"ENTRADA",Movimientos!$R$2:$R$1995,0)),"-")</f>
        <v>-</v>
      </c>
      <c r="C55" s="2" t="str">
        <f>IFERROR(INDEX(Movimientos!$D$2:$D$1995,MATCH(A55&amp;"ENTRADA",Movimientos!$R$2:$R$1995,0)),"-")</f>
        <v>-</v>
      </c>
      <c r="D55" s="2" t="str">
        <f>IFERROR(INDEX(Movimientos!$E$2:$E$1995,MATCH(A55&amp;"ENTRADA",Movimientos!$R$2:$R$1995,0)),"-")</f>
        <v>-</v>
      </c>
      <c r="E55" s="2" t="str">
        <f>IFERROR(INDEX(Movimientos!$F$2:$F$1995,MATCH(A55&amp;"ENTRADA",Movimientos!$R$2:$R$1995,0)),"-")</f>
        <v>-</v>
      </c>
      <c r="F55" s="2" t="str">
        <f>IFERROR(INDEX(Movimientos!$G$2:$G$1995,MATCH(A55&amp;"ENTRADA",Movimientos!$R$2:$R$1995,0)),"-")</f>
        <v>-</v>
      </c>
      <c r="G55" s="2" t="str">
        <f>IFERROR(INDEX(Movimientos!$L$2:$L$1995,MATCH(A55&amp;"ENTRADA",Movimientos!$R$2:$R$1995,0)),"-")</f>
        <v>-</v>
      </c>
      <c r="H55" s="17" t="str">
        <f>IFERROR(IF(INDEX(Movimientos!$M$2:$M$1995,MATCH(A55&amp;"ENTRADA",Movimientos!$R$2:$R$1995,0))=0,"S/D",INDEX(Movimientos!$M$2:$M$1995,MATCH(A55&amp;"ENTRADA",Movimientos!$R$2:$R$1995,0))),"S/D")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>
      <c r="A56" s="16" t="s">
        <v>2247</v>
      </c>
      <c r="B56" s="2" t="str">
        <f>IFERROR(INDEX(Movimientos!$C$2:$C$1995,MATCH(A56&amp;"ENTRADA",Movimientos!$R$2:$R$1995,0)),"-")</f>
        <v>-</v>
      </c>
      <c r="C56" s="2" t="str">
        <f>IFERROR(INDEX(Movimientos!$D$2:$D$1995,MATCH(A56&amp;"ENTRADA",Movimientos!$R$2:$R$1995,0)),"-")</f>
        <v>-</v>
      </c>
      <c r="D56" s="2" t="str">
        <f>IFERROR(INDEX(Movimientos!$E$2:$E$1995,MATCH(A56&amp;"ENTRADA",Movimientos!$R$2:$R$1995,0)),"-")</f>
        <v>-</v>
      </c>
      <c r="E56" s="2" t="str">
        <f>IFERROR(INDEX(Movimientos!$F$2:$F$1995,MATCH(A56&amp;"ENTRADA",Movimientos!$R$2:$R$1995,0)),"-")</f>
        <v>-</v>
      </c>
      <c r="F56" s="2" t="str">
        <f>IFERROR(INDEX(Movimientos!$G$2:$G$1995,MATCH(A56&amp;"ENTRADA",Movimientos!$R$2:$R$1995,0)),"-")</f>
        <v>-</v>
      </c>
      <c r="G56" s="2" t="str">
        <f>IFERROR(INDEX(Movimientos!$L$2:$L$1995,MATCH(A56&amp;"ENTRADA",Movimientos!$R$2:$R$1995,0)),"-")</f>
        <v>-</v>
      </c>
      <c r="H56" s="17" t="str">
        <f>IFERROR(IF(INDEX(Movimientos!$M$2:$M$1995,MATCH(A56&amp;"ENTRADA",Movimientos!$R$2:$R$1995,0))=0,"S/D",INDEX(Movimientos!$M$2:$M$1995,MATCH(A56&amp;"ENTRADA",Movimientos!$R$2:$R$1995,0))),"S/D")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>
      <c r="A57" s="16" t="s">
        <v>2248</v>
      </c>
      <c r="B57" s="2" t="str">
        <f>IFERROR(INDEX(Movimientos!$C$2:$C$1995,MATCH(A57&amp;"ENTRADA",Movimientos!$R$2:$R$1995,0)),"-")</f>
        <v>-</v>
      </c>
      <c r="C57" s="2" t="str">
        <f>IFERROR(INDEX(Movimientos!$D$2:$D$1995,MATCH(A57&amp;"ENTRADA",Movimientos!$R$2:$R$1995,0)),"-")</f>
        <v>-</v>
      </c>
      <c r="D57" s="2" t="str">
        <f>IFERROR(INDEX(Movimientos!$E$2:$E$1995,MATCH(A57&amp;"ENTRADA",Movimientos!$R$2:$R$1995,0)),"-")</f>
        <v>-</v>
      </c>
      <c r="E57" s="2" t="str">
        <f>IFERROR(INDEX(Movimientos!$F$2:$F$1995,MATCH(A57&amp;"ENTRADA",Movimientos!$R$2:$R$1995,0)),"-")</f>
        <v>-</v>
      </c>
      <c r="F57" s="2" t="str">
        <f>IFERROR(INDEX(Movimientos!$G$2:$G$1995,MATCH(A57&amp;"ENTRADA",Movimientos!$R$2:$R$1995,0)),"-")</f>
        <v>-</v>
      </c>
      <c r="G57" s="2" t="str">
        <f>IFERROR(INDEX(Movimientos!$L$2:$L$1995,MATCH(A57&amp;"ENTRADA",Movimientos!$R$2:$R$1995,0)),"-")</f>
        <v>-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2249</v>
      </c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2250</v>
      </c>
      <c r="B59" s="2" t="str">
        <f>IFERROR(INDEX(Movimientos!$C$2:$C$1995,MATCH(A59&amp;"ENTRADA",Movimientos!$R$2:$R$1995,0)),"-")</f>
        <v>-</v>
      </c>
      <c r="C59" s="2" t="str">
        <f>IFERROR(INDEX(Movimientos!$D$2:$D$1995,MATCH(A59&amp;"ENTRADA",Movimientos!$R$2:$R$1995,0)),"-")</f>
        <v>-</v>
      </c>
      <c r="D59" s="2" t="str">
        <f>IFERROR(INDEX(Movimientos!$E$2:$E$1995,MATCH(A59&amp;"ENTRADA",Movimientos!$R$2:$R$1995,0)),"-")</f>
        <v>-</v>
      </c>
      <c r="E59" s="2" t="str">
        <f>IFERROR(INDEX(Movimientos!$F$2:$F$1995,MATCH(A59&amp;"ENTRADA",Movimientos!$R$2:$R$1995,0)),"-")</f>
        <v>-</v>
      </c>
      <c r="F59" s="2" t="str">
        <f>IFERROR(INDEX(Movimientos!$G$2:$G$1995,MATCH(A59&amp;"ENTRADA",Movimientos!$R$2:$R$1995,0)),"-")</f>
        <v>-</v>
      </c>
      <c r="G59" s="2" t="str">
        <f>IFERROR(INDEX(Movimientos!$L$2:$L$1995,MATCH(A59&amp;"ENTRADA",Movimientos!$R$2:$R$1995,0)),"-")</f>
        <v>-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2251</v>
      </c>
      <c r="B60" s="2" t="str">
        <f>IFERROR(INDEX(Movimientos!$C$2:$C$1995,MATCH(A60&amp;"ENTRADA",Movimientos!$R$2:$R$1995,0)),"-")</f>
        <v>-</v>
      </c>
      <c r="C60" s="2" t="str">
        <f>IFERROR(INDEX(Movimientos!$D$2:$D$1995,MATCH(A60&amp;"ENTRADA",Movimientos!$R$2:$R$1995,0)),"-")</f>
        <v>-</v>
      </c>
      <c r="D60" s="2" t="str">
        <f>IFERROR(INDEX(Movimientos!$E$2:$E$1995,MATCH(A60&amp;"ENTRADA",Movimientos!$R$2:$R$1995,0)),"-")</f>
        <v>-</v>
      </c>
      <c r="E60" s="2" t="str">
        <f>IFERROR(INDEX(Movimientos!$F$2:$F$1995,MATCH(A60&amp;"ENTRADA",Movimientos!$R$2:$R$1995,0)),"-")</f>
        <v>-</v>
      </c>
      <c r="F60" s="2" t="str">
        <f>IFERROR(INDEX(Movimientos!$G$2:$G$1995,MATCH(A60&amp;"ENTRADA",Movimientos!$R$2:$R$1995,0)),"-")</f>
        <v>-</v>
      </c>
      <c r="G60" s="2" t="str">
        <f>IFERROR(INDEX(Movimientos!$L$2:$L$1995,MATCH(A60&amp;"ENTRADA",Movimientos!$R$2:$R$1995,0)),"-")</f>
        <v>-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2252</v>
      </c>
      <c r="B61" s="2" t="str">
        <f>IFERROR(INDEX(Movimientos!$C$2:$C$1995,MATCH(A61&amp;"ENTRADA",Movimientos!$R$2:$R$1995,0)),"-")</f>
        <v>-</v>
      </c>
      <c r="C61" s="2" t="str">
        <f>IFERROR(INDEX(Movimientos!$D$2:$D$1995,MATCH(A61&amp;"ENTRADA",Movimientos!$R$2:$R$1995,0)),"-")</f>
        <v>-</v>
      </c>
      <c r="D61" s="2" t="str">
        <f>IFERROR(INDEX(Movimientos!$E$2:$E$1995,MATCH(A61&amp;"ENTRADA",Movimientos!$R$2:$R$1995,0)),"-")</f>
        <v>-</v>
      </c>
      <c r="E61" s="2" t="str">
        <f>IFERROR(INDEX(Movimientos!$F$2:$F$1995,MATCH(A61&amp;"ENTRADA",Movimientos!$R$2:$R$1995,0)),"-")</f>
        <v>-</v>
      </c>
      <c r="F61" s="2" t="str">
        <f>IFERROR(INDEX(Movimientos!$G$2:$G$1995,MATCH(A61&amp;"ENTRADA",Movimientos!$R$2:$R$1995,0)),"-")</f>
        <v>-</v>
      </c>
      <c r="G61" s="2" t="str">
        <f>IFERROR(INDEX(Movimientos!$L$2:$L$1995,MATCH(A61&amp;"ENTRADA",Movimientos!$R$2:$R$1995,0)),"-")</f>
        <v>-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2253</v>
      </c>
      <c r="B62" s="2" t="str">
        <f>IFERROR(INDEX(Movimientos!$C$2:$C$1995,MATCH(A62&amp;"ENTRADA",Movimientos!$R$2:$R$1995,0)),"-")</f>
        <v>-</v>
      </c>
      <c r="C62" s="2" t="str">
        <f>IFERROR(INDEX(Movimientos!$D$2:$D$1995,MATCH(A62&amp;"ENTRADA",Movimientos!$R$2:$R$1995,0)),"-")</f>
        <v>-</v>
      </c>
      <c r="D62" s="2" t="str">
        <f>IFERROR(INDEX(Movimientos!$E$2:$E$1995,MATCH(A62&amp;"ENTRADA",Movimientos!$R$2:$R$1995,0)),"-")</f>
        <v>-</v>
      </c>
      <c r="E62" s="2" t="str">
        <f>IFERROR(INDEX(Movimientos!$F$2:$F$1995,MATCH(A62&amp;"ENTRADA",Movimientos!$R$2:$R$1995,0)),"-")</f>
        <v>-</v>
      </c>
      <c r="F62" s="2" t="str">
        <f>IFERROR(INDEX(Movimientos!$G$2:$G$1995,MATCH(A62&amp;"ENTRADA",Movimientos!$R$2:$R$1995,0)),"-")</f>
        <v>-</v>
      </c>
      <c r="G62" s="2" t="str">
        <f>IFERROR(INDEX(Movimientos!$L$2:$L$1995,MATCH(A62&amp;"ENTRADA",Movimientos!$R$2:$R$1995,0)),"-")</f>
        <v>-</v>
      </c>
      <c r="H62" s="17" t="str">
        <f>IFERROR(IF(INDEX(Movimientos!$M$2:$M$1995,MATCH(A62&amp;"ENTRADA",Movimientos!$R$2:$R$1995,0))=0,"S/D",INDEX(Movimientos!$M$2:$M$1995,MATCH(A62&amp;"ENTRADA",Movimientos!$R$2:$R$1995,0))),"S/D")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2254</v>
      </c>
      <c r="B63" s="2" t="str">
        <f>IFERROR(INDEX(Movimientos!$C$2:$C$1995,MATCH(A63&amp;"ENTRADA",Movimientos!$R$2:$R$1995,0)),"-")</f>
        <v>-</v>
      </c>
      <c r="C63" s="2" t="str">
        <f>IFERROR(INDEX(Movimientos!$D$2:$D$1995,MATCH(A63&amp;"ENTRADA",Movimientos!$R$2:$R$1995,0)),"-")</f>
        <v>-</v>
      </c>
      <c r="D63" s="2" t="str">
        <f>IFERROR(INDEX(Movimientos!$E$2:$E$1995,MATCH(A63&amp;"ENTRADA",Movimientos!$R$2:$R$1995,0)),"-")</f>
        <v>-</v>
      </c>
      <c r="E63" s="2" t="str">
        <f>IFERROR(INDEX(Movimientos!$F$2:$F$1995,MATCH(A63&amp;"ENTRADA",Movimientos!$R$2:$R$1995,0)),"-")</f>
        <v>-</v>
      </c>
      <c r="F63" s="2" t="str">
        <f>IFERROR(INDEX(Movimientos!$G$2:$G$1995,MATCH(A63&amp;"ENTRADA",Movimientos!$R$2:$R$1995,0)),"-")</f>
        <v>-</v>
      </c>
      <c r="G63" s="2" t="str">
        <f>IFERROR(INDEX(Movimientos!$L$2:$L$1995,MATCH(A63&amp;"ENTRADA",Movimientos!$R$2:$R$1995,0)),"-")</f>
        <v>-</v>
      </c>
      <c r="H63" s="17" t="str">
        <f>IFERROR(IF(INDEX(Movimientos!$M$2:$M$1995,MATCH(A63&amp;"ENTRADA",Movimientos!$R$2:$R$1995,0))=0,"S/D",INDEX(Movimientos!$M$2:$M$1995,MATCH(A63&amp;"ENTRADA",Movimientos!$R$2:$R$1995,0))),"S/D")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2255</v>
      </c>
      <c r="B64" s="2" t="str">
        <f>IFERROR(INDEX(Movimientos!$C$2:$C$1995,MATCH(A64&amp;"ENTRADA",Movimientos!$R$2:$R$1995,0)),"-")</f>
        <v>-</v>
      </c>
      <c r="C64" s="2" t="str">
        <f>IFERROR(INDEX(Movimientos!$D$2:$D$1995,MATCH(A64&amp;"ENTRADA",Movimientos!$R$2:$R$1995,0)),"-")</f>
        <v>-</v>
      </c>
      <c r="D64" s="2" t="str">
        <f>IFERROR(INDEX(Movimientos!$E$2:$E$1995,MATCH(A64&amp;"ENTRADA",Movimientos!$R$2:$R$1995,0)),"-")</f>
        <v>-</v>
      </c>
      <c r="E64" s="2" t="str">
        <f>IFERROR(INDEX(Movimientos!$F$2:$F$1995,MATCH(A64&amp;"ENTRADA",Movimientos!$R$2:$R$1995,0)),"-")</f>
        <v>-</v>
      </c>
      <c r="F64" s="2" t="str">
        <f>IFERROR(INDEX(Movimientos!$G$2:$G$1995,MATCH(A64&amp;"ENTRADA",Movimientos!$R$2:$R$1995,0)),"-")</f>
        <v>-</v>
      </c>
      <c r="G64" s="2" t="str">
        <f>IFERROR(INDEX(Movimientos!$L$2:$L$1995,MATCH(A64&amp;"ENTRADA",Movimientos!$R$2:$R$1995,0)),"-")</f>
        <v>-</v>
      </c>
      <c r="H64" s="17" t="str">
        <f>IFERROR(IF(INDEX(Movimientos!$M$2:$M$1995,MATCH(A64&amp;"ENTRADA",Movimientos!$R$2:$R$1995,0))=0,"S/D",INDEX(Movimientos!$M$2:$M$1995,MATCH(A64&amp;"ENTRADA",Movimientos!$R$2:$R$1995,0))),"S/D")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2256</v>
      </c>
      <c r="B65" s="2" t="str">
        <f>IFERROR(INDEX(Movimientos!$C$2:$C$1995,MATCH(A65&amp;"ENTRADA",Movimientos!$R$2:$R$1995,0)),"-")</f>
        <v>-</v>
      </c>
      <c r="C65" s="2" t="str">
        <f>IFERROR(INDEX(Movimientos!$D$2:$D$1995,MATCH(A65&amp;"ENTRADA",Movimientos!$R$2:$R$1995,0)),"-")</f>
        <v>-</v>
      </c>
      <c r="D65" s="2" t="str">
        <f>IFERROR(INDEX(Movimientos!$E$2:$E$1995,MATCH(A65&amp;"ENTRADA",Movimientos!$R$2:$R$1995,0)),"-")</f>
        <v>-</v>
      </c>
      <c r="E65" s="2" t="str">
        <f>IFERROR(INDEX(Movimientos!$F$2:$F$1995,MATCH(A65&amp;"ENTRADA",Movimientos!$R$2:$R$1995,0)),"-")</f>
        <v>-</v>
      </c>
      <c r="F65" s="2" t="str">
        <f>IFERROR(INDEX(Movimientos!$G$2:$G$1995,MATCH(A65&amp;"ENTRADA",Movimientos!$R$2:$R$1995,0)),"-")</f>
        <v>-</v>
      </c>
      <c r="G65" s="2" t="str">
        <f>IFERROR(INDEX(Movimientos!$L$2:$L$1995,MATCH(A65&amp;"ENTRADA",Movimientos!$R$2:$R$1995,0)),"-")</f>
        <v>-</v>
      </c>
      <c r="H65" s="17" t="str">
        <f>IFERROR(IF(INDEX(Movimientos!$M$2:$M$1995,MATCH(A65&amp;"ENTRADA",Movimientos!$R$2:$R$1995,0))=0,"S/D",INDEX(Movimientos!$M$2:$M$1995,MATCH(A65&amp;"ENTRADA",Movimientos!$R$2:$R$1995,0))),"S/D")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2257</v>
      </c>
      <c r="B66" s="2" t="str">
        <f>IFERROR(INDEX(Movimientos!$C$2:$C$1995,MATCH(A66&amp;"ENTRADA",Movimientos!$R$2:$R$1995,0)),"-")</f>
        <v>-</v>
      </c>
      <c r="C66" s="2" t="str">
        <f>IFERROR(INDEX(Movimientos!$D$2:$D$1995,MATCH(A66&amp;"ENTRADA",Movimientos!$R$2:$R$1995,0)),"-")</f>
        <v>-</v>
      </c>
      <c r="D66" s="2" t="str">
        <f>IFERROR(INDEX(Movimientos!$E$2:$E$1995,MATCH(A66&amp;"ENTRADA",Movimientos!$R$2:$R$1995,0)),"-")</f>
        <v>-</v>
      </c>
      <c r="E66" s="2" t="str">
        <f>IFERROR(INDEX(Movimientos!$F$2:$F$1995,MATCH(A66&amp;"ENTRADA",Movimientos!$R$2:$R$1995,0)),"-")</f>
        <v>-</v>
      </c>
      <c r="F66" s="2" t="str">
        <f>IFERROR(INDEX(Movimientos!$G$2:$G$1995,MATCH(A66&amp;"ENTRADA",Movimientos!$R$2:$R$1995,0)),"-")</f>
        <v>-</v>
      </c>
      <c r="G66" s="2" t="str">
        <f>IFERROR(INDEX(Movimientos!$L$2:$L$1995,MATCH(A66&amp;"ENTRADA",Movimientos!$R$2:$R$1995,0)),"-")</f>
        <v>-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2258</v>
      </c>
      <c r="B67" s="2" t="str">
        <f>IFERROR(INDEX(Movimientos!$C$2:$C$1995,MATCH(A67&amp;"ENTRADA",Movimientos!$R$2:$R$1995,0)),"-")</f>
        <v>-</v>
      </c>
      <c r="C67" s="2" t="str">
        <f>IFERROR(INDEX(Movimientos!$D$2:$D$1995,MATCH(A67&amp;"ENTRADA",Movimientos!$R$2:$R$1995,0)),"-")</f>
        <v>-</v>
      </c>
      <c r="D67" s="2" t="str">
        <f>IFERROR(INDEX(Movimientos!$E$2:$E$1995,MATCH(A67&amp;"ENTRADA",Movimientos!$R$2:$R$1995,0)),"-")</f>
        <v>-</v>
      </c>
      <c r="E67" s="2" t="str">
        <f>IFERROR(INDEX(Movimientos!$F$2:$F$1995,MATCH(A67&amp;"ENTRADA",Movimientos!$R$2:$R$1995,0)),"-")</f>
        <v>-</v>
      </c>
      <c r="F67" s="2" t="str">
        <f>IFERROR(INDEX(Movimientos!$G$2:$G$1995,MATCH(A67&amp;"ENTRADA",Movimientos!$R$2:$R$1995,0)),"-")</f>
        <v>-</v>
      </c>
      <c r="G67" s="2" t="str">
        <f>IFERROR(INDEX(Movimientos!$L$2:$L$1995,MATCH(A67&amp;"ENTRADA",Movimientos!$R$2:$R$1995,0)),"-")</f>
        <v>-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2259</v>
      </c>
      <c r="B68" s="2" t="str">
        <f>IFERROR(INDEX(Movimientos!$C$2:$C$1995,MATCH(A68&amp;"ENTRADA",Movimientos!$R$2:$R$1995,0)),"-")</f>
        <v>-</v>
      </c>
      <c r="C68" s="2" t="str">
        <f>IFERROR(INDEX(Movimientos!$D$2:$D$1995,MATCH(A68&amp;"ENTRADA",Movimientos!$R$2:$R$1995,0)),"-")</f>
        <v>-</v>
      </c>
      <c r="D68" s="2" t="str">
        <f>IFERROR(INDEX(Movimientos!$E$2:$E$1995,MATCH(A68&amp;"ENTRADA",Movimientos!$R$2:$R$1995,0)),"-")</f>
        <v>-</v>
      </c>
      <c r="E68" s="2" t="str">
        <f>IFERROR(INDEX(Movimientos!$F$2:$F$1995,MATCH(A68&amp;"ENTRADA",Movimientos!$R$2:$R$1995,0)),"-")</f>
        <v>-</v>
      </c>
      <c r="F68" s="2" t="str">
        <f>IFERROR(INDEX(Movimientos!$G$2:$G$1995,MATCH(A68&amp;"ENTRADA",Movimientos!$R$2:$R$1995,0)),"-")</f>
        <v>-</v>
      </c>
      <c r="G68" s="2" t="str">
        <f>IFERROR(INDEX(Movimientos!$L$2:$L$1995,MATCH(A68&amp;"ENTRADA",Movimientos!$R$2:$R$1995,0)),"-")</f>
        <v>-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2260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2261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2262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2263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2264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2265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2266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2267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2268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2269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2270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2271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2272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2273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2274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2275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2276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2277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2278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2279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2280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2281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2282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2283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2284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2285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2286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2287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2288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2289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2290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2291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2292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2293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2294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2295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2296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2297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2298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2299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2300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2301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2302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2303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2304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2305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2306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2307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2308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2309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2310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2311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2312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2313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2314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2315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2316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2317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2318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2319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2320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2321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2322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2323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2324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2325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2326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2327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2328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2329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2330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2331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2332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2333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2334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2335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2336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2337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2338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2339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2340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2341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2342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2343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2344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2345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2346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2347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2348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2349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2350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2351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2352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2353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2354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2355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2356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2357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2358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2359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2360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2361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2362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2363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2364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2365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2366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2367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2368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2369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2370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2371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2372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2373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2374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2375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2376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2377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2378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2379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2380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2381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2382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2383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2384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2385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2386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2387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2388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2389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2390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2391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2392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2393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2394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2395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2396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2397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2398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2399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2400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2401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2402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2403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2404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2405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2406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2407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2408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2409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2410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2411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2412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2413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2414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2415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2416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2417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2418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2419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2420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2421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2422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2423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2424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2425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2426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2427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2428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2429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2430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2431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2432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2433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2434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2435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2436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2437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2438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2439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2440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2441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2442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2443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2444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2445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2446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2447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2448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2449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2450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2451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2452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2453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2454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2455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2456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2457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2458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2459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2460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2461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2462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2463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2464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2465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2466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2467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2468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2469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2470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2471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2472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2473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2474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2475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2476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2477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2478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2479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2480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2481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2482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2483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2484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2485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2486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2487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2488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2489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2490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2491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2492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2493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2494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2495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2496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2497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2498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2499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2500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2501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2502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2503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2504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2505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2506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2507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2508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2509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2510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2511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2512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2513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2514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2515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2516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2517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2518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2519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2520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2521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2522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2523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2524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2525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2526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2527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2528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2529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2530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2531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2532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2533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2534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2535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2536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2537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2538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2539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2540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2541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2542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2543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2544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2545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2546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2547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2548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2549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2550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2551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2552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2553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2554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2555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2556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2557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2558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2559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2560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2561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2562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2563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2564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2565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2566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2567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2568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2569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2570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2571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2572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2573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2574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2575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2576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2577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2578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2579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2580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2581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2582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2583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2584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2585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2586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2587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2588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2589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2590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2591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2592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2593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2594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2595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2596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2597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2598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2599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2600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2601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2602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2603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2604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2605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2606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2607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2608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2609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2610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2611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2612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2613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2614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2615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2616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2617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2618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2619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2620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2621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2622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2623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2624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2625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2626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2627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2628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2629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2630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2631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2632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2633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2634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2635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2636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2637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2638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2639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2640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2641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2642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2643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2644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2645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2646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2647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2648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2649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2650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2651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2652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2653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2654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2655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2656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2657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2658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2659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2660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2661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2662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2663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2664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2665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2666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2667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2668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2669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2670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2671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2672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2673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2674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2675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2676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2677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2678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2679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2680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2681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2682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2683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2684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2685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2686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2687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2688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2689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2690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2691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2692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2693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2694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2695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2696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2697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2698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2699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2700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2701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2702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2703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2704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2705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2706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2707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2708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2709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2710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2711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2712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2713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2714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2715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2716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2717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2718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2719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2720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2721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2722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2723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2724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2725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2726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2727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2728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2729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2730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2731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2732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2733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2734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2735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2736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2737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2738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2739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2740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2741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2742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2743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2744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2745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2746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2747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2748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2749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2750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2751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2752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2753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2754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2755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2756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2757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2758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2759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2760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2761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2762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2763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2764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2765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2766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2767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2768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2769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2770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2771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2772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2773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2774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2775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2776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2777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2778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2779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2780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2781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2782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2783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2784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2785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2786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2787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2788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2789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2790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2791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2792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2793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2794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2795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2796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2797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2798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2799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2800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2801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2802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2803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2804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2805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2806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2807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2808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2809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2810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2811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2812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2813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2814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2815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2816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2817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2818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2819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2820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2821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2822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2823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2824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2825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2826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2827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2828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2829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2830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2831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2832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2833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2834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2835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2836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2837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2838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2839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2840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2841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2842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2843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2844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2845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2846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2847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2848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2849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2850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2851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2852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2853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2854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2855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2856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2857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2858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2859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2860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2861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2862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2863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2864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2865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2866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2867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2868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2869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2870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2871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2872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2873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2874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2875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2876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2877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2878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2879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2880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2881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2882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2883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2884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2885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2886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2887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2888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2889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2890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2891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2892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2893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2894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2895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2896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2897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2898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2899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2900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2901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2902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2903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2904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2905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2906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2907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2908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2909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2910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2911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2912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2913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2914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2915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2916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2917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2918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2919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2920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2921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2922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2923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2924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2925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2926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2927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2928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2929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2930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2931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2932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2933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2934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2935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2936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2937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2938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2939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2940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2941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2942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2943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2944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2945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2946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2947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2948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2949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2950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2951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2952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2953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2954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2955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2956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2957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2958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2959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2960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2961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2962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2963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2964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2965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2966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2967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2968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2969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2970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2971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2972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2973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2974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2975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2976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2977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2978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2979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2980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2981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2982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2983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2984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2985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2986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2987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2988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2989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2990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2991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2992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2993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2994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2995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2996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2997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2998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2999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3000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3001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3002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3003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3004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3005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3006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3007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3008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3009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3010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3011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3012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3013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3014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3015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3016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3017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3018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3019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3020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3021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3022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3023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3024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3025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3026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3027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3028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3029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3030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3031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3032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3033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3034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3035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3036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3037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3038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3039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3040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3041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3042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3043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3044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3045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3046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3047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3048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3049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3050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3051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3052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3053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3054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3055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3056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3057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3058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3059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3060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3061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3062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3063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3064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3065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3066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3067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3068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3069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3070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3071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3072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3073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3074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3075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3076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3077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3078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3079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3080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3081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3082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3083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3084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3085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3086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3087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3088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3089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3090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3091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3092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3093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3094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3095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3096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3097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3098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3099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3100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3101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3102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3103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3104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3105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3106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3107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3108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3109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3110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3111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3112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3113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3114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3115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3116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3117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3118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3119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3120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3121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3122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3123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3124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3125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3126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3127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3128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3129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3130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3131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3132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3133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3134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3135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3136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3137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3138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3139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3140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3141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3142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3143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3144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3145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3146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3147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3148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3149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3150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3151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3152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3153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3154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3155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3156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3157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3158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3159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3160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3161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3162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3163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3164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3165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3166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3167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3168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3169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3170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3171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3172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3173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3174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3175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3176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3177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3178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3179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3180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3181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3182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3183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3184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3185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3186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3187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3">
      <formula>K2="OK"</formula>
    </cfRule>
    <cfRule type="expression" dxfId="6" priority="4">
      <formula>K2="PRÓXIMO A VENCER"</formula>
    </cfRule>
    <cfRule type="expression" dxfId="5" priority="5">
      <formula>K2="SIN STOCK"</formula>
    </cfRule>
    <cfRule type="expression" dxfId="4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4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2230</v>
      </c>
      <c r="B1" s="18" t="s">
        <v>3188</v>
      </c>
      <c r="C1" s="18" t="s">
        <v>4</v>
      </c>
      <c r="D1" s="18" t="s">
        <v>5</v>
      </c>
      <c r="E1" s="18" t="s">
        <v>11</v>
      </c>
      <c r="F1" s="18" t="s">
        <v>3189</v>
      </c>
      <c r="G1" s="18" t="s">
        <v>3190</v>
      </c>
      <c r="H1" s="18" t="s">
        <v>3191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290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190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189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2845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39240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13690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4820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968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450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175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>
        <f>IF(A34="","",IFERROR(INDEX(Movimientos!$F$2:$F$1995,MATCH(A34&amp;"ENTRADA",Movimientos!$S$2:$S$1995,0)),"-"))</f>
        <v>0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140</v>
      </c>
      <c r="H35" s="14">
        <f>IF(A35="","",IFERROR(IF(_xlfn.MINIFS(Stock_por_Lote!$H:$H,Stock_por_Lote!$B:$B,A35,Stock_por_Lote!$J:$J,"&gt;0")=0,"S/D",_xlfn.MINIFS(Stock_por_Lote!$H:$H,Stock_por_Lote!$B:$B,A35,Stock_por_Lote!$J:$J,"&gt;0")),"S/D"))</f>
        <v>46174</v>
      </c>
    </row>
    <row r="36" spans="1:8">
      <c r="A36" t="s">
        <v>247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IF(A38="","",IFERROR(INDEX(Movimientos!$D$2:$D$1995,MATCH(A38&amp;"ENTRADA",Movimientos!$S$2:$S$1995,0)),"-"))</f>
        <v/>
      </c>
      <c r="C38" s="3" t="str">
        <f>IF(A38="","",IFERROR(INDEX(Movimientos!$E$2:$E$1995,MATCH(A38&amp;"ENTRADA",Movimientos!$S$2:$S$1995,0)),"-"))</f>
        <v/>
      </c>
      <c r="D38" s="3" t="str">
        <f>IF(A38="","",IFERROR(INDEX(Movimientos!$F$2:$F$1995,MATCH(A38&amp;"ENTRADA",Movimientos!$S$2:$S$1995,0)),"-"))</f>
        <v/>
      </c>
      <c r="E38" s="3" t="str">
        <f>IF(A38="","",IFERROR(INDEX(Movimientos!$L$2:$L$1995,MATCH(A38&amp;"ENTRADA",Movimientos!$S$2:$S$1995,0)),"-"))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IF(A39="","",IFERROR(INDEX(Movimientos!$D$2:$D$1995,MATCH(A39&amp;"ENTRADA",Movimientos!$S$2:$S$1995,0)),"-"))</f>
        <v/>
      </c>
      <c r="C39" s="3" t="str">
        <f>IF(A39="","",IFERROR(INDEX(Movimientos!$E$2:$E$1995,MATCH(A39&amp;"ENTRADA",Movimientos!$S$2:$S$1995,0)),"-"))</f>
        <v/>
      </c>
      <c r="D39" s="3" t="str">
        <f>IF(A39="","",IFERROR(INDEX(Movimientos!$F$2:$F$1995,MATCH(A39&amp;"ENTRADA",Movimientos!$S$2:$S$1995,0)),"-"))</f>
        <v/>
      </c>
      <c r="E39" s="3" t="str">
        <f>IF(A39="","",IFERROR(INDEX(Movimientos!$L$2:$L$1995,MATCH(A39&amp;"ENTRADA",Movimientos!$S$2:$S$1995,0)),"-"))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IF(A40="","",IFERROR(INDEX(Movimientos!$D$2:$D$1995,MATCH(A40&amp;"ENTRADA",Movimientos!$S$2:$S$1995,0)),"-"))</f>
        <v/>
      </c>
      <c r="C40" s="3" t="str">
        <f>IF(A40="","",IFERROR(INDEX(Movimientos!$E$2:$E$1995,MATCH(A40&amp;"ENTRADA",Movimientos!$S$2:$S$1995,0)),"-"))</f>
        <v/>
      </c>
      <c r="D40" s="3" t="str">
        <f>IF(A40="","",IFERROR(INDEX(Movimientos!$F$2:$F$1995,MATCH(A40&amp;"ENTRADA",Movimientos!$S$2:$S$1995,0)),"-"))</f>
        <v/>
      </c>
      <c r="E40" s="3" t="str">
        <f>IF(A40="","",IFERROR(INDEX(Movimientos!$L$2:$L$1995,MATCH(A40&amp;"ENTRADA",Movimientos!$S$2:$S$1995,0)),"-"))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IF(A41="","",IFERROR(INDEX(Movimientos!$D$2:$D$1995,MATCH(A41&amp;"ENTRADA",Movimientos!$S$2:$S$1995,0)),"-"))</f>
        <v/>
      </c>
      <c r="C41" s="3" t="str">
        <f>IF(A41="","",IFERROR(INDEX(Movimientos!$E$2:$E$1995,MATCH(A41&amp;"ENTRADA",Movimientos!$S$2:$S$1995,0)),"-"))</f>
        <v/>
      </c>
      <c r="D41" s="3" t="str">
        <f>IF(A41="","",IFERROR(INDEX(Movimientos!$F$2:$F$1995,MATCH(A41&amp;"ENTRADA",Movimientos!$S$2:$S$1995,0)),"-"))</f>
        <v/>
      </c>
      <c r="E41" s="3" t="str">
        <f>IF(A41="","",IFERROR(INDEX(Movimientos!$L$2:$L$1995,MATCH(A41&amp;"ENTRADA",Movimientos!$S$2:$S$1995,0)),"-"))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IF(A42="","",IFERROR(INDEX(Movimientos!$D$2:$D$1995,MATCH(A42&amp;"ENTRADA",Movimientos!$S$2:$S$1995,0)),"-"))</f>
        <v/>
      </c>
      <c r="C42" s="3" t="str">
        <f>IF(A42="","",IFERROR(INDEX(Movimientos!$E$2:$E$1995,MATCH(A42&amp;"ENTRADA",Movimientos!$S$2:$S$1995,0)),"-"))</f>
        <v/>
      </c>
      <c r="D42" s="3" t="str">
        <f>IF(A42="","",IFERROR(INDEX(Movimientos!$F$2:$F$1995,MATCH(A42&amp;"ENTRADA",Movimientos!$S$2:$S$1995,0)),"-"))</f>
        <v/>
      </c>
      <c r="E42" s="3" t="str">
        <f>IF(A42="","",IFERROR(INDEX(Movimientos!$L$2:$L$1995,MATCH(A42&amp;"ENTRADA",Movimientos!$S$2:$S$1995,0)),"-"))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IF(A43="","",IFERROR(INDEX(Movimientos!$D$2:$D$1995,MATCH(A43&amp;"ENTRADA",Movimientos!$S$2:$S$1995,0)),"-"))</f>
        <v/>
      </c>
      <c r="C43" s="3" t="str">
        <f>IF(A43="","",IFERROR(INDEX(Movimientos!$E$2:$E$1995,MATCH(A43&amp;"ENTRADA",Movimientos!$S$2:$S$1995,0)),"-"))</f>
        <v/>
      </c>
      <c r="D43" s="3" t="str">
        <f>IF(A43="","",IFERROR(INDEX(Movimientos!$F$2:$F$1995,MATCH(A43&amp;"ENTRADA",Movimientos!$S$2:$S$1995,0)),"-"))</f>
        <v/>
      </c>
      <c r="E43" s="3" t="str">
        <f>IF(A43="","",IFERROR(INDEX(Movimientos!$L$2:$L$1995,MATCH(A43&amp;"ENTRADA",Movimientos!$S$2:$S$1995,0)),"-"))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IF(A44="","",IFERROR(INDEX(Movimientos!$D$2:$D$1995,MATCH(A44&amp;"ENTRADA",Movimientos!$S$2:$S$1995,0)),"-"))</f>
        <v/>
      </c>
      <c r="C44" s="3" t="str">
        <f>IF(A44="","",IFERROR(INDEX(Movimientos!$E$2:$E$1995,MATCH(A44&amp;"ENTRADA",Movimientos!$S$2:$S$1995,0)),"-"))</f>
        <v/>
      </c>
      <c r="D44" s="3" t="str">
        <f>IF(A44="","",IFERROR(INDEX(Movimientos!$F$2:$F$1995,MATCH(A44&amp;"ENTRADA",Movimientos!$S$2:$S$1995,0)),"-"))</f>
        <v/>
      </c>
      <c r="E44" s="3" t="str">
        <f>IF(A44="","",IFERROR(INDEX(Movimientos!$L$2:$L$1995,MATCH(A44&amp;"ENTRADA",Movimientos!$S$2:$S$1995,0)),"-"))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IF(A45="","",IFERROR(INDEX(Movimientos!$D$2:$D$1995,MATCH(A45&amp;"ENTRADA",Movimientos!$S$2:$S$1995,0)),"-"))</f>
        <v/>
      </c>
      <c r="C45" s="3" t="str">
        <f>IF(A45="","",IFERROR(INDEX(Movimientos!$E$2:$E$1995,MATCH(A45&amp;"ENTRADA",Movimientos!$S$2:$S$1995,0)),"-"))</f>
        <v/>
      </c>
      <c r="D45" s="3" t="str">
        <f>IF(A45="","",IFERROR(INDEX(Movimientos!$F$2:$F$1995,MATCH(A45&amp;"ENTRADA",Movimientos!$S$2:$S$1995,0)),"-"))</f>
        <v/>
      </c>
      <c r="E45" s="3" t="str">
        <f>IF(A45="","",IFERROR(INDEX(Movimientos!$L$2:$L$1995,MATCH(A45&amp;"ENTRADA",Movimientos!$S$2:$S$1995,0)),"-"))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IF(A46="","",IFERROR(INDEX(Movimientos!$D$2:$D$1995,MATCH(A46&amp;"ENTRADA",Movimientos!$S$2:$S$1995,0)),"-"))</f>
        <v/>
      </c>
      <c r="C46" s="3" t="str">
        <f>IF(A46="","",IFERROR(INDEX(Movimientos!$E$2:$E$1995,MATCH(A46&amp;"ENTRADA",Movimientos!$S$2:$S$1995,0)),"-"))</f>
        <v/>
      </c>
      <c r="D46" s="3" t="str">
        <f>IF(A46="","",IFERROR(INDEX(Movimientos!$F$2:$F$1995,MATCH(A46&amp;"ENTRADA",Movimientos!$S$2:$S$1995,0)),"-"))</f>
        <v/>
      </c>
      <c r="E46" s="3" t="str">
        <f>IF(A46="","",IFERROR(INDEX(Movimientos!$L$2:$L$1995,MATCH(A46&amp;"ENTRADA",Movimientos!$S$2:$S$1995,0)),"-"))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IF(A47="","",IFERROR(INDEX(Movimientos!$D$2:$D$1995,MATCH(A47&amp;"ENTRADA",Movimientos!$S$2:$S$1995,0)),"-"))</f>
        <v/>
      </c>
      <c r="C47" s="3" t="str">
        <f>IF(A47="","",IFERROR(INDEX(Movimientos!$E$2:$E$1995,MATCH(A47&amp;"ENTRADA",Movimientos!$S$2:$S$1995,0)),"-"))</f>
        <v/>
      </c>
      <c r="D47" s="3" t="str">
        <f>IF(A47="","",IFERROR(INDEX(Movimientos!$F$2:$F$1995,MATCH(A47&amp;"ENTRADA",Movimientos!$S$2:$S$1995,0)),"-"))</f>
        <v/>
      </c>
      <c r="E47" s="3" t="str">
        <f>IF(A47="","",IFERROR(INDEX(Movimientos!$L$2:$L$1995,MATCH(A47&amp;"ENTRADA",Movimientos!$S$2:$S$1995,0)),"-"))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IF(A48="","",IFERROR(INDEX(Movimientos!$D$2:$D$1995,MATCH(A48&amp;"ENTRADA",Movimientos!$S$2:$S$1995,0)),"-"))</f>
        <v/>
      </c>
      <c r="C48" s="3" t="str">
        <f>IF(A48="","",IFERROR(INDEX(Movimientos!$E$2:$E$1995,MATCH(A48&amp;"ENTRADA",Movimientos!$S$2:$S$1995,0)),"-"))</f>
        <v/>
      </c>
      <c r="D48" s="3" t="str">
        <f>IF(A48="","",IFERROR(INDEX(Movimientos!$F$2:$F$1995,MATCH(A48&amp;"ENTRADA",Movimientos!$S$2:$S$1995,0)),"-"))</f>
        <v/>
      </c>
      <c r="E48" s="3" t="str">
        <f>IF(A48="","",IFERROR(INDEX(Movimientos!$L$2:$L$1995,MATCH(A48&amp;"ENTRADA",Movimientos!$S$2:$S$1995,0)),"-"))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IF(A49="","",IFERROR(INDEX(Movimientos!$D$2:$D$1995,MATCH(A49&amp;"ENTRADA",Movimientos!$S$2:$S$1995,0)),"-"))</f>
        <v/>
      </c>
      <c r="C49" s="3" t="str">
        <f>IF(A49="","",IFERROR(INDEX(Movimientos!$E$2:$E$1995,MATCH(A49&amp;"ENTRADA",Movimientos!$S$2:$S$1995,0)),"-"))</f>
        <v/>
      </c>
      <c r="D49" s="3" t="str">
        <f>IF(A49="","",IFERROR(INDEX(Movimientos!$F$2:$F$1995,MATCH(A49&amp;"ENTRADA",Movimientos!$S$2:$S$1995,0)),"-"))</f>
        <v/>
      </c>
      <c r="E49" s="3" t="str">
        <f>IF(A49="","",IFERROR(INDEX(Movimientos!$L$2:$L$1995,MATCH(A49&amp;"ENTRADA",Movimientos!$S$2:$S$1995,0)),"-"))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IF(A50="","",IFERROR(INDEX(Movimientos!$D$2:$D$1995,MATCH(A50&amp;"ENTRADA",Movimientos!$S$2:$S$1995,0)),"-"))</f>
        <v/>
      </c>
      <c r="C50" s="3" t="str">
        <f>IF(A50="","",IFERROR(INDEX(Movimientos!$E$2:$E$1995,MATCH(A50&amp;"ENTRADA",Movimientos!$S$2:$S$1995,0)),"-"))</f>
        <v/>
      </c>
      <c r="D50" s="3" t="str">
        <f>IF(A50="","",IFERROR(INDEX(Movimientos!$F$2:$F$1995,MATCH(A50&amp;"ENTRADA",Movimientos!$S$2:$S$1995,0)),"-"))</f>
        <v/>
      </c>
      <c r="E50" s="3" t="str">
        <f>IF(A50="","",IFERROR(INDEX(Movimientos!$L$2:$L$1995,MATCH(A50&amp;"ENTRADA",Movimientos!$S$2:$S$1995,0)),"-"))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IF(A51="","",IFERROR(INDEX(Movimientos!$D$2:$D$1995,MATCH(A51&amp;"ENTRADA",Movimientos!$S$2:$S$1995,0)),"-"))</f>
        <v/>
      </c>
      <c r="C51" s="3" t="str">
        <f>IF(A51="","",IFERROR(INDEX(Movimientos!$E$2:$E$1995,MATCH(A51&amp;"ENTRADA",Movimientos!$S$2:$S$1995,0)),"-"))</f>
        <v/>
      </c>
      <c r="D51" s="3" t="str">
        <f>IF(A51="","",IFERROR(INDEX(Movimientos!$F$2:$F$1995,MATCH(A51&amp;"ENTRADA",Movimientos!$S$2:$S$1995,0)),"-"))</f>
        <v/>
      </c>
      <c r="E51" s="3" t="str">
        <f>IF(A51="","",IFERROR(INDEX(Movimientos!$L$2:$L$1995,MATCH(A51&amp;"ENTRADA",Movimientos!$S$2:$S$1995,0)),"-"))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3" priority="1">
      <formula>$I9="ENTRADA"</formula>
    </cfRule>
    <cfRule type="expression" dxfId="2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6"/>
  <sheetViews>
    <sheetView showGridLines="0" topLeftCell="A32" workbookViewId="0">
      <selection activeCell="A48" sqref="A48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2230</v>
      </c>
      <c r="B1" s="23" t="s">
        <v>3192</v>
      </c>
      <c r="C1" s="23" t="s">
        <v>4</v>
      </c>
      <c r="D1" s="23" t="s">
        <v>5</v>
      </c>
      <c r="E1" s="23" t="s">
        <v>6</v>
      </c>
      <c r="F1" s="23" t="s">
        <v>3193</v>
      </c>
      <c r="G1" s="23" t="s">
        <v>11</v>
      </c>
      <c r="H1" s="23" t="s">
        <v>3194</v>
      </c>
    </row>
    <row r="2" spans="1:8">
      <c r="A2" t="s">
        <v>22</v>
      </c>
      <c r="B2" t="s">
        <v>23</v>
      </c>
      <c r="C2" s="24" t="s">
        <v>3195</v>
      </c>
      <c r="D2" s="24" t="s">
        <v>3196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3197</v>
      </c>
      <c r="D3" s="24" t="s">
        <v>3198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3199</v>
      </c>
      <c r="E4" s="24" t="s">
        <v>76</v>
      </c>
      <c r="G4" s="24" t="s">
        <v>3200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3201</v>
      </c>
      <c r="E5" s="10" t="s">
        <v>26</v>
      </c>
      <c r="G5" s="24" t="s">
        <v>3202</v>
      </c>
      <c r="H5" s="10" t="s">
        <v>380</v>
      </c>
    </row>
    <row r="6" spans="1:8">
      <c r="A6" t="s">
        <v>49</v>
      </c>
      <c r="B6" t="s">
        <v>278</v>
      </c>
      <c r="C6" s="24" t="s">
        <v>491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3203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3204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3205</v>
      </c>
      <c r="E9" s="24" t="s">
        <v>156</v>
      </c>
      <c r="G9" s="10" t="s">
        <v>3206</v>
      </c>
      <c r="H9" t="s">
        <v>309</v>
      </c>
    </row>
    <row r="10" spans="1:8">
      <c r="A10" t="s">
        <v>69</v>
      </c>
      <c r="B10" t="s">
        <v>70</v>
      </c>
      <c r="C10" s="24"/>
      <c r="D10" s="24" t="s">
        <v>3207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3208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</row>
    <row r="13" spans="1:8">
      <c r="A13" t="s">
        <v>89</v>
      </c>
      <c r="B13" t="s">
        <v>90</v>
      </c>
      <c r="C13" s="24"/>
      <c r="D13" s="24" t="s">
        <v>3209</v>
      </c>
      <c r="E13" t="s">
        <v>3210</v>
      </c>
    </row>
    <row r="14" spans="1:8">
      <c r="A14" t="s">
        <v>111</v>
      </c>
      <c r="B14" t="s">
        <v>112</v>
      </c>
      <c r="C14" s="24"/>
      <c r="D14" s="24" t="s">
        <v>3211</v>
      </c>
      <c r="E14" t="s">
        <v>3212</v>
      </c>
    </row>
    <row r="15" spans="1:8">
      <c r="A15" t="s">
        <v>107</v>
      </c>
      <c r="B15" t="s">
        <v>108</v>
      </c>
      <c r="C15" s="24"/>
      <c r="D15" s="24" t="s">
        <v>3213</v>
      </c>
      <c r="E15" t="s">
        <v>257</v>
      </c>
    </row>
    <row r="16" spans="1:8">
      <c r="A16" t="s">
        <v>114</v>
      </c>
      <c r="B16" t="s">
        <v>115</v>
      </c>
      <c r="D16" s="24" t="s">
        <v>3214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3215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  <c r="D28" t="s">
        <v>3216</v>
      </c>
    </row>
    <row r="29" spans="1:4">
      <c r="A29" t="s">
        <v>184</v>
      </c>
      <c r="B29" t="s">
        <v>185</v>
      </c>
      <c r="D29" t="s">
        <v>3217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  <row r="44" spans="1:2">
      <c r="A44" t="s">
        <v>423</v>
      </c>
      <c r="B44" t="s">
        <v>424</v>
      </c>
    </row>
    <row r="45" spans="1:2">
      <c r="A45" t="s">
        <v>426</v>
      </c>
      <c r="B45" t="s">
        <v>427</v>
      </c>
    </row>
    <row r="46" spans="1:2">
      <c r="A46" s="49" t="s">
        <v>489</v>
      </c>
      <c r="B46" t="s">
        <v>490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3218</v>
      </c>
    </row>
    <row r="2" spans="1:2">
      <c r="B2" t="s">
        <v>3219</v>
      </c>
    </row>
    <row r="3" spans="1:2" ht="18" customHeight="1">
      <c r="A3" s="11" t="s">
        <v>3220</v>
      </c>
      <c r="B3" s="12"/>
    </row>
    <row r="4" spans="1:2" ht="30" customHeight="1">
      <c r="A4" s="25" t="s">
        <v>3221</v>
      </c>
      <c r="B4" s="26" t="s">
        <v>3222</v>
      </c>
    </row>
    <row r="5" spans="1:2" ht="30" customHeight="1">
      <c r="A5" s="25" t="s">
        <v>3223</v>
      </c>
      <c r="B5" s="26" t="s">
        <v>3224</v>
      </c>
    </row>
    <row r="6" spans="1:2" ht="30" customHeight="1">
      <c r="A6" s="25" t="s">
        <v>3225</v>
      </c>
      <c r="B6" s="26" t="s">
        <v>3226</v>
      </c>
    </row>
    <row r="7" spans="1:2" ht="18" customHeight="1">
      <c r="A7" s="27"/>
      <c r="B7" s="27"/>
    </row>
    <row r="8" spans="1:2" ht="18" customHeight="1">
      <c r="A8" s="11" t="s">
        <v>3227</v>
      </c>
      <c r="B8" s="12"/>
    </row>
    <row r="9" spans="1:2" ht="30" customHeight="1">
      <c r="A9" s="25" t="s">
        <v>3228</v>
      </c>
      <c r="B9" s="26" t="s">
        <v>3229</v>
      </c>
    </row>
    <row r="10" spans="1:2" ht="30" customHeight="1">
      <c r="A10" s="25" t="s">
        <v>3230</v>
      </c>
      <c r="B10" s="26" t="s">
        <v>3231</v>
      </c>
    </row>
    <row r="11" spans="1:2" ht="30" customHeight="1">
      <c r="A11" s="25" t="s">
        <v>3232</v>
      </c>
      <c r="B11" s="26" t="s">
        <v>3233</v>
      </c>
    </row>
    <row r="12" spans="1:2" ht="30" customHeight="1">
      <c r="A12" s="25" t="s">
        <v>3234</v>
      </c>
      <c r="B12" s="26" t="s">
        <v>3235</v>
      </c>
    </row>
    <row r="13" spans="1:2" ht="30" customHeight="1">
      <c r="A13" s="25" t="s">
        <v>3236</v>
      </c>
      <c r="B13" s="26" t="s">
        <v>3237</v>
      </c>
    </row>
    <row r="14" spans="1:2" ht="18" customHeight="1">
      <c r="A14" s="27"/>
      <c r="B14" s="27"/>
    </row>
    <row r="15" spans="1:2" ht="18" customHeight="1">
      <c r="A15" s="11" t="s">
        <v>3238</v>
      </c>
      <c r="B15" s="12"/>
    </row>
    <row r="16" spans="1:2" ht="30" customHeight="1">
      <c r="A16" s="25" t="s">
        <v>3239</v>
      </c>
      <c r="B16" s="26" t="s">
        <v>3240</v>
      </c>
    </row>
    <row r="17" spans="1:2" ht="18" customHeight="1">
      <c r="A17" s="27"/>
      <c r="B17" s="27"/>
    </row>
    <row r="18" spans="1:2" ht="18" customHeight="1">
      <c r="A18" s="11" t="s">
        <v>3241</v>
      </c>
      <c r="B18" s="12"/>
    </row>
    <row r="19" spans="1:2" ht="30" customHeight="1">
      <c r="A19" s="25" t="s">
        <v>3242</v>
      </c>
      <c r="B19" s="26" t="s">
        <v>3243</v>
      </c>
    </row>
    <row r="20" spans="1:2" ht="30" customHeight="1">
      <c r="A20" s="25" t="s">
        <v>3244</v>
      </c>
      <c r="B20" s="26" t="s">
        <v>3245</v>
      </c>
    </row>
    <row r="21" spans="1:2" ht="30" customHeight="1">
      <c r="A21" s="25" t="s">
        <v>3246</v>
      </c>
      <c r="B21" s="26" t="s">
        <v>3247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F06CDD4-6CD8-41B6-81B7-B8F8F77245D9}"/>
</file>

<file path=customXml/itemProps2.xml><?xml version="1.0" encoding="utf-8"?>
<ds:datastoreItem xmlns:ds="http://schemas.openxmlformats.org/officeDocument/2006/customXml" ds:itemID="{7294339B-35B7-4743-B34B-97DDAED0EEF0}"/>
</file>

<file path=customXml/itemProps3.xml><?xml version="1.0" encoding="utf-8"?>
<ds:datastoreItem xmlns:ds="http://schemas.openxmlformats.org/officeDocument/2006/customXml" ds:itemID="{9F7B3009-C52E-4D66-81EE-EDC55AE40F61}"/>
</file>

<file path=customXml/itemProps4.xml><?xml version="1.0" encoding="utf-8"?>
<ds:datastoreItem xmlns:ds="http://schemas.openxmlformats.org/officeDocument/2006/customXml" ds:itemID="{2729620E-34FA-47C5-A97A-8372DD9A4C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2026-06-11T11:50:01Z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