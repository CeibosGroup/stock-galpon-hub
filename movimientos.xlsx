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FA697456-E454-4C6A-B362-08F7BD521E5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1" l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S15" i="1"/>
  <c r="T15" i="1"/>
  <c r="H15" i="1" s="1"/>
  <c r="R15" i="1" s="1"/>
  <c r="S16" i="1"/>
  <c r="T16" i="1"/>
  <c r="H16" i="1" s="1"/>
  <c r="R16" i="1" s="1"/>
  <c r="S17" i="1"/>
  <c r="T17" i="1"/>
  <c r="H17" i="1" s="1"/>
  <c r="R17" i="1" s="1"/>
  <c r="S18" i="1"/>
  <c r="T18" i="1"/>
  <c r="H18" i="1" s="1"/>
  <c r="R18" i="1" s="1"/>
  <c r="S19" i="1"/>
  <c r="T19" i="1"/>
  <c r="H19" i="1" s="1"/>
  <c r="R19" i="1" s="1"/>
  <c r="S20" i="1"/>
  <c r="T20" i="1"/>
  <c r="H20" i="1" s="1"/>
  <c r="R20" i="1" s="1"/>
  <c r="S21" i="1"/>
  <c r="T21" i="1"/>
  <c r="H21" i="1" s="1"/>
  <c r="R21" i="1" s="1"/>
  <c r="S22" i="1"/>
  <c r="T22" i="1"/>
  <c r="H22" i="1" s="1"/>
  <c r="R22" i="1" s="1"/>
  <c r="S23" i="1"/>
  <c r="T23" i="1"/>
  <c r="H23" i="1" s="1"/>
  <c r="R23" i="1" s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H24" i="1"/>
  <c r="R24" i="1" s="1"/>
  <c r="H25" i="1"/>
  <c r="R25" i="1" s="1"/>
  <c r="H26" i="1"/>
  <c r="R26" i="1" s="1"/>
  <c r="H27" i="1"/>
  <c r="R27" i="1" s="1"/>
  <c r="H28" i="1"/>
  <c r="R28" i="1" s="1"/>
  <c r="H29" i="1"/>
  <c r="R29" i="1" s="1"/>
  <c r="H30" i="1"/>
  <c r="R30" i="1" s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K9" i="1"/>
  <c r="J7" i="2" s="1"/>
  <c r="K7" i="1"/>
  <c r="K6" i="1"/>
  <c r="K5" i="1"/>
  <c r="J8" i="2" l="1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1" i="3" l="1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<sst xmlns="http://schemas.openxmlformats.org/spreadsheetml/2006/main" count="3244" uniqueCount="3128">
  <si>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</si>
  <si>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</si>
  <si>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</si>
  <si>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</si>
  <si>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</si>
  <si>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</si>
  <si>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</si>
  <si>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</si>
  <si>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</si>
  <si>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</si>
  <si>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</si>
  <si>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</si>
  <si>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</si>
  <si>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</si>
  <si>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</si>
  <si>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</si>
  <si>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</si>
  <si>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</si>
  <si>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</si>
  <si>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</si>
  <si>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</si>
  <si>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</si>
  <si>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</si>
  <si>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</si>
  <si>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</si>
  <si>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</si>
  <si>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</si>
  <si>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</si>
  <si>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</si>
  <si>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</si>
  <si>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</si>
  <si>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</si>
  <si>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</si>
  <si>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</si>
  <si>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</si>
  <si>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</si>
  <si>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</si>
  <si>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</si>
  <si>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</si>
  <si>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</si>
  <si>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</si>
  <si>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Ubicación</t>
  </si>
  <si>
    <t>MOV-001</t>
  </si>
  <si>
    <t>Semilla colza</t>
  </si>
  <si>
    <t>CURRY CL</t>
  </si>
  <si>
    <t>Semilla</t>
  </si>
  <si>
    <t>ERRO</t>
  </si>
  <si>
    <t>ENTRADA</t>
  </si>
  <si>
    <t>kg</t>
  </si>
  <si>
    <t>P1/B3/N1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</si>
  <si>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</si>
  <si>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</si>
  <si>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</si>
  <si>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</si>
  <si>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</si>
  <si>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</si>
  <si>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</si>
  <si>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</si>
  <si>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P1/B1/N1</t>
  </si>
  <si>
    <t>MOV-003</t>
  </si>
  <si>
    <t>Lontrel</t>
  </si>
  <si>
    <t>Clopyralid sal monoetanolamina 40.9%</t>
  </si>
  <si>
    <t>MOV-004</t>
  </si>
  <si>
    <t>Preside</t>
  </si>
  <si>
    <t>Flumetsulam 11,35%</t>
  </si>
  <si>
    <t>Preemergente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</si>
  <si>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</si>
  <si>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</si>
  <si>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</si>
  <si>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</si>
  <si>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</si>
  <si>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</si>
  <si>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</si>
  <si>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</si>
  <si>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MOV-008</t>
  </si>
  <si>
    <t>Venceweed extra</t>
  </si>
  <si>
    <t>2,4-Db-Butilo 93.1%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</si>
  <si>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</si>
  <si>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</si>
  <si>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</si>
  <si>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</si>
  <si>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</si>
  <si>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</si>
  <si>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</si>
  <si>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</si>
  <si>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</si>
  <si>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</si>
  <si>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</si>
  <si>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</si>
  <si>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</si>
  <si>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</si>
  <si>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</si>
  <si>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</si>
  <si>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R2/B1-4/N1-2</t>
  </si>
  <si>
    <t>MOV-013</t>
  </si>
  <si>
    <t>MOV-014</t>
  </si>
  <si>
    <t>MOV-015</t>
  </si>
  <si>
    <t>MOV-016</t>
  </si>
  <si>
    <t>MOV-017</t>
  </si>
  <si>
    <t>MOV-018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</si>
  <si>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</si>
  <si>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</si>
  <si>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</si>
  <si>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</si>
  <si>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</si>
  <si>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</si>
  <si>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</si>
  <si>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</si>
  <si>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</si>
  <si>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</si>
  <si>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</si>
  <si>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</si>
  <si>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</si>
  <si>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</si>
  <si>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</si>
  <si>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</si>
  <si>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</si>
  <si>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</si>
  <si>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</si>
  <si>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</si>
  <si>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</si>
  <si>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</si>
  <si>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</si>
  <si>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</si>
  <si>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</si>
  <si>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</si>
  <si>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</si>
  <si>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</si>
  <si>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</si>
  <si>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</si>
  <si>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</si>
  <si>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</si>
  <si>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</si>
  <si>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</si>
  <si>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</si>
  <si>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</si>
  <si>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</si>
  <si>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</si>
  <si>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</si>
  <si>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</si>
  <si>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</si>
  <si>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</si>
  <si>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</si>
  <si>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</si>
  <si>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</si>
  <si>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</si>
  <si>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</si>
  <si>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</si>
  <si>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</si>
  <si>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</si>
  <si>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</si>
  <si>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</si>
  <si>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</si>
  <si>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</si>
  <si>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</si>
  <si>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</si>
  <si>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</si>
  <si>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</si>
  <si>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</si>
  <si>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</si>
  <si>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</si>
  <si>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</si>
  <si>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</si>
  <si>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</si>
  <si>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</si>
  <si>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</si>
  <si>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</si>
  <si>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</si>
  <si>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</si>
  <si>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</si>
  <si>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</si>
  <si>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</si>
  <si>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</si>
  <si>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</si>
  <si>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</si>
  <si>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</si>
  <si>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</si>
  <si>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</si>
  <si>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</si>
  <si>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</si>
  <si>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</si>
  <si>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</si>
  <si>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</si>
  <si>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</si>
  <si>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</si>
  <si>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</si>
  <si>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</si>
  <si>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</si>
  <si>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</si>
  <si>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</si>
  <si>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</si>
  <si>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</si>
  <si>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</si>
  <si>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</si>
  <si>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</si>
  <si>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</si>
  <si>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</si>
  <si>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</si>
  <si>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</si>
  <si>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</si>
  <si>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</si>
  <si>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</si>
  <si>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</si>
  <si>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</si>
  <si>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</si>
  <si>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</si>
  <si>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</si>
  <si>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</si>
  <si>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</si>
  <si>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</si>
  <si>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</si>
  <si>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</si>
  <si>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</si>
  <si>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</si>
  <si>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</si>
  <si>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</si>
  <si>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</si>
  <si>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</si>
  <si>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</si>
  <si>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</si>
  <si>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</si>
  <si>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</si>
  <si>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</si>
  <si>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</si>
  <si>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</si>
  <si>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</si>
  <si>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</si>
  <si>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</si>
  <si>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</si>
  <si>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</si>
  <si>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</si>
  <si>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</si>
  <si>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</si>
  <si>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</si>
  <si>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</si>
  <si>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</si>
  <si>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</si>
  <si>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</si>
  <si>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</si>
  <si>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</si>
  <si>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</si>
  <si>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</si>
  <si>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</si>
  <si>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</si>
  <si>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</si>
  <si>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</si>
  <si>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</si>
  <si>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</si>
  <si>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</si>
  <si>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</si>
  <si>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</si>
  <si>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</si>
  <si>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</si>
  <si>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</si>
  <si>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</si>
  <si>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</si>
  <si>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</si>
  <si>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</si>
  <si>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</si>
  <si>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</si>
  <si>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</si>
  <si>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</si>
  <si>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</si>
  <si>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</si>
  <si>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</si>
  <si>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</si>
  <si>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</si>
  <si>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</si>
  <si>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</si>
  <si>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</si>
  <si>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</si>
  <si>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</si>
  <si>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</si>
  <si>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</si>
  <si>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</si>
  <si>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</si>
  <si>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</si>
  <si>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</si>
  <si>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</si>
  <si>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</si>
  <si>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</si>
  <si>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</si>
  <si>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</si>
  <si>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</si>
  <si>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</si>
  <si>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</si>
  <si>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</si>
  <si>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</si>
  <si>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</si>
  <si>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</si>
  <si>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</si>
  <si>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</si>
  <si>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</si>
  <si>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</si>
  <si>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</si>
  <si>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</si>
  <si>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</si>
  <si>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</si>
  <si>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</si>
  <si>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</si>
  <si>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</si>
  <si>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</si>
  <si>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</si>
  <si>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</si>
  <si>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</si>
  <si>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</si>
  <si>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</si>
  <si>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</si>
  <si>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</si>
  <si>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</si>
  <si>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</si>
  <si>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</si>
  <si>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</si>
  <si>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</si>
  <si>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</si>
  <si>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</si>
  <si>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</si>
  <si>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</si>
  <si>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</si>
  <si>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</si>
  <si>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</si>
  <si>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</si>
  <si>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</si>
  <si>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</si>
  <si>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</si>
  <si>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</si>
  <si>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</si>
  <si>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</si>
  <si>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</si>
  <si>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</si>
  <si>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</si>
  <si>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</si>
  <si>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</si>
  <si>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</si>
  <si>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</si>
  <si>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</si>
  <si>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</si>
  <si>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</si>
  <si>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</si>
  <si>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</si>
  <si>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</si>
  <si>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</si>
  <si>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</si>
  <si>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</si>
  <si>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</si>
  <si>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</si>
  <si>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</si>
  <si>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</si>
  <si>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</si>
  <si>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</si>
  <si>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</si>
  <si>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</si>
  <si>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</si>
  <si>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</si>
  <si>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</si>
  <si>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</si>
  <si>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</si>
  <si>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</si>
  <si>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</si>
  <si>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</si>
  <si>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</si>
  <si>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</si>
  <si>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</si>
  <si>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</si>
  <si>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</si>
  <si>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</si>
  <si>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</si>
  <si>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</si>
  <si>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</si>
  <si>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</si>
  <si>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</si>
  <si>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</si>
  <si>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</si>
  <si>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</si>
  <si>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</si>
  <si>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</si>
  <si>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</si>
  <si>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</si>
  <si>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</si>
  <si>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</si>
  <si>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</si>
  <si>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</si>
  <si>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</si>
  <si>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</si>
  <si>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</si>
  <si>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</si>
  <si>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</si>
  <si>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</si>
  <si>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</si>
  <si>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</si>
  <si>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</si>
  <si>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</si>
  <si>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</si>
  <si>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</si>
  <si>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</si>
  <si>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</si>
  <si>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</si>
  <si>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</si>
  <si>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</si>
  <si>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</si>
  <si>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</si>
  <si>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</si>
  <si>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</si>
  <si>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</si>
  <si>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</si>
  <si>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</si>
  <si>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</si>
  <si>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</si>
  <si>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</si>
  <si>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</si>
  <si>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</si>
  <si>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</si>
  <si>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</si>
  <si>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</si>
  <si>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</si>
  <si>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</si>
  <si>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</si>
  <si>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</si>
  <si>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</si>
  <si>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</si>
  <si>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</si>
  <si>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</si>
  <si>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</si>
  <si>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</si>
  <si>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</si>
  <si>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</si>
  <si>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</si>
  <si>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</si>
  <si>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</si>
  <si>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</si>
  <si>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</si>
  <si>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</si>
  <si>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</si>
  <si>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</si>
  <si>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</si>
  <si>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</si>
  <si>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</si>
  <si>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</si>
  <si>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</si>
  <si>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</si>
  <si>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</si>
  <si>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</si>
  <si>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</si>
  <si>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</si>
  <si>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</si>
  <si>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</si>
  <si>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</si>
  <si>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</si>
  <si>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</si>
  <si>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</si>
  <si>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</si>
  <si>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</si>
  <si>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</si>
  <si>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</si>
  <si>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</si>
  <si>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</si>
  <si>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</si>
  <si>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</si>
  <si>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</si>
  <si>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</si>
  <si>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</si>
  <si>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</si>
  <si>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</si>
  <si>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</si>
  <si>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</si>
  <si>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</si>
  <si>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</si>
  <si>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</si>
  <si>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</si>
  <si>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</si>
  <si>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</si>
  <si>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</si>
  <si>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</si>
  <si>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</si>
  <si>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</si>
  <si>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</si>
  <si>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</si>
  <si>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</si>
  <si>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</si>
  <si>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</si>
  <si>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</si>
  <si>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</si>
  <si>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</si>
  <si>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</si>
  <si>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</si>
  <si>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</si>
  <si>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</si>
  <si>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</si>
  <si>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</si>
  <si>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</si>
  <si>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</si>
  <si>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</si>
  <si>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</si>
  <si>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</si>
  <si>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</si>
  <si>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</si>
  <si>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</si>
  <si>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</si>
  <si>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</si>
  <si>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</si>
  <si>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</si>
  <si>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</si>
  <si>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</si>
  <si>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</si>
  <si>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</si>
  <si>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</si>
  <si>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</si>
  <si>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</si>
  <si>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</si>
  <si>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</si>
  <si>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</si>
  <si>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</si>
  <si>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</si>
  <si>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</si>
  <si>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</si>
  <si>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</si>
  <si>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</si>
  <si>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</si>
  <si>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</si>
  <si>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</si>
  <si>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</si>
  <si>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</si>
  <si>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</si>
  <si>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</si>
  <si>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</si>
  <si>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</si>
  <si>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</si>
  <si>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</si>
  <si>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</si>
  <si>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</si>
  <si>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</si>
  <si>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</si>
  <si>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</si>
  <si>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</si>
  <si>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</si>
  <si>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</si>
  <si>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</si>
  <si>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</si>
  <si>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</si>
  <si>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</si>
  <si>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</si>
  <si>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</si>
  <si>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</si>
  <si>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</si>
  <si>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</si>
  <si>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</si>
  <si>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</si>
  <si>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</si>
  <si>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</si>
  <si>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</si>
  <si>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</si>
  <si>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</si>
  <si>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</si>
  <si>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</si>
  <si>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</si>
  <si>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</si>
  <si>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</si>
  <si>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</si>
  <si>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</si>
  <si>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</si>
  <si>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</si>
  <si>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</si>
  <si>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</si>
  <si>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</si>
  <si>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</si>
  <si>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</si>
  <si>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</si>
  <si>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</si>
  <si>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</si>
  <si>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</si>
  <si>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</si>
  <si>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</si>
  <si>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</si>
  <si>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</si>
  <si>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</si>
  <si>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</si>
  <si>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</si>
  <si>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</si>
  <si>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</si>
  <si>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</si>
  <si>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</si>
  <si>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</si>
  <si>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</si>
  <si>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</si>
  <si>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</si>
  <si>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</si>
  <si>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</si>
  <si>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</si>
  <si>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</si>
  <si>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</si>
  <si>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</si>
  <si>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</si>
  <si>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</si>
  <si>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</si>
  <si>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</si>
  <si>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</si>
  <si>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</si>
  <si>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</si>
  <si>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</si>
  <si>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</si>
  <si>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</si>
  <si>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</si>
  <si>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</si>
  <si>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</si>
  <si>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</si>
  <si>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</si>
  <si>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</si>
  <si>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</si>
  <si>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</si>
  <si>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</si>
  <si>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</si>
  <si>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</si>
  <si>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</si>
  <si>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</si>
  <si>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</si>
  <si>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</si>
  <si>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</si>
  <si>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</si>
  <si>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</si>
  <si>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</si>
  <si>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</si>
  <si>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</si>
  <si>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</si>
  <si>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</si>
  <si>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</si>
  <si>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</si>
  <si>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</si>
  <si>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</si>
  <si>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</si>
  <si>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</si>
  <si>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</si>
  <si>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</si>
  <si>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</si>
  <si>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</si>
  <si>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</si>
  <si>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</si>
  <si>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</si>
  <si>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</si>
  <si>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</si>
  <si>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</si>
  <si>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</si>
  <si>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</si>
  <si>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</si>
  <si>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</si>
  <si>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</si>
  <si>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</si>
  <si>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</si>
  <si>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</si>
  <si>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</si>
  <si>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</si>
  <si>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</si>
  <si>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</si>
  <si>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</si>
  <si>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</si>
  <si>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</si>
  <si>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</si>
  <si>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</si>
  <si>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</si>
  <si>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</si>
  <si>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</si>
  <si>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</si>
  <si>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</si>
  <si>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</si>
  <si>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</si>
  <si>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</si>
  <si>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</si>
  <si>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</si>
  <si>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</si>
  <si>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</si>
  <si>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</si>
  <si>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</si>
  <si>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</si>
  <si>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</si>
  <si>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</si>
  <si>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</si>
  <si>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</si>
  <si>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</si>
  <si>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</si>
  <si>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</si>
  <si>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</si>
  <si>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</si>
  <si>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</si>
  <si>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</si>
  <si>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</si>
  <si>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</si>
  <si>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</si>
  <si>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</si>
  <si>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</si>
  <si>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</si>
  <si>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</si>
  <si>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</si>
  <si>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</si>
  <si>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</si>
  <si>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</si>
  <si>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</si>
  <si>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</si>
  <si>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</si>
  <si>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</si>
  <si>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</si>
  <si>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</si>
  <si>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</si>
  <si>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</si>
  <si>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</si>
  <si>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</si>
  <si>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</si>
  <si>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</si>
  <si>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</si>
  <si>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</si>
  <si>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</si>
  <si>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</si>
  <si>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</si>
  <si>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</si>
  <si>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</si>
  <si>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</si>
  <si>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</si>
  <si>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</si>
  <si>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</si>
  <si>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</si>
  <si>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</si>
  <si>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</si>
  <si>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</si>
  <si>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</si>
  <si>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</si>
  <si>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</si>
  <si>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</si>
  <si>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</si>
  <si>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</si>
  <si>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</si>
  <si>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</si>
  <si>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</si>
  <si>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</si>
  <si>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</si>
  <si>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</si>
  <si>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</si>
  <si>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</si>
  <si>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</si>
  <si>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</si>
  <si>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</si>
  <si>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</si>
  <si>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</si>
  <si>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</si>
  <si>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</si>
  <si>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</si>
  <si>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</si>
  <si>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</si>
  <si>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</si>
  <si>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</si>
  <si>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</si>
  <si>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</si>
  <si>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</si>
  <si>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</si>
  <si>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</si>
  <si>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</si>
  <si>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</si>
  <si>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</si>
  <si>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</si>
  <si>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</si>
  <si>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</si>
  <si>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</si>
  <si>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</si>
  <si>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</si>
  <si>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</si>
  <si>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</si>
  <si>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</si>
  <si>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</si>
  <si>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</si>
  <si>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</si>
  <si>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</si>
  <si>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</si>
  <si>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</si>
  <si>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</si>
  <si>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</si>
  <si>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</si>
  <si>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</si>
  <si>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</si>
  <si>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</si>
  <si>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</si>
  <si>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</si>
  <si>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</si>
  <si>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</si>
  <si>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</si>
  <si>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</si>
  <si>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</si>
  <si>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</si>
  <si>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</si>
  <si>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</si>
  <si>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</si>
  <si>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</si>
  <si>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</si>
  <si>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</si>
  <si>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</si>
  <si>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</si>
  <si>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</si>
  <si>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</si>
  <si>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</si>
  <si>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</si>
  <si>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</si>
  <si>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</si>
  <si>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</si>
  <si>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</si>
  <si>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</si>
  <si>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</si>
  <si>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</si>
  <si>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</si>
  <si>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</si>
  <si>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</si>
  <si>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</si>
  <si>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</si>
  <si>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</si>
  <si>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</si>
  <si>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</si>
  <si>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</si>
  <si>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</si>
  <si>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</si>
  <si>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</si>
  <si>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</si>
  <si>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</si>
  <si>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</si>
  <si>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</si>
  <si>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</si>
  <si>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</si>
  <si>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</si>
  <si>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</si>
  <si>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</si>
  <si>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</si>
  <si>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</si>
  <si>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</si>
  <si>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</si>
  <si>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</si>
  <si>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</si>
  <si>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</si>
  <si>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</si>
  <si>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</si>
  <si>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</si>
  <si>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</si>
  <si>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</si>
  <si>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</si>
  <si>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</si>
  <si>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</si>
  <si>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</si>
  <si>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</si>
  <si>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</si>
  <si>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</si>
  <si>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</si>
  <si>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</si>
  <si>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</si>
  <si>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</si>
  <si>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</si>
  <si>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</si>
  <si>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</si>
  <si>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</si>
  <si>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</si>
  <si>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</si>
  <si>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</si>
  <si>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</si>
  <si>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</si>
  <si>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</si>
  <si>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</si>
  <si>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</si>
  <si>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</si>
  <si>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</si>
  <si>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</si>
  <si>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</si>
  <si>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</si>
  <si>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</si>
  <si>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</si>
  <si>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</si>
  <si>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</si>
  <si>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</si>
  <si>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</si>
  <si>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</si>
  <si>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</si>
  <si>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</si>
  <si>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</si>
  <si>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</si>
  <si>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</si>
  <si>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</si>
  <si>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</si>
  <si>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</si>
  <si>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</si>
  <si>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</si>
  <si>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</si>
  <si>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</si>
  <si>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</si>
  <si>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</si>
  <si>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</si>
  <si>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</si>
  <si>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</si>
  <si>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</si>
  <si>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</si>
  <si>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</si>
  <si>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</si>
  <si>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</si>
  <si>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</si>
  <si>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</si>
  <si>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</si>
  <si>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</si>
  <si>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</si>
  <si>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</si>
  <si>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</si>
  <si>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</si>
  <si>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</si>
  <si>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</si>
  <si>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</si>
  <si>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</si>
  <si>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</si>
  <si>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</si>
  <si>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</si>
  <si>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</si>
  <si>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</si>
  <si>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</si>
  <si>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</si>
  <si>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</si>
  <si>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</si>
  <si>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</si>
  <si>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</si>
  <si>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</si>
  <si>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</si>
  <si>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</si>
  <si>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</si>
  <si>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</si>
  <si>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</si>
  <si>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</si>
  <si>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</si>
  <si>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</si>
  <si>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</si>
  <si>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</si>
  <si>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</si>
  <si>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</si>
  <si>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</si>
  <si>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</si>
  <si>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</si>
  <si>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</si>
  <si>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</si>
  <si>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</si>
  <si>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</si>
  <si>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</si>
  <si>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</si>
  <si>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</si>
  <si>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</si>
  <si>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</si>
  <si>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</si>
  <si>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</si>
  <si>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</si>
  <si>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</si>
  <si>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</si>
  <si>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</si>
  <si>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</si>
  <si>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</si>
  <si>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</si>
  <si>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</si>
  <si>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</si>
  <si>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</si>
  <si>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</si>
  <si>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</si>
  <si>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</si>
  <si>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</si>
  <si>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</si>
  <si>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</si>
  <si>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</si>
  <si>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</si>
  <si>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</si>
  <si>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</si>
  <si>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</si>
  <si>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</si>
  <si>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</si>
  <si>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</si>
  <si>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</si>
  <si>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</si>
  <si>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</si>
  <si>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</si>
  <si>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</si>
  <si>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</si>
  <si>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</si>
  <si>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</si>
  <si>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</si>
  <si>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</si>
  <si>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</si>
  <si>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</si>
  <si>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</si>
  <si>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</si>
  <si>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</si>
  <si>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</si>
  <si>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</si>
  <si>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</si>
  <si>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</si>
  <si>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</si>
  <si>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</si>
  <si>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</si>
  <si>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</si>
  <si>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</si>
  <si>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</si>
  <si>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</si>
  <si>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</si>
  <si>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</si>
  <si>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</si>
  <si>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</si>
  <si>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</si>
  <si>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</si>
  <si>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</si>
  <si>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</si>
  <si>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</si>
  <si>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</si>
  <si>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</si>
  <si>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</si>
  <si>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</si>
  <si>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</si>
  <si>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</si>
  <si>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</si>
  <si>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</si>
  <si>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</si>
  <si>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</si>
  <si>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</si>
  <si>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</si>
  <si>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</si>
  <si>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</si>
  <si>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</si>
  <si>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</si>
  <si>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</si>
  <si>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</si>
  <si>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</si>
  <si>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</si>
  <si>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</si>
  <si>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</si>
  <si>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</si>
  <si>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</si>
  <si>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</si>
  <si>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</si>
  <si>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</si>
  <si>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</si>
  <si>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</si>
  <si>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</si>
  <si>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</si>
  <si>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</si>
  <si>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</si>
  <si>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</si>
  <si>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</si>
  <si>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</si>
  <si>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</si>
  <si>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</si>
  <si>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</si>
  <si>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</si>
  <si>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</si>
  <si>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</si>
  <si>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</si>
  <si>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</si>
  <si>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</si>
  <si>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</si>
  <si>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</si>
  <si>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</si>
  <si>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</si>
  <si>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</si>
  <si>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</si>
  <si>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</si>
  <si>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</si>
  <si>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</si>
  <si>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</si>
  <si>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</si>
  <si>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</si>
  <si>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</si>
  <si>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</si>
  <si>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</si>
  <si>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</si>
  <si>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</si>
  <si>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</si>
  <si>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</si>
  <si>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</si>
  <si>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</si>
  <si>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</si>
  <si>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</si>
  <si>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</si>
  <si>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</si>
  <si>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</si>
  <si>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</si>
  <si>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</si>
  <si>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</si>
  <si>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</si>
  <si>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</si>
  <si>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</si>
  <si>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</si>
  <si>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</si>
  <si>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</si>
  <si>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</si>
  <si>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</si>
  <si>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</si>
  <si>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</si>
  <si>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</si>
  <si>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</si>
  <si>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</si>
  <si>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</si>
  <si>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</si>
  <si>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</si>
  <si>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</si>
  <si>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</si>
  <si>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</si>
  <si>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</si>
  <si>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</si>
  <si>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</si>
  <si>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</si>
  <si>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</si>
  <si>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</si>
  <si>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</si>
  <si>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</si>
  <si>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</si>
  <si>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</si>
  <si>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</si>
  <si>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</si>
  <si>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</si>
  <si>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</si>
  <si>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</si>
  <si>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</si>
  <si>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</si>
  <si>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</si>
  <si>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</si>
  <si>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</si>
  <si>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</si>
  <si>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</si>
  <si>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</si>
  <si>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</si>
  <si>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</si>
  <si>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</si>
  <si>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</si>
  <si>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</si>
  <si>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</si>
  <si>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</si>
  <si>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</si>
  <si>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</si>
  <si>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</si>
  <si>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</si>
  <si>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</si>
  <si>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</si>
  <si>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</si>
  <si>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</si>
  <si>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</si>
  <si>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</si>
  <si>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</si>
  <si>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</si>
  <si>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</si>
  <si>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</si>
  <si>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</si>
  <si>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</si>
  <si>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</si>
  <si>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</si>
  <si>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</si>
  <si>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</si>
  <si>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</si>
  <si>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</si>
  <si>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</si>
  <si>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</si>
  <si>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</si>
  <si>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</si>
  <si>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</si>
  <si>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</si>
  <si>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</si>
  <si>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</si>
  <si>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</si>
  <si>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</si>
  <si>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</si>
  <si>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</si>
  <si>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</si>
  <si>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</si>
  <si>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</si>
  <si>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</si>
  <si>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</si>
  <si>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</si>
  <si>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</si>
  <si>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</si>
  <si>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</si>
  <si>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</si>
  <si>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</si>
  <si>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</si>
  <si>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</si>
  <si>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</si>
  <si>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</si>
  <si>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</si>
  <si>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</si>
  <si>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</si>
  <si>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</si>
  <si>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</si>
  <si>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</si>
  <si>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</si>
  <si>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</si>
  <si>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</si>
  <si>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</si>
  <si>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</si>
  <si>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</si>
  <si>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</si>
  <si>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</si>
  <si>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</si>
  <si>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</si>
  <si>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</si>
  <si>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</si>
  <si>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</si>
  <si>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</si>
  <si>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</si>
  <si>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</si>
  <si>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</si>
  <si>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</si>
  <si>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</si>
  <si>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</si>
  <si>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</si>
  <si>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</si>
  <si>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</si>
  <si>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</si>
  <si>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</si>
  <si>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</si>
  <si>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</si>
  <si>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</si>
  <si>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</si>
  <si>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</si>
  <si>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</si>
  <si>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</si>
  <si>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</si>
  <si>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</si>
  <si>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</si>
  <si>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</si>
  <si>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</si>
  <si>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</si>
  <si>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</si>
  <si>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</si>
  <si>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</si>
  <si>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</si>
  <si>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</si>
  <si>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</si>
  <si>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</si>
  <si>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</si>
  <si>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</si>
  <si>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</si>
  <si>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</si>
  <si>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</si>
  <si>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</si>
  <si>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</si>
  <si>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</si>
  <si>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</si>
  <si>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</si>
  <si>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</si>
  <si>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</si>
  <si>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</si>
  <si>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</si>
  <si>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</si>
  <si>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</si>
  <si>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</si>
  <si>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</si>
  <si>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</si>
  <si>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</si>
  <si>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</si>
  <si>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</si>
  <si>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</si>
  <si>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</si>
  <si>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</si>
  <si>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</si>
  <si>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</si>
  <si>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</si>
  <si>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</si>
  <si>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</si>
  <si>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</si>
  <si>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</si>
  <si>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</si>
  <si>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</si>
  <si>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</si>
  <si>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</si>
  <si>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</si>
  <si>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</si>
  <si>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</si>
  <si>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</si>
  <si>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</si>
  <si>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</si>
  <si>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</si>
  <si>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</si>
  <si>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</si>
  <si>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</si>
  <si>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</si>
  <si>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</si>
  <si>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</si>
  <si>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</si>
  <si>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</si>
  <si>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</si>
  <si>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</si>
  <si>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</si>
  <si>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</si>
  <si>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</si>
  <si>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</si>
  <si>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</si>
  <si>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</si>
  <si>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</si>
  <si>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</si>
  <si>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</si>
  <si>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</si>
  <si>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</si>
  <si>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</si>
  <si>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</si>
  <si>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</si>
  <si>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</si>
  <si>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</si>
  <si>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</si>
  <si>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</si>
  <si>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</si>
  <si>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</si>
  <si>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</si>
  <si>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</si>
  <si>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</si>
  <si>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</si>
  <si>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</si>
  <si>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</si>
  <si>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</si>
  <si>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</si>
  <si>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</si>
  <si>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</si>
  <si>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</si>
  <si>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</si>
  <si>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</si>
  <si>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</si>
  <si>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</si>
  <si>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</si>
  <si>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</si>
  <si>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</si>
  <si>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</si>
  <si>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</si>
  <si>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</si>
  <si>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</si>
  <si>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</si>
  <si>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</si>
  <si>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</si>
  <si>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</si>
  <si>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</si>
  <si>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</si>
  <si>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</si>
  <si>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</si>
  <si>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</si>
  <si>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</si>
  <si>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</si>
  <si>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</si>
  <si>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</si>
  <si>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</si>
  <si>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</si>
  <si>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</si>
  <si>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</si>
  <si>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</si>
  <si>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</si>
  <si>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</si>
  <si>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</si>
  <si>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</si>
  <si>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</si>
  <si>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</si>
  <si>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</si>
  <si>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</si>
  <si>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</si>
  <si>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</si>
  <si>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</si>
  <si>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</si>
  <si>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</si>
  <si>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</si>
  <si>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</si>
  <si>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</si>
  <si>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</si>
  <si>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</si>
  <si>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</si>
  <si>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</si>
  <si>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</si>
  <si>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</si>
  <si>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</si>
  <si>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</si>
  <si>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</si>
  <si>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</si>
  <si>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</si>
  <si>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</si>
  <si>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</si>
  <si>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</si>
  <si>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</si>
  <si>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</si>
  <si>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</si>
  <si>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</si>
  <si>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</si>
  <si>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</si>
  <si>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</si>
  <si>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</si>
  <si>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</si>
  <si>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</si>
  <si>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</si>
  <si>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</si>
  <si>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</si>
  <si>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</si>
  <si>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</si>
  <si>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</si>
  <si>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</si>
  <si>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</si>
  <si>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</si>
  <si>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</si>
  <si>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</si>
  <si>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</si>
  <si>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</si>
  <si>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</si>
  <si>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</si>
  <si>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</si>
  <si>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</si>
  <si>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</si>
  <si>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</si>
  <si>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</si>
  <si>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</si>
  <si>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</si>
  <si>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</si>
  <si>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</si>
  <si>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</si>
  <si>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</si>
  <si>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</si>
  <si>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</si>
  <si>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</si>
  <si>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</si>
  <si>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</si>
  <si>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</si>
  <si>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</si>
  <si>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</si>
  <si>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</si>
  <si>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</si>
  <si>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</si>
  <si>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</si>
  <si>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</si>
  <si>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</si>
  <si>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</si>
  <si>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</si>
  <si>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</si>
  <si>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</si>
  <si>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</si>
  <si>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</si>
  <si>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</si>
  <si>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</si>
  <si>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</si>
  <si>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</si>
  <si>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</si>
  <si>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</si>
  <si>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</si>
  <si>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</si>
  <si>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</si>
  <si>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</si>
  <si>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</si>
  <si>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</si>
  <si>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</si>
  <si>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</si>
  <si>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</si>
  <si>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</si>
  <si>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</si>
  <si>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</si>
  <si>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</si>
  <si>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</si>
  <si>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</si>
  <si>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</si>
  <si>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</si>
  <si>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</si>
  <si>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</si>
  <si>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</si>
  <si>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</si>
  <si>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</si>
  <si>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</si>
  <si>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</si>
  <si>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</si>
  <si>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</si>
  <si>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</si>
  <si>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</si>
  <si>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</si>
  <si>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</si>
  <si>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</si>
  <si>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</si>
  <si>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</si>
  <si>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</si>
  <si>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</si>
  <si>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</si>
  <si>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</si>
  <si>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</si>
  <si>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</si>
  <si>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</si>
  <si>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</si>
  <si>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</si>
  <si>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</si>
  <si>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</si>
  <si>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</si>
  <si>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</si>
  <si>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</si>
  <si>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</si>
  <si>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</si>
  <si>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</si>
  <si>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</si>
  <si>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</si>
  <si>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</si>
  <si>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</si>
  <si>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</si>
  <si>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</si>
  <si>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</si>
  <si>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</si>
  <si>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</si>
  <si>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</si>
  <si>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</si>
  <si>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</si>
  <si>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</si>
  <si>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</si>
  <si>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</si>
  <si>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</si>
  <si>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</si>
  <si>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</si>
  <si>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</si>
  <si>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</si>
  <si>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</si>
  <si>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</si>
  <si>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</si>
  <si>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</si>
  <si>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</si>
  <si>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</si>
  <si>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</si>
  <si>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</si>
  <si>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</si>
  <si>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</si>
  <si>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</si>
  <si>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</si>
  <si>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</si>
  <si>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</si>
  <si>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</si>
  <si>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</si>
  <si>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</si>
  <si>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</si>
  <si>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</si>
  <si>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</si>
  <si>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</si>
  <si>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</si>
  <si>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</si>
  <si>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</si>
  <si>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</si>
  <si>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</si>
  <si>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</si>
  <si>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</si>
  <si>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</si>
  <si>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</si>
  <si>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</si>
  <si>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</si>
  <si>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</si>
  <si>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</si>
  <si>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</si>
  <si>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</si>
  <si>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</si>
  <si>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</si>
  <si>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</si>
  <si>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</si>
  <si>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</si>
  <si>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</si>
  <si>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</si>
  <si>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</si>
  <si>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</si>
  <si>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</si>
  <si>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</si>
  <si>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</si>
  <si>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</si>
  <si>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</si>
  <si>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</si>
  <si>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</si>
  <si>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</si>
  <si>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</si>
  <si>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</si>
  <si>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</si>
  <si>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</si>
  <si>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</si>
  <si>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</si>
  <si>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</si>
  <si>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</si>
  <si>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</si>
  <si>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</si>
  <si>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</si>
  <si>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</si>
  <si>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</si>
  <si>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</si>
  <si>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</si>
  <si>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</si>
  <si>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</si>
  <si>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</si>
  <si>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</si>
  <si>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</si>
  <si>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</si>
  <si>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</si>
  <si>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</si>
  <si>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</si>
  <si>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</si>
  <si>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</si>
  <si>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</si>
  <si>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</si>
  <si>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</si>
  <si>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</si>
  <si>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</si>
  <si>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</si>
  <si>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</si>
  <si>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</si>
  <si>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</si>
  <si>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</si>
  <si>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</si>
  <si>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</si>
  <si>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</si>
  <si>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</si>
  <si>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</si>
  <si>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</si>
  <si>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</si>
  <si>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</si>
  <si>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</si>
  <si>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</si>
  <si>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</si>
  <si>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</si>
  <si>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</si>
  <si>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</si>
  <si>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</si>
  <si>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</si>
  <si>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</si>
  <si>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</si>
  <si>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</si>
  <si>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</si>
  <si>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</si>
  <si>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</si>
  <si>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</si>
  <si>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</si>
  <si>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</si>
  <si>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</si>
  <si>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</si>
  <si>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</si>
  <si>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</si>
  <si>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</si>
  <si>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</si>
  <si>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</si>
  <si>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</si>
  <si>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</si>
  <si>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</si>
  <si>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</si>
  <si>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</si>
  <si>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</si>
  <si>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</si>
  <si>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</si>
  <si>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</si>
  <si>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</si>
  <si>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</si>
  <si>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</si>
  <si>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</si>
  <si>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</si>
  <si>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</si>
  <si>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</si>
  <si>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</si>
  <si>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</si>
  <si>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</si>
  <si>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</si>
  <si>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</si>
  <si>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</si>
  <si>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</si>
  <si>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</si>
  <si>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</si>
  <si>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</si>
  <si>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</si>
  <si>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</si>
  <si>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</si>
  <si>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</si>
  <si>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</si>
  <si>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</si>
  <si>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</si>
  <si>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</si>
  <si>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</si>
  <si>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</si>
  <si>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</si>
  <si>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</si>
  <si>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</si>
  <si>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</si>
  <si>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</si>
  <si>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</si>
  <si>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</si>
  <si>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</si>
  <si>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</si>
  <si>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</si>
  <si>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</si>
  <si>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</si>
  <si>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</si>
  <si>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</si>
  <si>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</si>
  <si>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</si>
  <si>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</si>
  <si>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</si>
  <si>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</si>
  <si>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</si>
  <si>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</si>
  <si>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</si>
  <si>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</si>
  <si>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</si>
  <si>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</si>
  <si>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</si>
  <si>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</si>
  <si>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</si>
  <si>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</si>
  <si>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</si>
  <si>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</si>
  <si>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</si>
  <si>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</si>
  <si>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</si>
  <si>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</si>
  <si>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</si>
  <si>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</si>
  <si>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</si>
  <si>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</si>
  <si>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</si>
  <si>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</si>
  <si>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</si>
  <si>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</si>
  <si>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</si>
  <si>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</si>
  <si>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</si>
  <si>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</si>
  <si>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</si>
  <si>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</si>
  <si>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</si>
  <si>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</si>
  <si>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</si>
  <si>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</si>
  <si>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</si>
  <si>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</si>
  <si>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</si>
  <si>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</si>
  <si>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</si>
  <si>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</si>
  <si>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</si>
  <si>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</si>
  <si>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</si>
  <si>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</si>
  <si>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</si>
  <si>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</si>
  <si>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</si>
  <si>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</si>
  <si>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</si>
  <si>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</si>
  <si>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</si>
  <si>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</si>
  <si>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</si>
  <si>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</si>
  <si>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</si>
  <si>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</si>
  <si>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</si>
  <si>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</si>
  <si>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</si>
  <si>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</si>
  <si>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</si>
  <si>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</si>
  <si>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</si>
  <si>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</si>
  <si>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</si>
  <si>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</si>
  <si>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</si>
  <si>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</si>
  <si>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</si>
  <si>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</si>
  <si>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</si>
  <si>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</si>
  <si>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</si>
  <si>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</si>
  <si>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</si>
  <si>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</si>
  <si>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</si>
  <si>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</si>
  <si>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</si>
  <si>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</si>
  <si>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</si>
  <si>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</si>
  <si>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</si>
  <si>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</si>
  <si>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</si>
  <si>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</si>
  <si>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</si>
  <si>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</si>
  <si>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</si>
  <si>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</si>
  <si>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</si>
  <si>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</si>
  <si>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</si>
  <si>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</si>
  <si>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</si>
  <si>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</si>
  <si>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</si>
  <si>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</si>
  <si>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</si>
  <si>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</si>
  <si>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</si>
  <si>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</si>
  <si>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</si>
  <si>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</si>
  <si>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</si>
  <si>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</si>
  <si>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</si>
  <si>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</si>
  <si>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</si>
  <si>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</si>
  <si>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</si>
  <si>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</si>
  <si>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</si>
  <si>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</si>
  <si>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</si>
  <si>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</si>
  <si>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</si>
  <si>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</si>
  <si>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</si>
  <si>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</si>
  <si>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</si>
  <si>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</si>
  <si>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</si>
  <si>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</si>
  <si>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</si>
  <si>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</si>
  <si>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</si>
  <si>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</si>
  <si>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</si>
  <si>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</si>
  <si>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</si>
  <si>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</si>
  <si>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</si>
  <si>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</si>
  <si>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</si>
  <si>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</si>
  <si>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</si>
  <si>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</si>
  <si>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</si>
  <si>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</si>
  <si>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</si>
  <si>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</si>
  <si>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</si>
  <si>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</si>
  <si>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</si>
  <si>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</si>
  <si>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</si>
  <si>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</si>
  <si>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</si>
  <si>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</si>
  <si>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</si>
  <si>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</si>
  <si>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</si>
  <si>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</si>
  <si>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</si>
  <si>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</si>
  <si>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</si>
  <si>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</si>
  <si>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</si>
  <si>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</si>
  <si>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</si>
  <si>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</si>
  <si>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</si>
  <si>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</si>
  <si>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</si>
  <si>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</si>
  <si>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</si>
  <si>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</si>
  <si>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</si>
  <si>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</si>
  <si>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</si>
  <si>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</si>
  <si>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</si>
  <si>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</si>
  <si>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</si>
  <si>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</si>
  <si>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</si>
  <si>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</si>
  <si>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</si>
  <si>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</si>
  <si>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</si>
  <si>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</si>
  <si>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</si>
  <si>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</si>
  <si>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</si>
  <si>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</si>
  <si>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</si>
  <si>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</si>
  <si>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</si>
  <si>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</si>
  <si>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</si>
  <si>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</si>
  <si>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</si>
  <si>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</si>
  <si>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</si>
  <si>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</si>
  <si>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</si>
  <si>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</si>
  <si>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</si>
  <si>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</si>
  <si>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</si>
  <si>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</si>
  <si>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</si>
  <si>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</si>
  <si>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</si>
  <si>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</si>
  <si>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</si>
  <si>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</si>
  <si>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</si>
  <si>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</si>
  <si>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</si>
  <si>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</si>
  <si>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</si>
  <si>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</si>
  <si>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</si>
  <si>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</si>
  <si>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</si>
  <si>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</si>
  <si>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</si>
  <si>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</si>
  <si>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</si>
  <si>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</si>
  <si>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</si>
  <si>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</si>
  <si>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</si>
  <si>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</si>
  <si>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</si>
  <si>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</si>
  <si>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</si>
  <si>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</si>
  <si>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</si>
  <si>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</si>
  <si>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</si>
  <si>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</si>
  <si>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</si>
  <si>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</si>
  <si>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</si>
  <si>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</si>
  <si>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</si>
  <si>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</si>
  <si>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</si>
  <si>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</si>
  <si>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</si>
  <si>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</si>
  <si>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</si>
  <si>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</si>
  <si>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</si>
  <si>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</si>
  <si>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</si>
  <si>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</si>
  <si>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</si>
  <si>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</si>
  <si>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</si>
  <si>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</si>
  <si>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</si>
  <si>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</si>
  <si>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</si>
  <si>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</si>
  <si>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</si>
  <si>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</si>
  <si>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</si>
  <si>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</si>
  <si>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</si>
  <si>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</si>
  <si>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</si>
  <si>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</si>
  <si>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</si>
  <si>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</si>
  <si>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</si>
  <si>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</si>
  <si>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</si>
  <si>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</si>
  <si>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</si>
  <si>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</si>
  <si>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</si>
  <si>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</si>
  <si>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</si>
  <si>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</si>
  <si>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</si>
  <si>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</si>
  <si>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</si>
  <si>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</si>
  <si>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</si>
  <si>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</si>
  <si>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</si>
  <si>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</si>
  <si>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</si>
  <si>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</si>
  <si>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</si>
  <si>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</si>
  <si>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</si>
  <si>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</si>
  <si>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</si>
  <si>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</si>
  <si>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</si>
  <si>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</si>
  <si>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</si>
  <si>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</si>
  <si>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</si>
  <si>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</si>
  <si>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</si>
  <si>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</si>
  <si>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</si>
  <si>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</si>
  <si>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</si>
  <si>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</si>
  <si>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</si>
  <si>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</si>
  <si>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</si>
  <si>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</si>
  <si>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</si>
  <si>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</si>
  <si>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</si>
  <si>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</si>
  <si>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</si>
  <si>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</si>
  <si>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</si>
  <si>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</si>
  <si>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</si>
  <si>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</si>
  <si>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</si>
  <si>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</si>
  <si>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</si>
  <si>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</si>
  <si>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</si>
  <si>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</si>
  <si>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</si>
  <si>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</si>
  <si>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</si>
  <si>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</si>
  <si>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</si>
  <si>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</si>
  <si>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</si>
  <si>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</si>
  <si>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</si>
  <si>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</si>
  <si>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</si>
  <si>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</si>
  <si>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</si>
  <si>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</si>
  <si>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</si>
  <si>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</si>
  <si>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</si>
  <si>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</si>
  <si>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</si>
  <si>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</si>
  <si>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</si>
  <si>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</si>
  <si>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</si>
  <si>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</si>
  <si>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</si>
  <si>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</si>
  <si>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</si>
  <si>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</si>
  <si>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</si>
  <si>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</si>
  <si>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</si>
  <si>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</si>
  <si>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</si>
  <si>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</si>
  <si>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</si>
  <si>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</si>
  <si>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</si>
  <si>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</si>
  <si>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</si>
  <si>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</si>
  <si>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</si>
  <si>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</si>
  <si>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</si>
  <si>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</si>
  <si>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</si>
  <si>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</si>
  <si>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</si>
  <si>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</si>
  <si>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</si>
  <si>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</si>
  <si>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</si>
  <si>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</si>
  <si>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</si>
  <si>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</si>
  <si>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</si>
  <si>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</si>
  <si>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</si>
  <si>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</si>
  <si>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</si>
  <si>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</si>
  <si>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</si>
  <si>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</si>
  <si>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</si>
  <si>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</si>
  <si>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</si>
  <si>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</si>
  <si>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</si>
  <si>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</si>
  <si>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</si>
  <si>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</si>
  <si>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</si>
  <si>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</si>
  <si>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</si>
  <si>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</si>
  <si>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</si>
  <si>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</si>
  <si>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</si>
  <si>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</si>
  <si>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</si>
  <si>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</si>
  <si>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</si>
  <si>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</si>
  <si>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</si>
  <si>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</si>
  <si>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</si>
  <si>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</si>
  <si>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</si>
  <si>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</si>
  <si>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</si>
  <si>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</si>
  <si>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260401-002</t>
  </si>
  <si>
    <t>260401-003</t>
  </si>
  <si>
    <t>260401-005</t>
  </si>
  <si>
    <t>260401-006</t>
  </si>
  <si>
    <t>260401-007</t>
  </si>
  <si>
    <t>260406-011</t>
  </si>
  <si>
    <t>260407-012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</si>
  <si>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</si>
  <si>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</si>
  <si>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</si>
  <si>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</si>
  <si>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</si>
  <si>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</si>
  <si>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</si>
  <si>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</si>
  <si>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</si>
  <si>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</si>
  <si>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</si>
  <si>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</si>
  <si>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</si>
  <si>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</si>
  <si>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</si>
  <si>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</si>
  <si>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</si>
  <si>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</si>
  <si>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</si>
  <si>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</si>
  <si>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</si>
  <si>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</si>
  <si>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</si>
  <si>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</si>
  <si>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</si>
  <si>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</si>
  <si>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</si>
  <si>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</si>
  <si>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</si>
  <si>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</si>
  <si>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</si>
  <si>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</si>
  <si>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</si>
  <si>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</si>
  <si>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</si>
  <si>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</si>
  <si>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</si>
  <si>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</si>
  <si>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</si>
  <si>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</si>
  <si>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</si>
  <si>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</si>
  <si>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</si>
  <si>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</si>
  <si>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</si>
  <si>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</si>
  <si>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</si>
  <si>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</si>
  <si>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</si>
  <si>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</si>
  <si>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</si>
  <si>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</si>
  <si>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</si>
  <si>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</si>
  <si>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</si>
  <si>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</si>
  <si>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</si>
  <si>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</si>
  <si>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</si>
  <si>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</si>
  <si>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</si>
  <si>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</si>
  <si>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</si>
  <si>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</si>
  <si>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</si>
  <si>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</si>
  <si>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</si>
  <si>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</si>
  <si>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</si>
  <si>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</si>
  <si>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</si>
  <si>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</si>
  <si>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</si>
  <si>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</si>
  <si>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</si>
  <si>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</si>
  <si>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</si>
  <si>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</si>
  <si>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</si>
  <si>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</si>
  <si>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</si>
  <si>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</si>
  <si>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</si>
  <si>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</si>
  <si>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</si>
  <si>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</si>
  <si>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</si>
  <si>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</si>
  <si>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</si>
  <si>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</si>
  <si>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</si>
  <si>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</si>
  <si>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</si>
  <si>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</si>
  <si>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</si>
  <si>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</si>
  <si>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</si>
  <si>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</si>
  <si>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</si>
  <si>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</si>
  <si>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</si>
  <si>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</si>
  <si>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</si>
  <si>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</si>
  <si>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</si>
  <si>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</si>
  <si>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</si>
  <si>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</si>
  <si>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</si>
  <si>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</si>
  <si>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</si>
  <si>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</si>
  <si>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</si>
  <si>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</si>
  <si>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</si>
  <si>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</si>
  <si>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</si>
  <si>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</si>
  <si>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</si>
  <si>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</si>
  <si>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</si>
  <si>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</si>
  <si>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</si>
  <si>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</si>
  <si>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</si>
  <si>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</si>
  <si>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</si>
  <si>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</si>
  <si>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</si>
  <si>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</si>
  <si>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</si>
  <si>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</si>
  <si>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</si>
  <si>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</si>
  <si>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</si>
  <si>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</si>
  <si>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</si>
  <si>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</si>
  <si>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</si>
  <si>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</si>
  <si>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</si>
  <si>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</si>
  <si>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</si>
  <si>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</si>
  <si>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</si>
  <si>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</si>
  <si>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</si>
  <si>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</si>
  <si>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</si>
  <si>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</si>
  <si>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</si>
  <si>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</si>
  <si>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</si>
  <si>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</si>
  <si>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</si>
  <si>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</si>
  <si>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</si>
  <si>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</si>
  <si>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</si>
  <si>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</si>
  <si>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</si>
  <si>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</si>
  <si>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</si>
  <si>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</si>
  <si>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</si>
  <si>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</si>
  <si>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</si>
  <si>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</si>
  <si>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</si>
  <si>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</si>
  <si>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</si>
  <si>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</si>
  <si>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</si>
  <si>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</si>
  <si>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</si>
  <si>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</si>
  <si>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</si>
  <si>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</si>
  <si>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</si>
  <si>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</si>
  <si>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</si>
  <si>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</si>
  <si>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</si>
  <si>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</si>
  <si>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</si>
  <si>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</si>
  <si>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</si>
  <si>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</si>
  <si>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</si>
  <si>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</si>
  <si>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</si>
  <si>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</si>
  <si>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</si>
  <si>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</si>
  <si>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</si>
  <si>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</si>
  <si>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</si>
  <si>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</si>
  <si>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</si>
  <si>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</si>
  <si>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</si>
  <si>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</si>
  <si>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</si>
  <si>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</si>
  <si>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</si>
  <si>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</si>
  <si>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</si>
  <si>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</si>
  <si>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</si>
  <si>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</si>
  <si>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</si>
  <si>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</si>
  <si>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</si>
  <si>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</si>
  <si>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</si>
  <si>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</si>
  <si>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</si>
  <si>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</si>
  <si>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</si>
  <si>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</si>
  <si>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</si>
  <si>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</si>
  <si>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</si>
  <si>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</si>
  <si>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</si>
  <si>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</si>
  <si>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</si>
  <si>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</si>
  <si>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</si>
  <si>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</si>
  <si>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</si>
  <si>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</si>
  <si>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</si>
  <si>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</si>
  <si>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</si>
  <si>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</si>
  <si>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</si>
  <si>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</si>
  <si>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</si>
  <si>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</si>
  <si>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</si>
  <si>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</si>
  <si>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</si>
  <si>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</si>
  <si>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</si>
  <si>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</si>
  <si>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</si>
  <si>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</si>
  <si>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</si>
  <si>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</si>
  <si>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</si>
  <si>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</si>
  <si>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</si>
  <si>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</si>
  <si>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</si>
  <si>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</si>
  <si>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</si>
  <si>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</si>
  <si>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</si>
  <si>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</si>
  <si>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</si>
  <si>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</si>
  <si>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</si>
  <si>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</si>
  <si>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</si>
  <si>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</si>
  <si>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</si>
  <si>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</si>
  <si>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</si>
  <si>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</si>
  <si>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</si>
  <si>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</si>
  <si>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</si>
  <si>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</si>
  <si>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</si>
  <si>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</si>
  <si>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</si>
  <si>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</si>
  <si>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</si>
  <si>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</si>
  <si>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</si>
  <si>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</si>
  <si>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</si>
  <si>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</si>
  <si>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</si>
  <si>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</si>
  <si>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</si>
  <si>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</si>
  <si>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</si>
  <si>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</si>
  <si>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</si>
  <si>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</si>
  <si>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</si>
  <si>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</si>
  <si>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</si>
  <si>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</si>
  <si>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</si>
  <si>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</si>
  <si>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</si>
  <si>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</si>
  <si>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</si>
  <si>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</si>
  <si>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</si>
  <si>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</si>
  <si>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</si>
  <si>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</si>
  <si>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</si>
  <si>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</si>
  <si>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</si>
  <si>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</si>
  <si>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</si>
  <si>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</si>
  <si>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</si>
  <si>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</si>
  <si>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</si>
  <si>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</si>
  <si>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</si>
  <si>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</si>
  <si>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</si>
  <si>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</si>
  <si>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</si>
  <si>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</si>
  <si>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</si>
  <si>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</si>
  <si>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</si>
  <si>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</si>
  <si>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</si>
  <si>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</si>
  <si>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</si>
  <si>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</si>
  <si>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</si>
  <si>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</si>
  <si>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</si>
  <si>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</si>
  <si>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</si>
  <si>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</si>
  <si>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</si>
  <si>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</si>
  <si>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</si>
  <si>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</si>
  <si>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</si>
  <si>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</si>
  <si>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</si>
  <si>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</si>
  <si>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</si>
  <si>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</si>
  <si>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</si>
  <si>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</si>
  <si>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</si>
  <si>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</si>
  <si>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</si>
  <si>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</si>
  <si>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</si>
  <si>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</si>
  <si>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</si>
  <si>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</si>
  <si>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</si>
  <si>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</si>
  <si>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</si>
  <si>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</si>
  <si>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</si>
  <si>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</si>
  <si>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</si>
  <si>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</si>
  <si>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</si>
  <si>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</si>
  <si>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</si>
  <si>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</si>
  <si>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</si>
  <si>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</si>
  <si>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</si>
  <si>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</si>
  <si>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</si>
  <si>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</si>
  <si>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</si>
  <si>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</si>
  <si>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</si>
  <si>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</si>
  <si>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</si>
  <si>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</si>
  <si>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</si>
  <si>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</si>
  <si>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</si>
  <si>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</si>
  <si>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</si>
  <si>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</si>
  <si>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</si>
  <si>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</si>
  <si>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</si>
  <si>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</si>
  <si>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</si>
  <si>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</si>
  <si>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</si>
  <si>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</si>
  <si>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</si>
  <si>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</si>
  <si>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</si>
  <si>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</si>
  <si>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</si>
  <si>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</si>
  <si>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</si>
  <si>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</si>
  <si>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</si>
  <si>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</si>
  <si>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</si>
  <si>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</si>
  <si>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</si>
  <si>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</si>
  <si>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</si>
  <si>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</si>
  <si>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</si>
  <si>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</si>
  <si>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</si>
  <si>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</si>
  <si>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</si>
  <si>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</si>
  <si>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</si>
  <si>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</si>
  <si>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</si>
  <si>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</si>
  <si>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</si>
  <si>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</si>
  <si>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</si>
  <si>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</si>
  <si>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</si>
  <si>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</si>
  <si>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</si>
  <si>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</si>
  <si>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</si>
  <si>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</si>
  <si>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</si>
  <si>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</si>
  <si>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</si>
  <si>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</si>
  <si>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</si>
  <si>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</si>
  <si>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</si>
  <si>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</si>
  <si>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</si>
  <si>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</si>
  <si>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</si>
  <si>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</si>
  <si>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</si>
  <si>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</si>
  <si>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</si>
  <si>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</si>
  <si>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</si>
  <si>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</si>
  <si>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</si>
  <si>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</si>
  <si>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</si>
  <si>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</si>
  <si>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</si>
  <si>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</si>
  <si>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</si>
  <si>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</si>
  <si>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</si>
  <si>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</si>
  <si>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</si>
  <si>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</si>
  <si>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</si>
  <si>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</si>
  <si>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</si>
  <si>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</si>
  <si>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</si>
  <si>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</si>
  <si>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</si>
  <si>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</si>
  <si>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</si>
  <si>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</si>
  <si>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</si>
  <si>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</si>
  <si>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</si>
  <si>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</si>
  <si>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</si>
  <si>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</si>
  <si>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</si>
  <si>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</si>
  <si>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</si>
  <si>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</si>
  <si>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</si>
  <si>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</si>
  <si>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</si>
  <si>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</si>
  <si>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</si>
  <si>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</si>
  <si>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</si>
  <si>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</si>
  <si>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</si>
  <si>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</si>
  <si>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</si>
  <si>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</si>
  <si>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</si>
  <si>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</si>
  <si>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</si>
  <si>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</si>
  <si>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</si>
  <si>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</si>
  <si>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</si>
  <si>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</si>
  <si>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</si>
  <si>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</si>
  <si>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</si>
  <si>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</si>
  <si>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</si>
  <si>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</si>
  <si>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</si>
  <si>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</si>
  <si>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</si>
  <si>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</si>
  <si>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</si>
  <si>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</si>
  <si>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</si>
  <si>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</si>
  <si>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</si>
  <si>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</si>
  <si>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</si>
  <si>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</si>
  <si>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</si>
  <si>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</si>
  <si>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</si>
  <si>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</si>
  <si>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</si>
  <si>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</si>
  <si>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</si>
  <si>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</si>
  <si>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</si>
  <si>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</si>
  <si>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</si>
  <si>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</si>
  <si>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</si>
  <si>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</si>
  <si>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</si>
  <si>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</si>
  <si>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</si>
  <si>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</si>
  <si>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</si>
  <si>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</si>
  <si>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</si>
  <si>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</si>
  <si>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</si>
  <si>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</si>
  <si>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</si>
  <si>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</si>
  <si>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</si>
  <si>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</si>
  <si>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</si>
  <si>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</si>
  <si>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</si>
  <si>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</si>
  <si>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</si>
  <si>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</si>
  <si>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</si>
  <si>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</si>
  <si>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</si>
  <si>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</si>
  <si>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</si>
  <si>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</si>
  <si>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</si>
  <si>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</si>
  <si>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</si>
  <si>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</si>
  <si>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</si>
  <si>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</si>
  <si>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</si>
  <si>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</si>
  <si>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</si>
  <si>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</si>
  <si>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</si>
  <si>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</si>
  <si>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</si>
  <si>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</si>
  <si>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</si>
  <si>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</si>
  <si>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</si>
  <si>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</si>
  <si>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</si>
  <si>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</si>
  <si>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</si>
  <si>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</si>
  <si>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</si>
  <si>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</si>
  <si>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</si>
  <si>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</si>
  <si>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</si>
  <si>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</si>
  <si>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</si>
  <si>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</si>
  <si>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</si>
  <si>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</si>
  <si>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</si>
  <si>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</si>
  <si>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</si>
  <si>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</si>
  <si>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</si>
  <si>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</si>
  <si>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</si>
  <si>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</si>
  <si>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</si>
  <si>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</si>
  <si>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</si>
  <si>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</si>
  <si>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</si>
  <si>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</si>
  <si>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</si>
  <si>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</si>
  <si>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</si>
  <si>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</si>
  <si>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</si>
  <si>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</si>
  <si>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</si>
  <si>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</si>
  <si>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</si>
  <si>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</si>
  <si>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</si>
  <si>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</si>
  <si>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</si>
  <si>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</si>
  <si>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</si>
  <si>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</si>
  <si>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</si>
  <si>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</si>
  <si>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</si>
  <si>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</si>
  <si>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</si>
  <si>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</si>
  <si>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</si>
  <si>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</si>
  <si>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</si>
  <si>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</si>
  <si>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</si>
  <si>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</si>
  <si>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</si>
  <si>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</si>
  <si>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</si>
  <si>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</si>
  <si>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</si>
  <si>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</si>
  <si>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</si>
  <si>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</si>
  <si>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</si>
  <si>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</si>
  <si>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</si>
  <si>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</si>
  <si>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</si>
  <si>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</si>
  <si>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</si>
  <si>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</si>
  <si>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</si>
  <si>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</si>
  <si>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</si>
  <si>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</si>
  <si>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</si>
  <si>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</si>
  <si>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</si>
  <si>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</si>
  <si>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</si>
  <si>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</si>
  <si>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</si>
  <si>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</si>
  <si>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</si>
  <si>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</si>
  <si>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</si>
  <si>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</si>
  <si>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</si>
  <si>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</si>
  <si>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</si>
  <si>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</si>
  <si>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</si>
  <si>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</si>
  <si>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</si>
  <si>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</si>
  <si>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</si>
  <si>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</si>
  <si>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</si>
  <si>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</si>
  <si>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</si>
  <si>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</si>
  <si>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</si>
  <si>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</si>
  <si>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</si>
  <si>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</si>
  <si>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</si>
  <si>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</si>
  <si>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</si>
  <si>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</si>
  <si>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</si>
  <si>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</si>
  <si>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</si>
  <si>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</si>
  <si>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</si>
  <si>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</si>
  <si>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</si>
  <si>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</si>
  <si>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</si>
  <si>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</si>
  <si>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</si>
  <si>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</si>
  <si>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</si>
  <si>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</si>
  <si>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</si>
  <si>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</si>
  <si>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</si>
  <si>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</si>
  <si>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</si>
  <si>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</si>
  <si>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</si>
  <si>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</si>
  <si>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</si>
  <si>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</si>
  <si>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</si>
  <si>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</si>
  <si>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</si>
  <si>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</si>
  <si>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</si>
  <si>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</si>
  <si>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</si>
  <si>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</si>
  <si>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</si>
  <si>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</si>
  <si>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</si>
  <si>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</si>
  <si>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</si>
  <si>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</si>
  <si>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</si>
  <si>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</si>
  <si>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</si>
  <si>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</si>
  <si>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</si>
  <si>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</si>
  <si>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</si>
  <si>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</si>
  <si>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</si>
  <si>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</si>
  <si>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</si>
  <si>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</si>
  <si>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</si>
  <si>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</si>
  <si>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</si>
  <si>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</si>
  <si>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</si>
  <si>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</si>
  <si>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</si>
  <si>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</si>
  <si>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</si>
  <si>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</si>
  <si>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</si>
  <si>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</si>
  <si>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</si>
  <si>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</si>
  <si>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</si>
  <si>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</si>
  <si>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</si>
  <si>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</si>
  <si>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</si>
  <si>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</si>
  <si>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</si>
  <si>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</si>
  <si>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</si>
  <si>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</si>
  <si>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</si>
  <si>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</si>
  <si>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</si>
  <si>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</si>
  <si>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</si>
  <si>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</si>
  <si>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</si>
  <si>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</si>
  <si>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</si>
  <si>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</si>
  <si>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</si>
  <si>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</si>
  <si>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</si>
  <si>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</si>
  <si>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</si>
  <si>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</si>
  <si>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</si>
  <si>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</si>
  <si>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</si>
  <si>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</si>
  <si>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</si>
  <si>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</si>
  <si>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</si>
  <si>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</si>
  <si>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</si>
  <si>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</si>
  <si>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</si>
  <si>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</si>
  <si>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</si>
  <si>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</si>
  <si>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</si>
  <si>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</si>
  <si>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</si>
  <si>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</si>
  <si>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</si>
  <si>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</si>
  <si>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</si>
  <si>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</si>
  <si>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</si>
  <si>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</si>
  <si>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</si>
  <si>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</si>
  <si>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</si>
  <si>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</si>
  <si>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</si>
  <si>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</si>
  <si>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</si>
  <si>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</si>
  <si>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</si>
  <si>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</si>
  <si>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</si>
  <si>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</si>
  <si>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</si>
  <si>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</si>
  <si>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</si>
  <si>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</si>
  <si>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</si>
  <si>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</si>
  <si>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</si>
  <si>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</si>
  <si>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</si>
  <si>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</si>
  <si>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</si>
  <si>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</si>
  <si>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</si>
  <si>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</si>
  <si>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</si>
  <si>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</si>
  <si>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</si>
  <si>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</si>
  <si>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</si>
  <si>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</si>
  <si>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</si>
  <si>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</si>
  <si>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</si>
  <si>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</si>
  <si>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</si>
  <si>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</si>
  <si>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</si>
  <si>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</si>
  <si>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</si>
  <si>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</si>
  <si>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</si>
  <si>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</si>
  <si>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</si>
  <si>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</si>
  <si>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</si>
  <si>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</si>
  <si>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</si>
  <si>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</si>
  <si>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</si>
  <si>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</si>
  <si>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</si>
  <si>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</si>
  <si>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</si>
  <si>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</si>
  <si>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</si>
  <si>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</si>
  <si>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</si>
  <si>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</si>
  <si>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</si>
  <si>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</si>
  <si>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</si>
  <si>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</si>
  <si>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</si>
  <si>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</si>
  <si>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</si>
  <si>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</si>
  <si>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</si>
  <si>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</si>
  <si>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</si>
  <si>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</si>
  <si>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</si>
  <si>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</si>
  <si>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</si>
  <si>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</si>
  <si>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</si>
  <si>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</si>
  <si>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</si>
  <si>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</si>
  <si>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</si>
  <si>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</si>
  <si>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</si>
  <si>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</si>
  <si>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</si>
  <si>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</si>
  <si>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</si>
  <si>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</si>
  <si>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</si>
  <si>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</si>
  <si>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</si>
  <si>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</si>
  <si>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</si>
  <si>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</si>
  <si>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</si>
  <si>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</si>
  <si>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</si>
  <si>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</si>
  <si>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</si>
  <si>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</si>
  <si>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</si>
  <si>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</si>
  <si>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</si>
  <si>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</si>
  <si>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</si>
  <si>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</si>
  <si>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</si>
  <si>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</si>
  <si>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</si>
  <si>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</si>
  <si>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</si>
  <si>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</si>
  <si>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</si>
  <si>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</si>
  <si>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</si>
  <si>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</si>
  <si>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</si>
  <si>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</si>
  <si>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</si>
  <si>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</si>
  <si>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</si>
  <si>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</si>
  <si>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</si>
  <si>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</si>
  <si>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</si>
  <si>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</si>
  <si>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</si>
  <si>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</si>
  <si>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</si>
  <si>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</si>
  <si>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</si>
  <si>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</si>
  <si>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</si>
  <si>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</si>
  <si>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</si>
  <si>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</si>
  <si>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</si>
  <si>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</si>
  <si>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</si>
  <si>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</si>
  <si>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</si>
  <si>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</si>
  <si>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</si>
  <si>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</si>
  <si>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</si>
  <si>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</si>
  <si>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</si>
  <si>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</si>
  <si>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</si>
  <si>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</si>
  <si>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</si>
  <si>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</si>
  <si>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</si>
  <si>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</si>
  <si>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</si>
  <si>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</si>
  <si>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</si>
  <si>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</si>
  <si>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</si>
  <si>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</si>
  <si>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</si>
  <si>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</si>
  <si>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</si>
  <si>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</si>
  <si>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</si>
  <si>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</si>
  <si>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</si>
  <si>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</si>
  <si>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</si>
  <si>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</si>
  <si>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</si>
  <si>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</si>
  <si>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</si>
  <si>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</si>
  <si>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</si>
  <si>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</si>
  <si>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</si>
  <si>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</si>
  <si>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Lit. Norte</t>
  </si>
  <si>
    <t>Triazol</t>
  </si>
  <si>
    <t>g</t>
  </si>
  <si>
    <t>Estrobilurina</t>
  </si>
  <si>
    <t>ml</t>
  </si>
  <si>
    <t>Durazno</t>
  </si>
  <si>
    <t>Picloram 24.9%</t>
  </si>
  <si>
    <t>Fertilizante</t>
  </si>
  <si>
    <t>Tacuarembó</t>
  </si>
  <si>
    <t>Biológico</t>
  </si>
  <si>
    <t>bolsa</t>
  </si>
  <si>
    <t>Coadyuvante</t>
  </si>
  <si>
    <t>Graminicida</t>
  </si>
  <si>
    <t>Inoculante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</si>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</sst>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2001" totalsRowShown="0">
  <autoFilter ref="A1:U12001" xr:uid="{AB419160-9C2F-4406-84A3-963E72448A76}"/>
  <tableColumns count="21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  <tableColumn id="21" xr3:uid="{8F548C6F-637B-4FE8-801A-5552B50EE69F}" name="Columna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2001"/>
  <sheetViews>
    <sheetView showGridLines="0" tabSelected="1" workbookViewId="0">
      <pane ySplit="3" topLeftCell="E4" activePane="bottomLeft" state="frozen"/>
      <selection pane="bottomLeft" activeCell="O10" sqref="O10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3.5703125" bestFit="1" customWidth="1"/>
  </cols>
  <sheetData>
    <row r="1" spans="1:21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ht="15.75" hidden="1" customHeight="1">
      <c r="A2" s="1" t="s">
        <v>21</v>
      </c>
      <c r="T2" t="str">
        <f t="shared" ref="T2:T65" si="0">IF(C2="","",UPPER(LEFT(SUBSTITUTE(C2," ",""),3))&amp;"-"&amp;TEXT(B2,"AAMMDD")&amp;"-1")</f>
        <v/>
      </c>
    </row>
    <row r="3" spans="1:21" ht="39.75" hidden="1" customHeight="1">
      <c r="A3" s="2" t="s">
        <v>22</v>
      </c>
      <c r="T3" t="str">
        <f t="shared" si="0"/>
        <v/>
      </c>
    </row>
    <row r="4" spans="1:21" ht="24">
      <c r="A4" s="20" t="s">
        <v>23</v>
      </c>
      <c r="B4" s="20" t="s">
        <v>24</v>
      </c>
      <c r="C4" s="21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T4" t="s">
        <v>40</v>
      </c>
      <c r="U4" s="20" t="s">
        <v>41</v>
      </c>
    </row>
    <row r="5" spans="1:21">
      <c r="A5" s="22" t="s">
        <v>42</v>
      </c>
      <c r="B5" s="23">
        <v>46105</v>
      </c>
      <c r="C5" s="22" t="s">
        <v>43</v>
      </c>
      <c r="D5" s="22" t="s">
        <v>44</v>
      </c>
      <c r="E5" s="22" t="s">
        <v>45</v>
      </c>
      <c r="F5" s="22"/>
      <c r="G5" s="22" t="s">
        <v>46</v>
      </c>
      <c r="H5" s="22" t="str">
        <f>+T5</f>
        <v>260324-001</v>
      </c>
      <c r="I5" s="22" t="s">
        <v>47</v>
      </c>
      <c r="J5" s="30">
        <v>3400</v>
      </c>
      <c r="K5" s="24">
        <f>IF(I5="","",IF(I5="ENTRADA",ABS(J5),-ABS(J5)))</f>
        <v>3400</v>
      </c>
      <c r="L5" s="22" t="s">
        <v>48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  <c r="U5" t="s">
        <v>49</v>
      </c>
    </row>
    <row r="6" spans="1:21">
      <c r="A6" s="22" t="s">
        <v>50</v>
      </c>
      <c r="B6" s="23">
        <v>46113</v>
      </c>
      <c r="C6" s="22" t="s">
        <v>51</v>
      </c>
      <c r="D6" s="22" t="s">
        <v>52</v>
      </c>
      <c r="E6" s="22" t="s">
        <v>53</v>
      </c>
      <c r="F6" s="22" t="s">
        <v>54</v>
      </c>
      <c r="G6" s="22" t="s">
        <v>55</v>
      </c>
      <c r="H6" s="22" t="str">
        <f t="shared" ref="H6:H69" si="1">+T6</f>
        <v>260401-002</v>
      </c>
      <c r="I6" s="22" t="s">
        <v>47</v>
      </c>
      <c r="J6" s="30">
        <v>700</v>
      </c>
      <c r="K6" s="24">
        <f>IF(I6="","",IF(I6="ENTRADA",ABS(J6),-ABS(J6)))</f>
        <v>700</v>
      </c>
      <c r="L6" s="22" t="s">
        <v>56</v>
      </c>
      <c r="M6" s="23">
        <v>46710</v>
      </c>
      <c r="N6" s="22">
        <v>12383</v>
      </c>
      <c r="O6" s="22"/>
      <c r="P6" s="22" t="s">
        <v>57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  <c r="U6" t="s">
        <v>58</v>
      </c>
    </row>
    <row r="7" spans="1:21">
      <c r="A7" s="22" t="s">
        <v>59</v>
      </c>
      <c r="B7" s="23">
        <v>46113</v>
      </c>
      <c r="C7" s="22" t="s">
        <v>60</v>
      </c>
      <c r="D7" s="22" t="s">
        <v>61</v>
      </c>
      <c r="E7" s="22" t="s">
        <v>53</v>
      </c>
      <c r="F7" s="22" t="s">
        <v>54</v>
      </c>
      <c r="G7" s="22" t="s">
        <v>55</v>
      </c>
      <c r="H7" s="22" t="str">
        <f t="shared" si="1"/>
        <v>260401-003</v>
      </c>
      <c r="I7" s="22" t="s">
        <v>47</v>
      </c>
      <c r="J7" s="30">
        <v>300</v>
      </c>
      <c r="K7" s="24">
        <f>IF(I7="","",IF(I7="ENTRADA",ABS(J7),-ABS(J7)))</f>
        <v>300</v>
      </c>
      <c r="L7" s="22" t="s">
        <v>56</v>
      </c>
      <c r="M7" s="23">
        <v>46500</v>
      </c>
      <c r="N7" s="22">
        <v>12383</v>
      </c>
      <c r="O7" s="22"/>
      <c r="P7" s="22" t="s">
        <v>57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</row>
    <row r="8" spans="1:21">
      <c r="A8" s="22" t="s">
        <v>62</v>
      </c>
      <c r="B8" s="23">
        <v>46113</v>
      </c>
      <c r="C8" s="22" t="s">
        <v>63</v>
      </c>
      <c r="D8" s="22" t="s">
        <v>64</v>
      </c>
      <c r="E8" s="22" t="s">
        <v>53</v>
      </c>
      <c r="F8" s="22" t="s">
        <v>65</v>
      </c>
      <c r="G8" s="22" t="s">
        <v>55</v>
      </c>
      <c r="H8" s="22" t="str">
        <f t="shared" si="1"/>
        <v>260401-004</v>
      </c>
      <c r="I8" s="22" t="s">
        <v>47</v>
      </c>
      <c r="J8" s="30">
        <v>2800</v>
      </c>
      <c r="K8" s="24">
        <v>2700</v>
      </c>
      <c r="L8" s="22" t="s">
        <v>56</v>
      </c>
      <c r="M8" s="23">
        <v>46528</v>
      </c>
      <c r="N8" s="22">
        <v>12383</v>
      </c>
      <c r="O8" s="22"/>
      <c r="P8" s="22" t="s">
        <v>57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</row>
    <row r="9" spans="1:21">
      <c r="A9" s="22" t="s">
        <v>66</v>
      </c>
      <c r="B9" s="23">
        <v>46113</v>
      </c>
      <c r="C9" s="22" t="s">
        <v>63</v>
      </c>
      <c r="D9" s="22" t="s">
        <v>64</v>
      </c>
      <c r="E9" s="22" t="s">
        <v>53</v>
      </c>
      <c r="F9" s="22" t="s">
        <v>65</v>
      </c>
      <c r="G9" s="22" t="s">
        <v>55</v>
      </c>
      <c r="H9" s="22" t="str">
        <f t="shared" si="1"/>
        <v>260401-005</v>
      </c>
      <c r="I9" s="22" t="s">
        <v>47</v>
      </c>
      <c r="J9" s="30">
        <v>100</v>
      </c>
      <c r="K9" s="24">
        <f t="shared" ref="K9:K72" si="4">IF(I9="","",IF(I9="ENTRADA",ABS(J9),-ABS(J9)))</f>
        <v>100</v>
      </c>
      <c r="L9" s="22" t="s">
        <v>56</v>
      </c>
      <c r="M9" s="23">
        <v>46761</v>
      </c>
      <c r="N9" s="22">
        <v>12383</v>
      </c>
      <c r="O9" s="22"/>
      <c r="P9" s="22" t="s">
        <v>57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</row>
    <row r="10" spans="1:21">
      <c r="A10" s="22" t="s">
        <v>67</v>
      </c>
      <c r="B10" s="23">
        <v>46113</v>
      </c>
      <c r="C10" s="22" t="s">
        <v>68</v>
      </c>
      <c r="D10" s="22" t="s">
        <v>69</v>
      </c>
      <c r="E10" s="22" t="s">
        <v>53</v>
      </c>
      <c r="F10" s="22" t="s">
        <v>54</v>
      </c>
      <c r="G10" s="22" t="s">
        <v>55</v>
      </c>
      <c r="H10" s="22" t="str">
        <f t="shared" si="1"/>
        <v>260401-006</v>
      </c>
      <c r="I10" s="22" t="s">
        <v>47</v>
      </c>
      <c r="J10" s="30">
        <v>300</v>
      </c>
      <c r="K10" s="24">
        <f t="shared" si="4"/>
        <v>300</v>
      </c>
      <c r="L10" s="22" t="s">
        <v>56</v>
      </c>
      <c r="M10" s="23">
        <v>46517</v>
      </c>
      <c r="N10" s="22">
        <v>12383</v>
      </c>
      <c r="O10" s="22"/>
      <c r="P10" s="22" t="s">
        <v>57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1">
      <c r="A11" s="22" t="s">
        <v>70</v>
      </c>
      <c r="B11" s="23">
        <v>46113</v>
      </c>
      <c r="C11" s="22" t="s">
        <v>71</v>
      </c>
      <c r="D11" s="22" t="s">
        <v>72</v>
      </c>
      <c r="E11" s="22" t="s">
        <v>53</v>
      </c>
      <c r="F11" s="22" t="s">
        <v>54</v>
      </c>
      <c r="G11" s="22" t="s">
        <v>55</v>
      </c>
      <c r="H11" s="22" t="str">
        <f t="shared" si="1"/>
        <v>260401-007</v>
      </c>
      <c r="I11" s="22" t="s">
        <v>47</v>
      </c>
      <c r="J11" s="30">
        <v>300</v>
      </c>
      <c r="K11" s="24">
        <f t="shared" si="4"/>
        <v>300</v>
      </c>
      <c r="L11" s="22" t="s">
        <v>73</v>
      </c>
      <c r="M11" s="23">
        <v>46443</v>
      </c>
      <c r="N11" s="22">
        <v>12383</v>
      </c>
      <c r="O11" s="22"/>
      <c r="P11" s="22" t="s">
        <v>57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</row>
    <row r="12" spans="1:21">
      <c r="A12" s="22" t="s">
        <v>74</v>
      </c>
      <c r="B12" s="23">
        <v>46113</v>
      </c>
      <c r="C12" s="22" t="s">
        <v>75</v>
      </c>
      <c r="D12" s="22" t="s">
        <v>76</v>
      </c>
      <c r="E12" s="22" t="s">
        <v>53</v>
      </c>
      <c r="F12" s="22" t="s">
        <v>54</v>
      </c>
      <c r="G12" s="22" t="s">
        <v>55</v>
      </c>
      <c r="H12" s="22" t="str">
        <f>+T12</f>
        <v>260401-008</v>
      </c>
      <c r="I12" s="22" t="s">
        <v>47</v>
      </c>
      <c r="J12" s="30">
        <v>4800</v>
      </c>
      <c r="K12" s="24">
        <f t="shared" si="4"/>
        <v>4800</v>
      </c>
      <c r="L12" s="22" t="s">
        <v>56</v>
      </c>
      <c r="M12" s="23">
        <v>46737</v>
      </c>
      <c r="N12" s="22">
        <v>12383</v>
      </c>
      <c r="O12" s="22"/>
      <c r="P12" s="22" t="s">
        <v>57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</row>
    <row r="13" spans="1:21">
      <c r="A13" s="22" t="s">
        <v>77</v>
      </c>
      <c r="B13" s="23">
        <v>46113</v>
      </c>
      <c r="C13" t="s">
        <v>63</v>
      </c>
      <c r="D13" t="s">
        <v>78</v>
      </c>
      <c r="E13" t="s">
        <v>53</v>
      </c>
      <c r="F13" t="s">
        <v>65</v>
      </c>
      <c r="G13" t="s">
        <v>55</v>
      </c>
      <c r="H13" s="22" t="s">
        <v>79</v>
      </c>
      <c r="I13" t="s">
        <v>80</v>
      </c>
      <c r="J13" s="31">
        <v>100</v>
      </c>
      <c r="K13" s="24">
        <f t="shared" si="4"/>
        <v>-100</v>
      </c>
      <c r="L13" t="s">
        <v>56</v>
      </c>
      <c r="M13" s="23">
        <v>46528</v>
      </c>
      <c r="N13" s="4">
        <v>59307</v>
      </c>
      <c r="O13" t="s">
        <v>81</v>
      </c>
      <c r="P13" s="4" t="s">
        <v>57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1">
      <c r="A14" s="22" t="s">
        <v>82</v>
      </c>
      <c r="B14" s="23">
        <v>46113</v>
      </c>
      <c r="C14" t="s">
        <v>75</v>
      </c>
      <c r="D14" t="s">
        <v>76</v>
      </c>
      <c r="E14" t="s">
        <v>53</v>
      </c>
      <c r="F14" t="s">
        <v>54</v>
      </c>
      <c r="G14" t="s">
        <v>55</v>
      </c>
      <c r="H14" s="22" t="s">
        <v>83</v>
      </c>
      <c r="I14" t="s">
        <v>80</v>
      </c>
      <c r="J14" s="31">
        <v>360</v>
      </c>
      <c r="K14" s="24">
        <f t="shared" si="4"/>
        <v>-360</v>
      </c>
      <c r="L14" t="s">
        <v>56</v>
      </c>
      <c r="M14" s="23">
        <v>46737</v>
      </c>
      <c r="N14" s="4">
        <v>59307</v>
      </c>
      <c r="O14" t="s">
        <v>81</v>
      </c>
      <c r="P14" s="4" t="s">
        <v>57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1">
      <c r="A15" s="22" t="s">
        <v>84</v>
      </c>
      <c r="B15" s="23">
        <v>46118</v>
      </c>
      <c r="C15" t="s">
        <v>85</v>
      </c>
      <c r="D15" t="s">
        <v>86</v>
      </c>
      <c r="E15" t="s">
        <v>85</v>
      </c>
      <c r="G15" t="s">
        <v>87</v>
      </c>
      <c r="H15" s="22" t="str">
        <f t="shared" ref="H15:H79" si="5">+T15</f>
        <v>260406-011</v>
      </c>
      <c r="I15" t="s">
        <v>47</v>
      </c>
      <c r="J15" s="31">
        <v>3</v>
      </c>
      <c r="K15" s="24">
        <f t="shared" si="4"/>
        <v>3</v>
      </c>
      <c r="L15" t="s">
        <v>88</v>
      </c>
      <c r="M15" s="23"/>
      <c r="N15" s="4">
        <v>3141</v>
      </c>
      <c r="P15" s="22" t="s">
        <v>57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1">
      <c r="A16" s="22" t="s">
        <v>89</v>
      </c>
      <c r="B16" s="23">
        <v>46119</v>
      </c>
      <c r="C16" t="s">
        <v>90</v>
      </c>
      <c r="D16" t="s">
        <v>91</v>
      </c>
      <c r="E16" t="s">
        <v>53</v>
      </c>
      <c r="F16" t="s">
        <v>54</v>
      </c>
      <c r="G16" t="s">
        <v>92</v>
      </c>
      <c r="H16" s="22" t="str">
        <f t="shared" si="5"/>
        <v>260407-012</v>
      </c>
      <c r="I16" t="s">
        <v>47</v>
      </c>
      <c r="J16" s="31">
        <v>12500</v>
      </c>
      <c r="K16" s="24">
        <f t="shared" si="4"/>
        <v>12500</v>
      </c>
      <c r="L16" t="s">
        <v>56</v>
      </c>
      <c r="M16" s="23">
        <v>46725</v>
      </c>
      <c r="N16" s="4">
        <v>69750</v>
      </c>
      <c r="P16" s="22" t="s">
        <v>57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  <c r="U16" t="s">
        <v>93</v>
      </c>
    </row>
    <row r="17" spans="1:20">
      <c r="A17" s="22" t="s">
        <v>94</v>
      </c>
      <c r="B17" s="23"/>
      <c r="H17" s="22" t="str">
        <f t="shared" si="5"/>
        <v/>
      </c>
      <c r="J17" s="31"/>
      <c r="K17" s="24" t="str">
        <f t="shared" si="4"/>
        <v/>
      </c>
      <c r="M17" s="23"/>
      <c r="N17" s="4"/>
      <c r="P17" s="22"/>
      <c r="R17" s="24" t="str">
        <f t="shared" si="7"/>
        <v/>
      </c>
      <c r="S17" s="24" t="str">
        <f t="shared" si="8"/>
        <v/>
      </c>
      <c r="T17" t="str">
        <f t="shared" si="6"/>
        <v/>
      </c>
    </row>
    <row r="18" spans="1:20">
      <c r="A18" s="22" t="s">
        <v>95</v>
      </c>
      <c r="B18" s="23"/>
      <c r="H18" s="22" t="str">
        <f t="shared" si="5"/>
        <v/>
      </c>
      <c r="J18" s="31"/>
      <c r="K18" s="24" t="str">
        <f t="shared" si="4"/>
        <v/>
      </c>
      <c r="M18" s="23"/>
      <c r="N18" s="4"/>
      <c r="P18" s="22"/>
      <c r="R18" s="24" t="str">
        <f t="shared" si="7"/>
        <v/>
      </c>
      <c r="S18" s="24" t="str">
        <f t="shared" si="8"/>
        <v/>
      </c>
      <c r="T18" t="str">
        <f t="shared" si="6"/>
        <v/>
      </c>
    </row>
    <row r="19" spans="1:20">
      <c r="A19" s="22" t="s">
        <v>96</v>
      </c>
      <c r="B19" s="23"/>
      <c r="H19" s="22" t="str">
        <f t="shared" si="5"/>
        <v/>
      </c>
      <c r="J19" s="31"/>
      <c r="K19" s="24" t="str">
        <f t="shared" si="4"/>
        <v/>
      </c>
      <c r="M19" s="23"/>
      <c r="N19" s="4"/>
      <c r="P19" s="22"/>
      <c r="R19" s="24" t="str">
        <f t="shared" si="7"/>
        <v/>
      </c>
      <c r="S19" s="24" t="str">
        <f t="shared" si="8"/>
        <v/>
      </c>
      <c r="T19" t="str">
        <f t="shared" si="6"/>
        <v/>
      </c>
    </row>
    <row r="20" spans="1:20">
      <c r="A20" s="22" t="s">
        <v>97</v>
      </c>
      <c r="B20" s="23"/>
      <c r="H20" s="22" t="str">
        <f t="shared" si="5"/>
        <v/>
      </c>
      <c r="J20" s="31"/>
      <c r="K20" s="24" t="str">
        <f t="shared" si="4"/>
        <v/>
      </c>
      <c r="M20" s="23"/>
      <c r="N20" s="4"/>
      <c r="P20" s="22"/>
      <c r="R20" s="24" t="str">
        <f t="shared" si="7"/>
        <v/>
      </c>
      <c r="S20" s="24" t="str">
        <f t="shared" si="8"/>
        <v/>
      </c>
      <c r="T20" t="str">
        <f t="shared" si="6"/>
        <v/>
      </c>
    </row>
    <row r="21" spans="1:20">
      <c r="A21" s="22" t="s">
        <v>98</v>
      </c>
      <c r="B21" s="23"/>
      <c r="H21" s="22" t="str">
        <f t="shared" si="5"/>
        <v/>
      </c>
      <c r="J21" s="31"/>
      <c r="K21" s="24" t="str">
        <f t="shared" si="4"/>
        <v/>
      </c>
      <c r="M21" s="23"/>
      <c r="N21" s="4"/>
      <c r="P21" s="22"/>
      <c r="R21" s="24" t="str">
        <f t="shared" si="7"/>
        <v/>
      </c>
      <c r="S21" s="24" t="str">
        <f t="shared" si="8"/>
        <v/>
      </c>
      <c r="T21" t="str">
        <f t="shared" si="6"/>
        <v/>
      </c>
    </row>
    <row r="22" spans="1:20">
      <c r="A22" s="22" t="s">
        <v>99</v>
      </c>
      <c r="B22" s="23"/>
      <c r="H22" s="22" t="str">
        <f t="shared" si="5"/>
        <v/>
      </c>
      <c r="J22" s="31"/>
      <c r="K22" s="24" t="str">
        <f t="shared" si="4"/>
        <v/>
      </c>
      <c r="M22" s="23"/>
      <c r="N22" s="4"/>
      <c r="P22" s="22"/>
      <c r="R22" s="24" t="str">
        <f t="shared" si="7"/>
        <v/>
      </c>
      <c r="S22" s="24" t="str">
        <f t="shared" si="8"/>
        <v/>
      </c>
      <c r="T22" t="str">
        <f t="shared" si="6"/>
        <v/>
      </c>
    </row>
    <row r="23" spans="1:20">
      <c r="A23" s="22" t="s">
        <v>100</v>
      </c>
      <c r="B23" s="23"/>
      <c r="H23" s="22" t="str">
        <f t="shared" si="5"/>
        <v/>
      </c>
      <c r="J23" s="31"/>
      <c r="K23" s="24" t="str">
        <f t="shared" si="4"/>
        <v/>
      </c>
      <c r="M23" s="23"/>
      <c r="N23" s="4"/>
      <c r="P23" s="22"/>
      <c r="R23" s="24" t="str">
        <f t="shared" si="7"/>
        <v/>
      </c>
      <c r="S23" s="24" t="str">
        <f t="shared" si="8"/>
        <v/>
      </c>
      <c r="T23" t="str">
        <f t="shared" si="6"/>
        <v/>
      </c>
    </row>
    <row r="24" spans="1:20">
      <c r="A24" s="22" t="s">
        <v>101</v>
      </c>
      <c r="B24" s="23"/>
      <c r="H24" s="22" t="str">
        <f t="shared" si="5"/>
        <v/>
      </c>
      <c r="J24" s="31"/>
      <c r="K24" s="24" t="str">
        <f t="shared" si="4"/>
        <v/>
      </c>
      <c r="M24" s="23"/>
      <c r="N24" s="4"/>
      <c r="P24" s="22"/>
      <c r="R24" s="24" t="str">
        <f t="shared" si="7"/>
        <v/>
      </c>
      <c r="S24" s="24" t="str">
        <f t="shared" si="8"/>
        <v/>
      </c>
      <c r="T24" t="str">
        <f t="shared" si="6"/>
        <v/>
      </c>
    </row>
    <row r="25" spans="1:20">
      <c r="A25" s="22" t="s">
        <v>102</v>
      </c>
      <c r="B25" s="23"/>
      <c r="H25" s="22" t="str">
        <f t="shared" si="5"/>
        <v/>
      </c>
      <c r="J25" s="31"/>
      <c r="K25" s="24" t="str">
        <f t="shared" si="4"/>
        <v/>
      </c>
      <c r="M25" s="23"/>
      <c r="N25" s="4"/>
      <c r="P25" s="22"/>
      <c r="R25" s="24" t="str">
        <f t="shared" si="7"/>
        <v/>
      </c>
      <c r="S25" s="24" t="str">
        <f t="shared" si="8"/>
        <v/>
      </c>
      <c r="T25" t="str">
        <f t="shared" si="6"/>
        <v/>
      </c>
    </row>
    <row r="26" spans="1:20">
      <c r="A26" s="22" t="s">
        <v>103</v>
      </c>
      <c r="B26" s="23"/>
      <c r="H26" s="22" t="str">
        <f t="shared" si="5"/>
        <v/>
      </c>
      <c r="J26" s="31"/>
      <c r="K26" s="24" t="str">
        <f t="shared" si="4"/>
        <v/>
      </c>
      <c r="M26" s="23"/>
      <c r="N26" s="4"/>
      <c r="P26" s="22"/>
      <c r="R26" s="24" t="str">
        <f t="shared" si="7"/>
        <v/>
      </c>
      <c r="S26" s="24" t="str">
        <f t="shared" si="8"/>
        <v/>
      </c>
      <c r="T26" t="str">
        <f t="shared" si="6"/>
        <v/>
      </c>
    </row>
    <row r="27" spans="1:20">
      <c r="A27" s="22" t="s">
        <v>104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P27" s="22"/>
      <c r="R27" s="24" t="str">
        <f t="shared" si="7"/>
        <v/>
      </c>
      <c r="S27" s="24" t="str">
        <f t="shared" si="8"/>
        <v/>
      </c>
      <c r="T27" t="str">
        <f t="shared" si="6"/>
        <v/>
      </c>
    </row>
    <row r="28" spans="1:20">
      <c r="A28" s="22" t="s">
        <v>105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P28" s="22"/>
      <c r="R28" s="24" t="str">
        <f t="shared" si="7"/>
        <v/>
      </c>
      <c r="S28" s="24" t="str">
        <f t="shared" si="8"/>
        <v/>
      </c>
      <c r="T28" t="str">
        <f t="shared" si="6"/>
        <v/>
      </c>
    </row>
    <row r="29" spans="1:20">
      <c r="A29" s="22" t="s">
        <v>106</v>
      </c>
      <c r="B29" s="23"/>
      <c r="H29" s="22" t="str">
        <f t="shared" si="5"/>
        <v/>
      </c>
      <c r="J29" s="31"/>
      <c r="K29" s="24" t="str">
        <f t="shared" si="4"/>
        <v/>
      </c>
      <c r="M29" s="23"/>
      <c r="N29" s="4"/>
      <c r="P29" s="22"/>
      <c r="R29" s="24" t="str">
        <f t="shared" si="7"/>
        <v/>
      </c>
      <c r="S29" s="24" t="str">
        <f t="shared" si="8"/>
        <v/>
      </c>
      <c r="T29" t="str">
        <f t="shared" si="6"/>
        <v/>
      </c>
    </row>
    <row r="30" spans="1:20">
      <c r="A30" s="22" t="s">
        <v>107</v>
      </c>
      <c r="B30" s="23"/>
      <c r="H30" s="22" t="str">
        <f t="shared" si="5"/>
        <v/>
      </c>
      <c r="J30" s="31"/>
      <c r="K30" s="24" t="str">
        <f t="shared" si="4"/>
        <v/>
      </c>
      <c r="M30" s="23"/>
      <c r="N30" s="4"/>
      <c r="P30" s="22"/>
      <c r="R30" s="24" t="str">
        <f t="shared" si="7"/>
        <v/>
      </c>
      <c r="S30" s="24" t="str">
        <f t="shared" si="8"/>
        <v/>
      </c>
      <c r="T30" t="str">
        <f t="shared" si="6"/>
        <v/>
      </c>
    </row>
    <row r="31" spans="1:20">
      <c r="A31" s="22" t="s">
        <v>108</v>
      </c>
      <c r="B31" s="23"/>
      <c r="H31" s="22" t="str">
        <f t="shared" si="5"/>
        <v/>
      </c>
      <c r="J31" s="31"/>
      <c r="K31" s="24" t="str">
        <f t="shared" si="4"/>
        <v/>
      </c>
      <c r="M31" s="23"/>
      <c r="N31" s="4"/>
      <c r="P31" s="22"/>
      <c r="R31" s="24" t="str">
        <f t="shared" si="7"/>
        <v/>
      </c>
      <c r="S31" s="24" t="str">
        <f t="shared" si="8"/>
        <v/>
      </c>
      <c r="T31" t="str">
        <f t="shared" si="6"/>
        <v/>
      </c>
    </row>
    <row r="32" spans="1:20">
      <c r="A32" s="22" t="s">
        <v>109</v>
      </c>
      <c r="B32" s="23"/>
      <c r="H32" s="22" t="str">
        <f t="shared" si="5"/>
        <v/>
      </c>
      <c r="J32" s="31"/>
      <c r="K32" s="24" t="str">
        <f t="shared" si="4"/>
        <v/>
      </c>
      <c r="M32" s="23"/>
      <c r="N32" s="4"/>
      <c r="P32" s="22"/>
      <c r="R32" s="24" t="str">
        <f t="shared" si="7"/>
        <v/>
      </c>
      <c r="S32" s="24" t="str">
        <f t="shared" si="8"/>
        <v/>
      </c>
      <c r="T32" t="str">
        <f t="shared" si="6"/>
        <v/>
      </c>
    </row>
    <row r="33" spans="1:20">
      <c r="A33" s="22" t="s">
        <v>110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24" t="str">
        <f t="shared" si="4"/>
        <v/>
      </c>
      <c r="L33" s="5"/>
      <c r="M33" s="5"/>
      <c r="N33" s="5"/>
      <c r="O33" s="5"/>
      <c r="P33" s="22"/>
      <c r="Q33" s="5"/>
      <c r="R33" s="24" t="str">
        <f t="shared" si="7"/>
        <v/>
      </c>
      <c r="S33" s="24" t="str">
        <f t="shared" si="8"/>
        <v/>
      </c>
      <c r="T33" t="str">
        <f t="shared" si="6"/>
        <v/>
      </c>
    </row>
    <row r="34" spans="1:20">
      <c r="A34" s="22" t="s">
        <v>111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24" t="str">
        <f t="shared" si="4"/>
        <v/>
      </c>
      <c r="L34" s="5"/>
      <c r="M34" s="5"/>
      <c r="N34" s="5"/>
      <c r="O34" s="5"/>
      <c r="P34" s="22"/>
      <c r="Q34" s="5"/>
      <c r="R34" s="24" t="str">
        <f t="shared" si="7"/>
        <v/>
      </c>
      <c r="S34" s="24" t="str">
        <f t="shared" si="8"/>
        <v/>
      </c>
      <c r="T34" t="str">
        <f t="shared" si="6"/>
        <v/>
      </c>
    </row>
    <row r="35" spans="1:20">
      <c r="A35" s="22" t="s">
        <v>112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24" t="str">
        <f t="shared" si="4"/>
        <v/>
      </c>
      <c r="L35" s="5"/>
      <c r="M35" s="5"/>
      <c r="N35" s="5"/>
      <c r="O35" s="5"/>
      <c r="P35" s="22"/>
      <c r="Q35" s="5"/>
      <c r="R35" s="24" t="str">
        <f t="shared" si="7"/>
        <v/>
      </c>
      <c r="S35" s="24" t="str">
        <f t="shared" si="8"/>
        <v/>
      </c>
      <c r="T35" t="str">
        <f t="shared" si="6"/>
        <v/>
      </c>
    </row>
    <row r="36" spans="1:20">
      <c r="A36" s="22" t="s">
        <v>113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24" t="str">
        <f t="shared" si="4"/>
        <v/>
      </c>
      <c r="L36" s="5"/>
      <c r="M36" s="5"/>
      <c r="N36" s="5"/>
      <c r="O36" s="5"/>
      <c r="P36" s="22"/>
      <c r="Q36" s="5"/>
      <c r="R36" s="24" t="str">
        <f t="shared" si="7"/>
        <v/>
      </c>
      <c r="S36" s="24" t="str">
        <f t="shared" si="8"/>
        <v/>
      </c>
      <c r="T36" t="str">
        <f t="shared" si="6"/>
        <v/>
      </c>
    </row>
    <row r="37" spans="1:20">
      <c r="A37" s="22" t="s">
        <v>114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24" t="str">
        <f t="shared" si="4"/>
        <v/>
      </c>
      <c r="L37" s="5"/>
      <c r="M37" s="5"/>
      <c r="N37" s="5"/>
      <c r="O37" s="5"/>
      <c r="P37" s="22"/>
      <c r="Q37" s="5"/>
      <c r="R37" s="24" t="str">
        <f t="shared" si="7"/>
        <v/>
      </c>
      <c r="S37" s="24" t="str">
        <f t="shared" si="8"/>
        <v/>
      </c>
      <c r="T37" t="str">
        <f t="shared" si="6"/>
        <v/>
      </c>
    </row>
    <row r="38" spans="1:20">
      <c r="A38" s="22" t="s">
        <v>115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24" t="str">
        <f t="shared" si="4"/>
        <v/>
      </c>
      <c r="L38" s="5"/>
      <c r="M38" s="5"/>
      <c r="N38" s="5"/>
      <c r="O38" s="5"/>
      <c r="P38" s="22"/>
      <c r="Q38" s="5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116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24" t="str">
        <f t="shared" si="4"/>
        <v/>
      </c>
      <c r="L39" s="5"/>
      <c r="M39" s="5"/>
      <c r="N39" s="5"/>
      <c r="O39" s="5"/>
      <c r="P39" s="22"/>
      <c r="Q39" s="5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117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24" t="str">
        <f t="shared" si="4"/>
        <v/>
      </c>
      <c r="L40" s="5"/>
      <c r="M40" s="5"/>
      <c r="N40" s="5"/>
      <c r="O40" s="5"/>
      <c r="P40" s="22"/>
      <c r="Q40" s="5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118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24" t="str">
        <f t="shared" si="4"/>
        <v/>
      </c>
      <c r="L41" s="5"/>
      <c r="M41" s="5"/>
      <c r="N41" s="5"/>
      <c r="O41" s="5"/>
      <c r="P41" s="22"/>
      <c r="Q41" s="5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119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24" t="str">
        <f t="shared" si="4"/>
        <v/>
      </c>
      <c r="L42" s="5"/>
      <c r="M42" s="5"/>
      <c r="N42" s="5"/>
      <c r="O42" s="5"/>
      <c r="P42" s="22"/>
      <c r="Q42" s="5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120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24" t="str">
        <f t="shared" si="4"/>
        <v/>
      </c>
      <c r="L43" s="5"/>
      <c r="M43" s="5"/>
      <c r="N43" s="5"/>
      <c r="O43" s="5"/>
      <c r="P43" s="22"/>
      <c r="Q43" s="5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121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24" t="str">
        <f t="shared" si="4"/>
        <v/>
      </c>
      <c r="L44" s="5"/>
      <c r="M44" s="5"/>
      <c r="N44" s="5"/>
      <c r="O44" s="5"/>
      <c r="P44" s="22"/>
      <c r="Q44" s="5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122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24" t="str">
        <f t="shared" si="4"/>
        <v/>
      </c>
      <c r="L45" s="5"/>
      <c r="M45" s="5"/>
      <c r="N45" s="5"/>
      <c r="O45" s="5"/>
      <c r="P45" s="22"/>
      <c r="Q45" s="5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123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24" t="str">
        <f t="shared" si="4"/>
        <v/>
      </c>
      <c r="L46" s="5"/>
      <c r="M46" s="5"/>
      <c r="N46" s="5"/>
      <c r="O46" s="5"/>
      <c r="P46" s="22"/>
      <c r="Q46" s="5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124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24" t="str">
        <f t="shared" si="4"/>
        <v/>
      </c>
      <c r="L47" s="5"/>
      <c r="M47" s="5"/>
      <c r="N47" s="5"/>
      <c r="O47" s="5"/>
      <c r="P47" s="5"/>
      <c r="Q47" s="5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125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24" t="str">
        <f t="shared" si="4"/>
        <v/>
      </c>
      <c r="L48" s="5"/>
      <c r="M48" s="5"/>
      <c r="N48" s="5"/>
      <c r="O48" s="5"/>
      <c r="P48" s="5"/>
      <c r="Q48" s="5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126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24" t="str">
        <f t="shared" si="4"/>
        <v/>
      </c>
      <c r="L49" s="5"/>
      <c r="M49" s="5"/>
      <c r="N49" s="5"/>
      <c r="O49" s="5"/>
      <c r="P49" s="5"/>
      <c r="Q49" s="5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127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5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128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5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129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5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130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5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131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5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132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5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133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5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134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5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135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5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136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5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137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5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138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5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139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5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140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5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141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5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142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5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143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5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144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5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145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5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146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5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147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5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148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5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149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5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150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5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151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5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152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5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153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5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154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5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155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5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156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5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157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5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158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5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159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5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160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5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161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5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162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5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163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5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164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5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165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5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166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5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167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5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168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5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169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5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170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5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171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5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172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5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173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5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174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5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175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5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176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5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177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5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178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5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179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5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180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5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181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5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182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5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183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5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184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5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185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5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186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5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187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5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188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5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189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5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190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5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191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5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192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5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193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5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194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5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195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5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196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5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197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5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198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5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199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5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200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5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201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5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202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5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203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5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204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5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205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5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206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5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207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5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208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5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209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5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210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5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211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5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212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5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213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5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214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5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215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5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216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5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217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5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218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5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219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5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220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5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221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5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222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5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223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5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224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5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225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5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226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5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227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5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228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5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229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5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230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5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231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5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232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5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233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5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234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5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235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5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236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5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237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5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238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5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239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5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240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5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241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5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242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5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243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5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244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5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245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5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246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5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247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5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248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5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249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5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250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5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251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5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252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5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253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5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254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5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255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5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256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5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257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5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258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5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259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5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260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5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261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5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262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5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263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5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264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5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265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5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266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5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267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5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268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5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269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5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270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5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271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5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272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5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273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5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274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5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275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5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276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5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277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5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278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5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279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5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280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5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281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5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282</v>
      </c>
      <c r="H205" s="22" t="str">
        <f t="shared" si="16"/>
        <v/>
      </c>
      <c r="J205" s="32"/>
      <c r="K205" s="24" t="str">
        <f t="shared" si="19"/>
        <v/>
      </c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283</v>
      </c>
      <c r="H206" s="22" t="str">
        <f t="shared" si="16"/>
        <v/>
      </c>
      <c r="J206" s="32"/>
      <c r="K206" s="24" t="str">
        <f t="shared" si="19"/>
        <v/>
      </c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284</v>
      </c>
      <c r="H207" s="22" t="str">
        <f t="shared" si="16"/>
        <v/>
      </c>
      <c r="J207" s="32"/>
      <c r="K207" s="24" t="str">
        <f t="shared" si="19"/>
        <v/>
      </c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285</v>
      </c>
      <c r="H208" s="22" t="str">
        <f t="shared" ref="H208:H271" si="21">+T208</f>
        <v/>
      </c>
      <c r="J208" s="32"/>
      <c r="K208" s="24" t="str">
        <f t="shared" si="19"/>
        <v/>
      </c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286</v>
      </c>
      <c r="H209" s="22" t="str">
        <f t="shared" si="21"/>
        <v/>
      </c>
      <c r="J209" s="32"/>
      <c r="K209" s="24" t="str">
        <f t="shared" si="19"/>
        <v/>
      </c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287</v>
      </c>
      <c r="H210" s="22" t="str">
        <f t="shared" si="21"/>
        <v/>
      </c>
      <c r="J210" s="32"/>
      <c r="K210" s="24" t="str">
        <f t="shared" si="19"/>
        <v/>
      </c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288</v>
      </c>
      <c r="H211" s="22" t="str">
        <f t="shared" si="21"/>
        <v/>
      </c>
      <c r="J211" s="32"/>
      <c r="K211" s="24" t="str">
        <f t="shared" si="19"/>
        <v/>
      </c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289</v>
      </c>
      <c r="H212" s="22" t="str">
        <f t="shared" si="21"/>
        <v/>
      </c>
      <c r="J212" s="32"/>
      <c r="K212" s="24" t="str">
        <f t="shared" si="19"/>
        <v/>
      </c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290</v>
      </c>
      <c r="H213" s="22" t="str">
        <f t="shared" si="21"/>
        <v/>
      </c>
      <c r="J213" s="32"/>
      <c r="K213" s="24" t="str">
        <f t="shared" si="19"/>
        <v/>
      </c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291</v>
      </c>
      <c r="H214" s="22" t="str">
        <f t="shared" si="21"/>
        <v/>
      </c>
      <c r="J214" s="32"/>
      <c r="K214" s="24" t="str">
        <f t="shared" si="19"/>
        <v/>
      </c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292</v>
      </c>
      <c r="H215" s="22" t="str">
        <f t="shared" si="21"/>
        <v/>
      </c>
      <c r="J215" s="32"/>
      <c r="K215" s="24" t="str">
        <f t="shared" si="19"/>
        <v/>
      </c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293</v>
      </c>
      <c r="H216" s="22" t="str">
        <f t="shared" si="21"/>
        <v/>
      </c>
      <c r="J216" s="32"/>
      <c r="K216" s="24" t="str">
        <f t="shared" si="19"/>
        <v/>
      </c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294</v>
      </c>
      <c r="H217" s="22" t="str">
        <f t="shared" si="21"/>
        <v/>
      </c>
      <c r="J217" s="32"/>
      <c r="K217" s="24" t="str">
        <f t="shared" si="19"/>
        <v/>
      </c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295</v>
      </c>
      <c r="H218" s="22" t="str">
        <f t="shared" si="21"/>
        <v/>
      </c>
      <c r="J218" s="32"/>
      <c r="K218" s="24" t="str">
        <f t="shared" si="19"/>
        <v/>
      </c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296</v>
      </c>
      <c r="H219" s="22" t="str">
        <f t="shared" si="21"/>
        <v/>
      </c>
      <c r="J219" s="32"/>
      <c r="K219" s="24" t="str">
        <f t="shared" si="19"/>
        <v/>
      </c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297</v>
      </c>
      <c r="H220" s="22" t="str">
        <f t="shared" si="21"/>
        <v/>
      </c>
      <c r="J220" s="32"/>
      <c r="K220" s="24" t="str">
        <f t="shared" si="19"/>
        <v/>
      </c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298</v>
      </c>
      <c r="H221" s="22" t="str">
        <f t="shared" si="21"/>
        <v/>
      </c>
      <c r="J221" s="32"/>
      <c r="K221" s="24" t="str">
        <f t="shared" si="19"/>
        <v/>
      </c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299</v>
      </c>
      <c r="H222" s="22" t="str">
        <f t="shared" si="21"/>
        <v/>
      </c>
      <c r="J222" s="32"/>
      <c r="K222" s="24" t="str">
        <f t="shared" si="19"/>
        <v/>
      </c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300</v>
      </c>
      <c r="H223" s="22" t="str">
        <f t="shared" si="21"/>
        <v/>
      </c>
      <c r="J223" s="32"/>
      <c r="K223" s="24" t="str">
        <f t="shared" si="19"/>
        <v/>
      </c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301</v>
      </c>
      <c r="H224" s="22" t="str">
        <f t="shared" si="21"/>
        <v/>
      </c>
      <c r="J224" s="32"/>
      <c r="K224" s="24" t="str">
        <f t="shared" si="19"/>
        <v/>
      </c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302</v>
      </c>
      <c r="H225" s="22" t="str">
        <f t="shared" si="21"/>
        <v/>
      </c>
      <c r="J225" s="32"/>
      <c r="K225" s="24" t="str">
        <f t="shared" si="19"/>
        <v/>
      </c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303</v>
      </c>
      <c r="H226" s="22" t="str">
        <f t="shared" si="21"/>
        <v/>
      </c>
      <c r="J226" s="32"/>
      <c r="K226" s="24" t="str">
        <f t="shared" si="19"/>
        <v/>
      </c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304</v>
      </c>
      <c r="H227" s="22" t="str">
        <f t="shared" si="21"/>
        <v/>
      </c>
      <c r="J227" s="32"/>
      <c r="K227" s="24" t="str">
        <f t="shared" si="19"/>
        <v/>
      </c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305</v>
      </c>
      <c r="H228" s="22" t="str">
        <f t="shared" si="21"/>
        <v/>
      </c>
      <c r="J228" s="32"/>
      <c r="K228" s="24" t="str">
        <f t="shared" si="19"/>
        <v/>
      </c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306</v>
      </c>
      <c r="H229" s="22" t="str">
        <f t="shared" si="21"/>
        <v/>
      </c>
      <c r="J229" s="32"/>
      <c r="K229" s="24" t="str">
        <f t="shared" si="19"/>
        <v/>
      </c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307</v>
      </c>
      <c r="H230" s="22" t="str">
        <f t="shared" si="21"/>
        <v/>
      </c>
      <c r="J230" s="32"/>
      <c r="K230" s="24" t="str">
        <f t="shared" si="19"/>
        <v/>
      </c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308</v>
      </c>
      <c r="H231" s="22" t="str">
        <f t="shared" si="21"/>
        <v/>
      </c>
      <c r="J231" s="32"/>
      <c r="K231" s="24" t="str">
        <f t="shared" si="19"/>
        <v/>
      </c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309</v>
      </c>
      <c r="H232" s="22" t="str">
        <f t="shared" si="21"/>
        <v/>
      </c>
      <c r="J232" s="32"/>
      <c r="K232" s="24" t="str">
        <f t="shared" si="19"/>
        <v/>
      </c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310</v>
      </c>
      <c r="H233" s="22" t="str">
        <f t="shared" si="21"/>
        <v/>
      </c>
      <c r="J233" s="32"/>
      <c r="K233" s="24" t="str">
        <f t="shared" si="19"/>
        <v/>
      </c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311</v>
      </c>
      <c r="H234" s="22" t="str">
        <f t="shared" si="21"/>
        <v/>
      </c>
      <c r="J234" s="32"/>
      <c r="K234" s="24" t="str">
        <f t="shared" si="19"/>
        <v/>
      </c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312</v>
      </c>
      <c r="H235" s="22" t="str">
        <f t="shared" si="21"/>
        <v/>
      </c>
      <c r="J235" s="32"/>
      <c r="K235" s="24" t="str">
        <f t="shared" si="19"/>
        <v/>
      </c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313</v>
      </c>
      <c r="H236" s="22" t="str">
        <f t="shared" si="21"/>
        <v/>
      </c>
      <c r="J236" s="32"/>
      <c r="K236" s="24" t="str">
        <f t="shared" si="19"/>
        <v/>
      </c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314</v>
      </c>
      <c r="H237" s="22" t="str">
        <f t="shared" si="21"/>
        <v/>
      </c>
      <c r="J237" s="32"/>
      <c r="K237" s="24" t="str">
        <f t="shared" si="19"/>
        <v/>
      </c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315</v>
      </c>
      <c r="H238" s="22" t="str">
        <f t="shared" si="21"/>
        <v/>
      </c>
      <c r="J238" s="32"/>
      <c r="K238" s="24" t="str">
        <f t="shared" si="19"/>
        <v/>
      </c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316</v>
      </c>
      <c r="H239" s="22" t="str">
        <f t="shared" si="21"/>
        <v/>
      </c>
      <c r="J239" s="32"/>
      <c r="K239" s="24" t="str">
        <f t="shared" si="19"/>
        <v/>
      </c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317</v>
      </c>
      <c r="H240" s="22" t="str">
        <f t="shared" si="21"/>
        <v/>
      </c>
      <c r="J240" s="32"/>
      <c r="K240" s="24" t="str">
        <f t="shared" si="19"/>
        <v/>
      </c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318</v>
      </c>
      <c r="H241" s="22" t="str">
        <f t="shared" si="21"/>
        <v/>
      </c>
      <c r="J241" s="32"/>
      <c r="K241" s="24" t="str">
        <f t="shared" si="19"/>
        <v/>
      </c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319</v>
      </c>
      <c r="H242" s="22" t="str">
        <f t="shared" si="21"/>
        <v/>
      </c>
      <c r="J242" s="32"/>
      <c r="K242" s="24" t="str">
        <f t="shared" si="19"/>
        <v/>
      </c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320</v>
      </c>
      <c r="H243" s="22" t="str">
        <f t="shared" si="21"/>
        <v/>
      </c>
      <c r="J243" s="32"/>
      <c r="K243" s="24" t="str">
        <f t="shared" si="19"/>
        <v/>
      </c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321</v>
      </c>
      <c r="H244" s="22" t="str">
        <f t="shared" si="21"/>
        <v/>
      </c>
      <c r="J244" s="32"/>
      <c r="K244" s="24" t="str">
        <f t="shared" si="19"/>
        <v/>
      </c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322</v>
      </c>
      <c r="H245" s="22" t="str">
        <f t="shared" si="21"/>
        <v/>
      </c>
      <c r="J245" s="32"/>
      <c r="K245" s="24" t="str">
        <f t="shared" si="19"/>
        <v/>
      </c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323</v>
      </c>
      <c r="H246" s="22" t="str">
        <f t="shared" si="21"/>
        <v/>
      </c>
      <c r="J246" s="32"/>
      <c r="K246" s="24" t="str">
        <f t="shared" si="19"/>
        <v/>
      </c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324</v>
      </c>
      <c r="H247" s="22" t="str">
        <f t="shared" si="21"/>
        <v/>
      </c>
      <c r="J247" s="32"/>
      <c r="K247" s="24" t="str">
        <f t="shared" si="19"/>
        <v/>
      </c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325</v>
      </c>
      <c r="H248" s="22" t="str">
        <f t="shared" si="21"/>
        <v/>
      </c>
      <c r="J248" s="32"/>
      <c r="K248" s="24" t="str">
        <f t="shared" si="19"/>
        <v/>
      </c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326</v>
      </c>
      <c r="H249" s="22" t="str">
        <f t="shared" si="21"/>
        <v/>
      </c>
      <c r="J249" s="32"/>
      <c r="K249" s="24" t="str">
        <f t="shared" si="19"/>
        <v/>
      </c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327</v>
      </c>
      <c r="H250" s="22" t="str">
        <f t="shared" si="21"/>
        <v/>
      </c>
      <c r="J250" s="32"/>
      <c r="K250" s="24" t="str">
        <f t="shared" si="19"/>
        <v/>
      </c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328</v>
      </c>
      <c r="H251" s="22" t="str">
        <f t="shared" si="21"/>
        <v/>
      </c>
      <c r="J251" s="32"/>
      <c r="K251" s="24" t="str">
        <f t="shared" si="19"/>
        <v/>
      </c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329</v>
      </c>
      <c r="H252" s="22" t="str">
        <f t="shared" si="21"/>
        <v/>
      </c>
      <c r="J252" s="32"/>
      <c r="K252" s="24" t="str">
        <f t="shared" si="19"/>
        <v/>
      </c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330</v>
      </c>
      <c r="H253" s="22" t="str">
        <f t="shared" si="21"/>
        <v/>
      </c>
      <c r="J253" s="32"/>
      <c r="K253" s="24" t="str">
        <f t="shared" si="19"/>
        <v/>
      </c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331</v>
      </c>
      <c r="H254" s="22" t="str">
        <f t="shared" si="21"/>
        <v/>
      </c>
      <c r="J254" s="32"/>
      <c r="K254" s="24" t="str">
        <f t="shared" si="19"/>
        <v/>
      </c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332</v>
      </c>
      <c r="H255" s="22" t="str">
        <f t="shared" si="21"/>
        <v/>
      </c>
      <c r="J255" s="32"/>
      <c r="K255" s="24" t="str">
        <f t="shared" si="19"/>
        <v/>
      </c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333</v>
      </c>
      <c r="H256" s="22" t="str">
        <f t="shared" si="21"/>
        <v/>
      </c>
      <c r="J256" s="32"/>
      <c r="K256" s="24" t="str">
        <f t="shared" si="19"/>
        <v/>
      </c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334</v>
      </c>
      <c r="H257" s="22" t="str">
        <f t="shared" si="21"/>
        <v/>
      </c>
      <c r="J257" s="32"/>
      <c r="K257" s="24" t="str">
        <f t="shared" si="19"/>
        <v/>
      </c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335</v>
      </c>
      <c r="H258" s="22" t="str">
        <f t="shared" si="21"/>
        <v/>
      </c>
      <c r="J258" s="32"/>
      <c r="K258" s="24" t="str">
        <f t="shared" si="19"/>
        <v/>
      </c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336</v>
      </c>
      <c r="H259" s="22" t="str">
        <f t="shared" si="21"/>
        <v/>
      </c>
      <c r="J259" s="32"/>
      <c r="K259" s="24" t="str">
        <f t="shared" si="19"/>
        <v/>
      </c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337</v>
      </c>
      <c r="H260" s="22" t="str">
        <f t="shared" si="21"/>
        <v/>
      </c>
      <c r="J260" s="32"/>
      <c r="K260" s="24" t="str">
        <f t="shared" si="19"/>
        <v/>
      </c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338</v>
      </c>
      <c r="H261" s="22" t="str">
        <f t="shared" si="21"/>
        <v/>
      </c>
      <c r="J261" s="32"/>
      <c r="K261" s="24" t="str">
        <f t="shared" si="19"/>
        <v/>
      </c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339</v>
      </c>
      <c r="H262" s="22" t="str">
        <f t="shared" si="21"/>
        <v/>
      </c>
      <c r="J262" s="32"/>
      <c r="K262" s="24" t="str">
        <f t="shared" si="19"/>
        <v/>
      </c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340</v>
      </c>
      <c r="H263" s="22" t="str">
        <f t="shared" si="21"/>
        <v/>
      </c>
      <c r="J263" s="32"/>
      <c r="K263" s="24" t="str">
        <f t="shared" si="19"/>
        <v/>
      </c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341</v>
      </c>
      <c r="H264" s="22" t="str">
        <f t="shared" si="21"/>
        <v/>
      </c>
      <c r="J264" s="32"/>
      <c r="K264" s="24" t="str">
        <f t="shared" si="19"/>
        <v/>
      </c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342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343</v>
      </c>
      <c r="H266" s="22" t="str">
        <f t="shared" si="21"/>
        <v/>
      </c>
      <c r="J266" s="32"/>
      <c r="K266" s="24" t="str">
        <f t="shared" si="24"/>
        <v/>
      </c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344</v>
      </c>
      <c r="H267" s="22" t="str">
        <f t="shared" si="21"/>
        <v/>
      </c>
      <c r="J267" s="32"/>
      <c r="K267" s="24" t="str">
        <f t="shared" si="24"/>
        <v/>
      </c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345</v>
      </c>
      <c r="H268" s="22" t="str">
        <f t="shared" si="21"/>
        <v/>
      </c>
      <c r="J268" s="32"/>
      <c r="K268" s="24" t="str">
        <f t="shared" si="24"/>
        <v/>
      </c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346</v>
      </c>
      <c r="H269" s="22" t="str">
        <f t="shared" si="21"/>
        <v/>
      </c>
      <c r="J269" s="32"/>
      <c r="K269" s="24" t="str">
        <f t="shared" si="24"/>
        <v/>
      </c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347</v>
      </c>
      <c r="H270" s="22" t="str">
        <f t="shared" si="21"/>
        <v/>
      </c>
      <c r="J270" s="32"/>
      <c r="K270" s="24" t="str">
        <f t="shared" si="24"/>
        <v/>
      </c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348</v>
      </c>
      <c r="H271" s="22" t="str">
        <f t="shared" si="21"/>
        <v/>
      </c>
      <c r="J271" s="32"/>
      <c r="K271" s="24" t="str">
        <f t="shared" si="24"/>
        <v/>
      </c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349</v>
      </c>
      <c r="H272" s="22" t="str">
        <f t="shared" ref="H272:H335" si="26">+T272</f>
        <v/>
      </c>
      <c r="J272" s="32"/>
      <c r="K272" s="24" t="str">
        <f t="shared" si="24"/>
        <v/>
      </c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350</v>
      </c>
      <c r="H273" s="22" t="str">
        <f t="shared" si="26"/>
        <v/>
      </c>
      <c r="J273" s="32"/>
      <c r="K273" s="24" t="str">
        <f t="shared" si="24"/>
        <v/>
      </c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351</v>
      </c>
      <c r="H274" s="22" t="str">
        <f t="shared" si="26"/>
        <v/>
      </c>
      <c r="J274" s="32"/>
      <c r="K274" s="24" t="str">
        <f t="shared" si="24"/>
        <v/>
      </c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352</v>
      </c>
      <c r="H275" s="22" t="str">
        <f t="shared" si="26"/>
        <v/>
      </c>
      <c r="J275" s="32"/>
      <c r="K275" s="24" t="str">
        <f t="shared" si="24"/>
        <v/>
      </c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353</v>
      </c>
      <c r="H276" s="22" t="str">
        <f t="shared" si="26"/>
        <v/>
      </c>
      <c r="J276" s="32"/>
      <c r="K276" s="24" t="str">
        <f t="shared" si="24"/>
        <v/>
      </c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354</v>
      </c>
      <c r="H277" s="22" t="str">
        <f t="shared" si="26"/>
        <v/>
      </c>
      <c r="J277" s="32"/>
      <c r="K277" s="24" t="str">
        <f t="shared" si="24"/>
        <v/>
      </c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355</v>
      </c>
      <c r="H278" s="22" t="str">
        <f t="shared" si="26"/>
        <v/>
      </c>
      <c r="J278" s="32"/>
      <c r="K278" s="24" t="str">
        <f t="shared" si="24"/>
        <v/>
      </c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356</v>
      </c>
      <c r="H279" s="22" t="str">
        <f t="shared" si="26"/>
        <v/>
      </c>
      <c r="J279" s="32"/>
      <c r="K279" s="24" t="str">
        <f t="shared" si="24"/>
        <v/>
      </c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357</v>
      </c>
      <c r="H280" s="22" t="str">
        <f t="shared" si="26"/>
        <v/>
      </c>
      <c r="J280" s="32"/>
      <c r="K280" s="24" t="str">
        <f t="shared" si="24"/>
        <v/>
      </c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358</v>
      </c>
      <c r="H281" s="22" t="str">
        <f t="shared" si="26"/>
        <v/>
      </c>
      <c r="J281" s="32"/>
      <c r="K281" s="24" t="str">
        <f t="shared" si="24"/>
        <v/>
      </c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359</v>
      </c>
      <c r="H282" s="22" t="str">
        <f t="shared" si="26"/>
        <v/>
      </c>
      <c r="J282" s="32"/>
      <c r="K282" s="24" t="str">
        <f t="shared" si="24"/>
        <v/>
      </c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360</v>
      </c>
      <c r="H283" s="22" t="str">
        <f t="shared" si="26"/>
        <v/>
      </c>
      <c r="J283" s="32"/>
      <c r="K283" s="24" t="str">
        <f t="shared" si="24"/>
        <v/>
      </c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361</v>
      </c>
      <c r="H284" s="22" t="str">
        <f t="shared" si="26"/>
        <v/>
      </c>
      <c r="J284" s="32"/>
      <c r="K284" s="24" t="str">
        <f t="shared" si="24"/>
        <v/>
      </c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362</v>
      </c>
      <c r="H285" s="22" t="str">
        <f t="shared" si="26"/>
        <v/>
      </c>
      <c r="J285" s="32"/>
      <c r="K285" s="24" t="str">
        <f t="shared" si="24"/>
        <v/>
      </c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363</v>
      </c>
      <c r="H286" s="22" t="str">
        <f t="shared" si="26"/>
        <v/>
      </c>
      <c r="J286" s="32"/>
      <c r="K286" s="24" t="str">
        <f t="shared" si="24"/>
        <v/>
      </c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364</v>
      </c>
      <c r="H287" s="22" t="str">
        <f t="shared" si="26"/>
        <v/>
      </c>
      <c r="J287" s="32"/>
      <c r="K287" s="24" t="str">
        <f t="shared" si="24"/>
        <v/>
      </c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365</v>
      </c>
      <c r="H288" s="22" t="str">
        <f t="shared" si="26"/>
        <v/>
      </c>
      <c r="J288" s="32"/>
      <c r="K288" s="24" t="str">
        <f t="shared" si="24"/>
        <v/>
      </c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366</v>
      </c>
      <c r="H289" s="22" t="str">
        <f t="shared" si="26"/>
        <v/>
      </c>
      <c r="J289" s="32"/>
      <c r="K289" s="24" t="str">
        <f t="shared" si="24"/>
        <v/>
      </c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367</v>
      </c>
      <c r="H290" s="22" t="str">
        <f t="shared" si="26"/>
        <v/>
      </c>
      <c r="J290" s="32"/>
      <c r="K290" s="24" t="str">
        <f t="shared" si="24"/>
        <v/>
      </c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368</v>
      </c>
      <c r="H291" s="22" t="str">
        <f t="shared" si="26"/>
        <v/>
      </c>
      <c r="J291" s="32"/>
      <c r="K291" s="24" t="str">
        <f t="shared" si="24"/>
        <v/>
      </c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369</v>
      </c>
      <c r="H292" s="22" t="str">
        <f t="shared" si="26"/>
        <v/>
      </c>
      <c r="J292" s="32"/>
      <c r="K292" s="24" t="str">
        <f t="shared" si="24"/>
        <v/>
      </c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370</v>
      </c>
      <c r="H293" s="22" t="str">
        <f t="shared" si="26"/>
        <v/>
      </c>
      <c r="J293" s="32"/>
      <c r="K293" s="24" t="str">
        <f t="shared" si="24"/>
        <v/>
      </c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371</v>
      </c>
      <c r="H294" s="22" t="str">
        <f t="shared" si="26"/>
        <v/>
      </c>
      <c r="J294" s="32"/>
      <c r="K294" s="24" t="str">
        <f t="shared" si="24"/>
        <v/>
      </c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372</v>
      </c>
      <c r="H295" s="22" t="str">
        <f t="shared" si="26"/>
        <v/>
      </c>
      <c r="J295" s="32"/>
      <c r="K295" s="24" t="str">
        <f t="shared" si="24"/>
        <v/>
      </c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373</v>
      </c>
      <c r="H296" s="22" t="str">
        <f t="shared" si="26"/>
        <v/>
      </c>
      <c r="J296" s="32"/>
      <c r="K296" s="24" t="str">
        <f t="shared" si="24"/>
        <v/>
      </c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374</v>
      </c>
      <c r="H297" s="22" t="str">
        <f t="shared" si="26"/>
        <v/>
      </c>
      <c r="J297" s="32"/>
      <c r="K297" s="24" t="str">
        <f t="shared" si="24"/>
        <v/>
      </c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375</v>
      </c>
      <c r="H298" s="22" t="str">
        <f t="shared" si="26"/>
        <v/>
      </c>
      <c r="J298" s="32"/>
      <c r="K298" s="24" t="str">
        <f t="shared" si="24"/>
        <v/>
      </c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376</v>
      </c>
      <c r="H299" s="22" t="str">
        <f t="shared" si="26"/>
        <v/>
      </c>
      <c r="J299" s="32"/>
      <c r="K299" s="24" t="str">
        <f t="shared" si="24"/>
        <v/>
      </c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377</v>
      </c>
      <c r="H300" s="22" t="str">
        <f t="shared" si="26"/>
        <v/>
      </c>
      <c r="J300" s="32"/>
      <c r="K300" s="24" t="str">
        <f t="shared" si="24"/>
        <v/>
      </c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378</v>
      </c>
      <c r="H301" s="22" t="str">
        <f t="shared" si="26"/>
        <v/>
      </c>
      <c r="J301" s="32"/>
      <c r="K301" s="24" t="str">
        <f t="shared" si="24"/>
        <v/>
      </c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379</v>
      </c>
      <c r="H302" s="22" t="str">
        <f t="shared" si="26"/>
        <v/>
      </c>
      <c r="J302" s="32"/>
      <c r="K302" s="24" t="str">
        <f t="shared" si="24"/>
        <v/>
      </c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380</v>
      </c>
      <c r="H303" s="22" t="str">
        <f t="shared" si="26"/>
        <v/>
      </c>
      <c r="J303" s="32"/>
      <c r="K303" s="24" t="str">
        <f t="shared" si="24"/>
        <v/>
      </c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381</v>
      </c>
      <c r="H304" s="22" t="str">
        <f t="shared" si="26"/>
        <v/>
      </c>
      <c r="J304" s="32"/>
      <c r="K304" s="24" t="str">
        <f t="shared" si="24"/>
        <v/>
      </c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382</v>
      </c>
      <c r="H305" s="22" t="str">
        <f t="shared" si="26"/>
        <v/>
      </c>
      <c r="J305" s="32"/>
      <c r="K305" s="24" t="str">
        <f t="shared" si="24"/>
        <v/>
      </c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383</v>
      </c>
      <c r="H306" s="22" t="str">
        <f t="shared" si="26"/>
        <v/>
      </c>
      <c r="J306" s="32"/>
      <c r="K306" s="24" t="str">
        <f t="shared" si="24"/>
        <v/>
      </c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384</v>
      </c>
      <c r="H307" s="22" t="str">
        <f t="shared" si="26"/>
        <v/>
      </c>
      <c r="J307" s="32"/>
      <c r="K307" s="24" t="str">
        <f t="shared" si="24"/>
        <v/>
      </c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385</v>
      </c>
      <c r="H308" s="22" t="str">
        <f t="shared" si="26"/>
        <v/>
      </c>
      <c r="J308" s="32"/>
      <c r="K308" s="24" t="str">
        <f t="shared" si="24"/>
        <v/>
      </c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386</v>
      </c>
      <c r="H309" s="22" t="str">
        <f t="shared" si="26"/>
        <v/>
      </c>
      <c r="J309" s="32"/>
      <c r="K309" s="24" t="str">
        <f t="shared" si="24"/>
        <v/>
      </c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387</v>
      </c>
      <c r="H310" s="22" t="str">
        <f t="shared" si="26"/>
        <v/>
      </c>
      <c r="J310" s="32"/>
      <c r="K310" s="24" t="str">
        <f t="shared" si="24"/>
        <v/>
      </c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388</v>
      </c>
      <c r="H311" s="22" t="str">
        <f t="shared" si="26"/>
        <v/>
      </c>
      <c r="J311" s="32"/>
      <c r="K311" s="24" t="str">
        <f t="shared" si="24"/>
        <v/>
      </c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389</v>
      </c>
      <c r="H312" s="22" t="str">
        <f t="shared" si="26"/>
        <v/>
      </c>
      <c r="J312" s="32"/>
      <c r="K312" s="24" t="str">
        <f t="shared" si="24"/>
        <v/>
      </c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390</v>
      </c>
      <c r="H313" s="22" t="str">
        <f t="shared" si="26"/>
        <v/>
      </c>
      <c r="J313" s="32"/>
      <c r="K313" s="24" t="str">
        <f t="shared" si="24"/>
        <v/>
      </c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391</v>
      </c>
      <c r="H314" s="22" t="str">
        <f t="shared" si="26"/>
        <v/>
      </c>
      <c r="J314" s="32"/>
      <c r="K314" s="24" t="str">
        <f t="shared" si="24"/>
        <v/>
      </c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392</v>
      </c>
      <c r="H315" s="22" t="str">
        <f t="shared" si="26"/>
        <v/>
      </c>
      <c r="J315" s="32"/>
      <c r="K315" s="24" t="str">
        <f t="shared" si="24"/>
        <v/>
      </c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393</v>
      </c>
      <c r="H316" s="22" t="str">
        <f t="shared" si="26"/>
        <v/>
      </c>
      <c r="J316" s="32"/>
      <c r="K316" s="24" t="str">
        <f t="shared" si="24"/>
        <v/>
      </c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394</v>
      </c>
      <c r="H317" s="22" t="str">
        <f t="shared" si="26"/>
        <v/>
      </c>
      <c r="J317" s="32"/>
      <c r="K317" s="24" t="str">
        <f t="shared" si="24"/>
        <v/>
      </c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395</v>
      </c>
      <c r="H318" s="22" t="str">
        <f t="shared" si="26"/>
        <v/>
      </c>
      <c r="J318" s="32"/>
      <c r="K318" s="24" t="str">
        <f t="shared" si="24"/>
        <v/>
      </c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396</v>
      </c>
      <c r="H319" s="22" t="str">
        <f t="shared" si="26"/>
        <v/>
      </c>
      <c r="J319" s="32"/>
      <c r="K319" s="24" t="str">
        <f t="shared" si="24"/>
        <v/>
      </c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397</v>
      </c>
      <c r="H320" s="22" t="str">
        <f t="shared" si="26"/>
        <v/>
      </c>
      <c r="J320" s="32"/>
      <c r="K320" s="24" t="str">
        <f t="shared" si="24"/>
        <v/>
      </c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398</v>
      </c>
      <c r="H321" s="22" t="str">
        <f t="shared" si="26"/>
        <v/>
      </c>
      <c r="J321" s="32"/>
      <c r="K321" s="24" t="str">
        <f t="shared" si="24"/>
        <v/>
      </c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399</v>
      </c>
      <c r="H322" s="22" t="str">
        <f t="shared" si="26"/>
        <v/>
      </c>
      <c r="J322" s="32"/>
      <c r="K322" s="24" t="str">
        <f t="shared" si="24"/>
        <v/>
      </c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400</v>
      </c>
      <c r="H323" s="22" t="str">
        <f t="shared" si="26"/>
        <v/>
      </c>
      <c r="J323" s="32"/>
      <c r="K323" s="24" t="str">
        <f t="shared" si="24"/>
        <v/>
      </c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401</v>
      </c>
      <c r="H324" s="22" t="str">
        <f t="shared" si="26"/>
        <v/>
      </c>
      <c r="J324" s="32"/>
      <c r="K324" s="24" t="str">
        <f t="shared" si="24"/>
        <v/>
      </c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402</v>
      </c>
      <c r="H325" s="22" t="str">
        <f t="shared" si="26"/>
        <v/>
      </c>
      <c r="J325" s="32"/>
      <c r="K325" s="24" t="str">
        <f t="shared" si="24"/>
        <v/>
      </c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403</v>
      </c>
      <c r="H326" s="22" t="str">
        <f t="shared" si="26"/>
        <v/>
      </c>
      <c r="J326" s="32"/>
      <c r="K326" s="24" t="str">
        <f t="shared" si="24"/>
        <v/>
      </c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404</v>
      </c>
      <c r="H327" s="22" t="str">
        <f t="shared" si="26"/>
        <v/>
      </c>
      <c r="J327" s="32"/>
      <c r="K327" s="24" t="str">
        <f t="shared" si="24"/>
        <v/>
      </c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405</v>
      </c>
      <c r="H328" s="22" t="str">
        <f t="shared" si="26"/>
        <v/>
      </c>
      <c r="J328" s="32"/>
      <c r="K328" s="24" t="str">
        <f t="shared" si="24"/>
        <v/>
      </c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406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407</v>
      </c>
      <c r="H330" s="22" t="str">
        <f t="shared" si="26"/>
        <v/>
      </c>
      <c r="J330" s="32"/>
      <c r="K330" s="24" t="str">
        <f t="shared" si="29"/>
        <v/>
      </c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408</v>
      </c>
      <c r="H331" s="22" t="str">
        <f t="shared" si="26"/>
        <v/>
      </c>
      <c r="J331" s="32"/>
      <c r="K331" s="24" t="str">
        <f t="shared" si="29"/>
        <v/>
      </c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409</v>
      </c>
      <c r="H332" s="22" t="str">
        <f t="shared" si="26"/>
        <v/>
      </c>
      <c r="J332" s="32"/>
      <c r="K332" s="24" t="str">
        <f t="shared" si="29"/>
        <v/>
      </c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410</v>
      </c>
      <c r="H333" s="22" t="str">
        <f t="shared" si="26"/>
        <v/>
      </c>
      <c r="J333" s="32"/>
      <c r="K333" s="24" t="str">
        <f t="shared" si="29"/>
        <v/>
      </c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411</v>
      </c>
      <c r="H334" s="22" t="str">
        <f t="shared" si="26"/>
        <v/>
      </c>
      <c r="J334" s="32"/>
      <c r="K334" s="24" t="str">
        <f t="shared" si="29"/>
        <v/>
      </c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412</v>
      </c>
      <c r="H335" s="22" t="str">
        <f t="shared" si="26"/>
        <v/>
      </c>
      <c r="J335" s="32"/>
      <c r="K335" s="24" t="str">
        <f t="shared" si="29"/>
        <v/>
      </c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413</v>
      </c>
      <c r="H336" s="22" t="str">
        <f t="shared" ref="H336:H399" si="31">+T336</f>
        <v/>
      </c>
      <c r="J336" s="32"/>
      <c r="K336" s="24" t="str">
        <f t="shared" si="29"/>
        <v/>
      </c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414</v>
      </c>
      <c r="H337" s="22" t="str">
        <f t="shared" si="31"/>
        <v/>
      </c>
      <c r="J337" s="32"/>
      <c r="K337" s="24" t="str">
        <f t="shared" si="29"/>
        <v/>
      </c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415</v>
      </c>
      <c r="H338" s="22" t="str">
        <f t="shared" si="31"/>
        <v/>
      </c>
      <c r="J338" s="32"/>
      <c r="K338" s="24" t="str">
        <f t="shared" si="29"/>
        <v/>
      </c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416</v>
      </c>
      <c r="H339" s="22" t="str">
        <f t="shared" si="31"/>
        <v/>
      </c>
      <c r="J339" s="32"/>
      <c r="K339" s="24" t="str">
        <f t="shared" si="29"/>
        <v/>
      </c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417</v>
      </c>
      <c r="H340" s="22" t="str">
        <f t="shared" si="31"/>
        <v/>
      </c>
      <c r="J340" s="32"/>
      <c r="K340" s="24" t="str">
        <f t="shared" si="29"/>
        <v/>
      </c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418</v>
      </c>
      <c r="H341" s="22" t="str">
        <f t="shared" si="31"/>
        <v/>
      </c>
      <c r="J341" s="32"/>
      <c r="K341" s="24" t="str">
        <f t="shared" si="29"/>
        <v/>
      </c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419</v>
      </c>
      <c r="H342" s="22" t="str">
        <f t="shared" si="31"/>
        <v/>
      </c>
      <c r="J342" s="32"/>
      <c r="K342" s="24" t="str">
        <f t="shared" si="29"/>
        <v/>
      </c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420</v>
      </c>
      <c r="H343" s="22" t="str">
        <f t="shared" si="31"/>
        <v/>
      </c>
      <c r="J343" s="32"/>
      <c r="K343" s="24" t="str">
        <f t="shared" si="29"/>
        <v/>
      </c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421</v>
      </c>
      <c r="H344" s="22" t="str">
        <f t="shared" si="31"/>
        <v/>
      </c>
      <c r="J344" s="32"/>
      <c r="K344" s="24" t="str">
        <f t="shared" si="29"/>
        <v/>
      </c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422</v>
      </c>
      <c r="H345" s="22" t="str">
        <f t="shared" si="31"/>
        <v/>
      </c>
      <c r="J345" s="32"/>
      <c r="K345" s="24" t="str">
        <f t="shared" si="29"/>
        <v/>
      </c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423</v>
      </c>
      <c r="H346" s="22" t="str">
        <f t="shared" si="31"/>
        <v/>
      </c>
      <c r="J346" s="32"/>
      <c r="K346" s="24" t="str">
        <f t="shared" si="29"/>
        <v/>
      </c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424</v>
      </c>
      <c r="H347" s="22" t="str">
        <f t="shared" si="31"/>
        <v/>
      </c>
      <c r="J347" s="32"/>
      <c r="K347" s="24" t="str">
        <f t="shared" si="29"/>
        <v/>
      </c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425</v>
      </c>
      <c r="H348" s="22" t="str">
        <f t="shared" si="31"/>
        <v/>
      </c>
      <c r="J348" s="32"/>
      <c r="K348" s="24" t="str">
        <f t="shared" si="29"/>
        <v/>
      </c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426</v>
      </c>
      <c r="H349" s="22" t="str">
        <f t="shared" si="31"/>
        <v/>
      </c>
      <c r="J349" s="32"/>
      <c r="K349" s="24" t="str">
        <f t="shared" si="29"/>
        <v/>
      </c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427</v>
      </c>
      <c r="H350" s="22" t="str">
        <f t="shared" si="31"/>
        <v/>
      </c>
      <c r="J350" s="32"/>
      <c r="K350" s="24" t="str">
        <f t="shared" si="29"/>
        <v/>
      </c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428</v>
      </c>
      <c r="H351" s="22" t="str">
        <f t="shared" si="31"/>
        <v/>
      </c>
      <c r="J351" s="32"/>
      <c r="K351" s="24" t="str">
        <f t="shared" si="29"/>
        <v/>
      </c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429</v>
      </c>
      <c r="H352" s="22" t="str">
        <f t="shared" si="31"/>
        <v/>
      </c>
      <c r="J352" s="32"/>
      <c r="K352" s="24" t="str">
        <f t="shared" si="29"/>
        <v/>
      </c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430</v>
      </c>
      <c r="H353" s="22" t="str">
        <f t="shared" si="31"/>
        <v/>
      </c>
      <c r="J353" s="32"/>
      <c r="K353" s="24" t="str">
        <f t="shared" si="29"/>
        <v/>
      </c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431</v>
      </c>
      <c r="H354" s="22" t="str">
        <f t="shared" si="31"/>
        <v/>
      </c>
      <c r="J354" s="32"/>
      <c r="K354" s="24" t="str">
        <f t="shared" si="29"/>
        <v/>
      </c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432</v>
      </c>
      <c r="H355" s="22" t="str">
        <f t="shared" si="31"/>
        <v/>
      </c>
      <c r="J355" s="32"/>
      <c r="K355" s="24" t="str">
        <f t="shared" si="29"/>
        <v/>
      </c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433</v>
      </c>
      <c r="H356" s="22" t="str">
        <f t="shared" si="31"/>
        <v/>
      </c>
      <c r="J356" s="32"/>
      <c r="K356" s="24" t="str">
        <f t="shared" si="29"/>
        <v/>
      </c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434</v>
      </c>
      <c r="H357" s="22" t="str">
        <f t="shared" si="31"/>
        <v/>
      </c>
      <c r="J357" s="32"/>
      <c r="K357" s="24" t="str">
        <f t="shared" si="29"/>
        <v/>
      </c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435</v>
      </c>
      <c r="H358" s="22" t="str">
        <f t="shared" si="31"/>
        <v/>
      </c>
      <c r="J358" s="32"/>
      <c r="K358" s="24" t="str">
        <f t="shared" si="29"/>
        <v/>
      </c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436</v>
      </c>
      <c r="H359" s="22" t="str">
        <f t="shared" si="31"/>
        <v/>
      </c>
      <c r="J359" s="32"/>
      <c r="K359" s="24" t="str">
        <f t="shared" si="29"/>
        <v/>
      </c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437</v>
      </c>
      <c r="H360" s="22" t="str">
        <f t="shared" si="31"/>
        <v/>
      </c>
      <c r="J360" s="32"/>
      <c r="K360" s="24" t="str">
        <f t="shared" si="29"/>
        <v/>
      </c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438</v>
      </c>
      <c r="H361" s="22" t="str">
        <f t="shared" si="31"/>
        <v/>
      </c>
      <c r="J361" s="32"/>
      <c r="K361" s="24" t="str">
        <f t="shared" si="29"/>
        <v/>
      </c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439</v>
      </c>
      <c r="H362" s="22" t="str">
        <f t="shared" si="31"/>
        <v/>
      </c>
      <c r="J362" s="32"/>
      <c r="K362" s="24" t="str">
        <f t="shared" si="29"/>
        <v/>
      </c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440</v>
      </c>
      <c r="H363" s="22" t="str">
        <f t="shared" si="31"/>
        <v/>
      </c>
      <c r="J363" s="32"/>
      <c r="K363" s="24" t="str">
        <f t="shared" si="29"/>
        <v/>
      </c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441</v>
      </c>
      <c r="H364" s="22" t="str">
        <f t="shared" si="31"/>
        <v/>
      </c>
      <c r="J364" s="32"/>
      <c r="K364" s="24" t="str">
        <f t="shared" si="29"/>
        <v/>
      </c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442</v>
      </c>
      <c r="H365" s="22" t="str">
        <f t="shared" si="31"/>
        <v/>
      </c>
      <c r="J365" s="32"/>
      <c r="K365" s="24" t="str">
        <f t="shared" si="29"/>
        <v/>
      </c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443</v>
      </c>
      <c r="H366" s="22" t="str">
        <f t="shared" si="31"/>
        <v/>
      </c>
      <c r="J366" s="32"/>
      <c r="K366" s="24" t="str">
        <f t="shared" si="29"/>
        <v/>
      </c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444</v>
      </c>
      <c r="H367" s="22" t="str">
        <f t="shared" si="31"/>
        <v/>
      </c>
      <c r="J367" s="32"/>
      <c r="K367" s="24" t="str">
        <f t="shared" si="29"/>
        <v/>
      </c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445</v>
      </c>
      <c r="H368" s="22" t="str">
        <f t="shared" si="31"/>
        <v/>
      </c>
      <c r="J368" s="32"/>
      <c r="K368" s="24" t="str">
        <f t="shared" si="29"/>
        <v/>
      </c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446</v>
      </c>
      <c r="H369" s="22" t="str">
        <f t="shared" si="31"/>
        <v/>
      </c>
      <c r="J369" s="32"/>
      <c r="K369" s="24" t="str">
        <f t="shared" si="29"/>
        <v/>
      </c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447</v>
      </c>
      <c r="H370" s="22" t="str">
        <f t="shared" si="31"/>
        <v/>
      </c>
      <c r="J370" s="32"/>
      <c r="K370" s="24" t="str">
        <f t="shared" si="29"/>
        <v/>
      </c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448</v>
      </c>
      <c r="H371" s="22" t="str">
        <f t="shared" si="31"/>
        <v/>
      </c>
      <c r="J371" s="32"/>
      <c r="K371" s="24" t="str">
        <f t="shared" si="29"/>
        <v/>
      </c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449</v>
      </c>
      <c r="H372" s="22" t="str">
        <f t="shared" si="31"/>
        <v/>
      </c>
      <c r="J372" s="32"/>
      <c r="K372" s="24" t="str">
        <f t="shared" si="29"/>
        <v/>
      </c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450</v>
      </c>
      <c r="H373" s="22" t="str">
        <f t="shared" si="31"/>
        <v/>
      </c>
      <c r="J373" s="32"/>
      <c r="K373" s="24" t="str">
        <f t="shared" si="29"/>
        <v/>
      </c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451</v>
      </c>
      <c r="H374" s="22" t="str">
        <f t="shared" si="31"/>
        <v/>
      </c>
      <c r="J374" s="32"/>
      <c r="K374" s="24" t="str">
        <f t="shared" si="29"/>
        <v/>
      </c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452</v>
      </c>
      <c r="H375" s="22" t="str">
        <f t="shared" si="31"/>
        <v/>
      </c>
      <c r="J375" s="32"/>
      <c r="K375" s="24" t="str">
        <f t="shared" si="29"/>
        <v/>
      </c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453</v>
      </c>
      <c r="H376" s="22" t="str">
        <f t="shared" si="31"/>
        <v/>
      </c>
      <c r="J376" s="32"/>
      <c r="K376" s="24" t="str">
        <f t="shared" si="29"/>
        <v/>
      </c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454</v>
      </c>
      <c r="H377" s="22" t="str">
        <f t="shared" si="31"/>
        <v/>
      </c>
      <c r="J377" s="32"/>
      <c r="K377" s="24" t="str">
        <f t="shared" si="29"/>
        <v/>
      </c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455</v>
      </c>
      <c r="H378" s="22" t="str">
        <f t="shared" si="31"/>
        <v/>
      </c>
      <c r="J378" s="32"/>
      <c r="K378" s="24" t="str">
        <f t="shared" si="29"/>
        <v/>
      </c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456</v>
      </c>
      <c r="H379" s="22" t="str">
        <f t="shared" si="31"/>
        <v/>
      </c>
      <c r="J379" s="32"/>
      <c r="K379" s="24" t="str">
        <f t="shared" si="29"/>
        <v/>
      </c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457</v>
      </c>
      <c r="H380" s="22" t="str">
        <f t="shared" si="31"/>
        <v/>
      </c>
      <c r="J380" s="32"/>
      <c r="K380" s="24" t="str">
        <f t="shared" si="29"/>
        <v/>
      </c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458</v>
      </c>
      <c r="H381" s="22" t="str">
        <f t="shared" si="31"/>
        <v/>
      </c>
      <c r="J381" s="32"/>
      <c r="K381" s="24" t="str">
        <f t="shared" si="29"/>
        <v/>
      </c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459</v>
      </c>
      <c r="H382" s="22" t="str">
        <f t="shared" si="31"/>
        <v/>
      </c>
      <c r="J382" s="32"/>
      <c r="K382" s="24" t="str">
        <f t="shared" si="29"/>
        <v/>
      </c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460</v>
      </c>
      <c r="H383" s="22" t="str">
        <f t="shared" si="31"/>
        <v/>
      </c>
      <c r="J383" s="32"/>
      <c r="K383" s="24" t="str">
        <f t="shared" si="29"/>
        <v/>
      </c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461</v>
      </c>
      <c r="H384" s="22" t="str">
        <f t="shared" si="31"/>
        <v/>
      </c>
      <c r="J384" s="32"/>
      <c r="K384" s="24" t="str">
        <f t="shared" si="29"/>
        <v/>
      </c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462</v>
      </c>
      <c r="H385" s="22" t="str">
        <f t="shared" si="31"/>
        <v/>
      </c>
      <c r="J385" s="32"/>
      <c r="K385" s="24" t="str">
        <f t="shared" si="29"/>
        <v/>
      </c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463</v>
      </c>
      <c r="H386" s="22" t="str">
        <f t="shared" si="31"/>
        <v/>
      </c>
      <c r="J386" s="32"/>
      <c r="K386" s="24" t="str">
        <f t="shared" si="29"/>
        <v/>
      </c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464</v>
      </c>
      <c r="H387" s="22" t="str">
        <f t="shared" si="31"/>
        <v/>
      </c>
      <c r="J387" s="32"/>
      <c r="K387" s="24" t="str">
        <f t="shared" si="29"/>
        <v/>
      </c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465</v>
      </c>
      <c r="H388" s="22" t="str">
        <f t="shared" si="31"/>
        <v/>
      </c>
      <c r="J388" s="32"/>
      <c r="K388" s="24" t="str">
        <f t="shared" si="29"/>
        <v/>
      </c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466</v>
      </c>
      <c r="H389" s="22" t="str">
        <f t="shared" si="31"/>
        <v/>
      </c>
      <c r="J389" s="32"/>
      <c r="K389" s="24" t="str">
        <f t="shared" si="29"/>
        <v/>
      </c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467</v>
      </c>
      <c r="H390" s="22" t="str">
        <f t="shared" si="31"/>
        <v/>
      </c>
      <c r="J390" s="32"/>
      <c r="K390" s="24" t="str">
        <f t="shared" si="29"/>
        <v/>
      </c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468</v>
      </c>
      <c r="H391" s="22" t="str">
        <f t="shared" si="31"/>
        <v/>
      </c>
      <c r="J391" s="32"/>
      <c r="K391" s="24" t="str">
        <f t="shared" si="29"/>
        <v/>
      </c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469</v>
      </c>
      <c r="H392" s="22" t="str">
        <f t="shared" si="31"/>
        <v/>
      </c>
      <c r="J392" s="32"/>
      <c r="K392" s="24" t="str">
        <f t="shared" si="29"/>
        <v/>
      </c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470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471</v>
      </c>
      <c r="H394" s="22" t="str">
        <f t="shared" si="31"/>
        <v/>
      </c>
      <c r="J394" s="32"/>
      <c r="K394" s="24" t="str">
        <f t="shared" si="34"/>
        <v/>
      </c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472</v>
      </c>
      <c r="H395" s="22" t="str">
        <f t="shared" si="31"/>
        <v/>
      </c>
      <c r="J395" s="32"/>
      <c r="K395" s="24" t="str">
        <f t="shared" si="34"/>
        <v/>
      </c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473</v>
      </c>
      <c r="H396" s="22" t="str">
        <f t="shared" si="31"/>
        <v/>
      </c>
      <c r="J396" s="32"/>
      <c r="K396" s="24" t="str">
        <f t="shared" si="34"/>
        <v/>
      </c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474</v>
      </c>
      <c r="H397" s="22" t="str">
        <f t="shared" si="31"/>
        <v/>
      </c>
      <c r="J397" s="32"/>
      <c r="K397" s="24" t="str">
        <f t="shared" si="34"/>
        <v/>
      </c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475</v>
      </c>
      <c r="H398" s="22" t="str">
        <f t="shared" si="31"/>
        <v/>
      </c>
      <c r="J398" s="32"/>
      <c r="K398" s="24" t="str">
        <f t="shared" si="34"/>
        <v/>
      </c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476</v>
      </c>
      <c r="H399" s="22" t="str">
        <f t="shared" si="31"/>
        <v/>
      </c>
      <c r="J399" s="32"/>
      <c r="K399" s="24" t="str">
        <f t="shared" si="34"/>
        <v/>
      </c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477</v>
      </c>
      <c r="H400" s="22" t="str">
        <f t="shared" ref="H400:H463" si="36">+T400</f>
        <v/>
      </c>
      <c r="J400" s="32"/>
      <c r="K400" s="24" t="str">
        <f t="shared" si="34"/>
        <v/>
      </c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478</v>
      </c>
      <c r="H401" s="22" t="str">
        <f t="shared" si="36"/>
        <v/>
      </c>
      <c r="J401" s="32"/>
      <c r="K401" s="24" t="str">
        <f t="shared" si="34"/>
        <v/>
      </c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479</v>
      </c>
      <c r="H402" s="22" t="str">
        <f t="shared" si="36"/>
        <v/>
      </c>
      <c r="J402" s="32"/>
      <c r="K402" s="24" t="str">
        <f t="shared" si="34"/>
        <v/>
      </c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480</v>
      </c>
      <c r="H403" s="22" t="str">
        <f t="shared" si="36"/>
        <v/>
      </c>
      <c r="J403" s="32"/>
      <c r="K403" s="24" t="str">
        <f t="shared" si="34"/>
        <v/>
      </c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481</v>
      </c>
      <c r="H404" s="22" t="str">
        <f t="shared" si="36"/>
        <v/>
      </c>
      <c r="J404" s="32"/>
      <c r="K404" s="24" t="str">
        <f t="shared" si="34"/>
        <v/>
      </c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482</v>
      </c>
      <c r="H405" s="22" t="str">
        <f t="shared" si="36"/>
        <v/>
      </c>
      <c r="J405" s="32"/>
      <c r="K405" s="24" t="str">
        <f t="shared" si="34"/>
        <v/>
      </c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483</v>
      </c>
      <c r="H406" s="22" t="str">
        <f t="shared" si="36"/>
        <v/>
      </c>
      <c r="J406" s="32"/>
      <c r="K406" s="24" t="str">
        <f t="shared" si="34"/>
        <v/>
      </c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484</v>
      </c>
      <c r="H407" s="22" t="str">
        <f t="shared" si="36"/>
        <v/>
      </c>
      <c r="J407" s="32"/>
      <c r="K407" s="24" t="str">
        <f t="shared" si="34"/>
        <v/>
      </c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485</v>
      </c>
      <c r="H408" s="22" t="str">
        <f t="shared" si="36"/>
        <v/>
      </c>
      <c r="J408" s="32"/>
      <c r="K408" s="24" t="str">
        <f t="shared" si="34"/>
        <v/>
      </c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486</v>
      </c>
      <c r="H409" s="22" t="str">
        <f t="shared" si="36"/>
        <v/>
      </c>
      <c r="J409" s="32"/>
      <c r="K409" s="24" t="str">
        <f t="shared" si="34"/>
        <v/>
      </c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487</v>
      </c>
      <c r="H410" s="22" t="str">
        <f t="shared" si="36"/>
        <v/>
      </c>
      <c r="J410" s="32"/>
      <c r="K410" s="24" t="str">
        <f t="shared" si="34"/>
        <v/>
      </c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488</v>
      </c>
      <c r="H411" s="22" t="str">
        <f t="shared" si="36"/>
        <v/>
      </c>
      <c r="J411" s="32"/>
      <c r="K411" s="24" t="str">
        <f t="shared" si="34"/>
        <v/>
      </c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489</v>
      </c>
      <c r="H412" s="22" t="str">
        <f t="shared" si="36"/>
        <v/>
      </c>
      <c r="J412" s="32"/>
      <c r="K412" s="24" t="str">
        <f t="shared" si="34"/>
        <v/>
      </c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490</v>
      </c>
      <c r="H413" s="22" t="str">
        <f t="shared" si="36"/>
        <v/>
      </c>
      <c r="J413" s="32"/>
      <c r="K413" s="24" t="str">
        <f t="shared" si="34"/>
        <v/>
      </c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491</v>
      </c>
      <c r="H414" s="22" t="str">
        <f t="shared" si="36"/>
        <v/>
      </c>
      <c r="J414" s="32"/>
      <c r="K414" s="24" t="str">
        <f t="shared" si="34"/>
        <v/>
      </c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492</v>
      </c>
      <c r="H415" s="22" t="str">
        <f t="shared" si="36"/>
        <v/>
      </c>
      <c r="J415" s="32"/>
      <c r="K415" s="24" t="str">
        <f t="shared" si="34"/>
        <v/>
      </c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493</v>
      </c>
      <c r="H416" s="22" t="str">
        <f t="shared" si="36"/>
        <v/>
      </c>
      <c r="J416" s="32"/>
      <c r="K416" s="24" t="str">
        <f t="shared" si="34"/>
        <v/>
      </c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494</v>
      </c>
      <c r="H417" s="22" t="str">
        <f t="shared" si="36"/>
        <v/>
      </c>
      <c r="J417" s="32"/>
      <c r="K417" s="24" t="str">
        <f t="shared" si="34"/>
        <v/>
      </c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495</v>
      </c>
      <c r="H418" s="22" t="str">
        <f t="shared" si="36"/>
        <v/>
      </c>
      <c r="J418" s="32"/>
      <c r="K418" s="24" t="str">
        <f t="shared" si="34"/>
        <v/>
      </c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496</v>
      </c>
      <c r="H419" s="22" t="str">
        <f t="shared" si="36"/>
        <v/>
      </c>
      <c r="J419" s="32"/>
      <c r="K419" s="24" t="str">
        <f t="shared" si="34"/>
        <v/>
      </c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497</v>
      </c>
      <c r="H420" s="22" t="str">
        <f t="shared" si="36"/>
        <v/>
      </c>
      <c r="J420" s="32"/>
      <c r="K420" s="24" t="str">
        <f t="shared" si="34"/>
        <v/>
      </c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498</v>
      </c>
      <c r="H421" s="22" t="str">
        <f t="shared" si="36"/>
        <v/>
      </c>
      <c r="J421" s="32"/>
      <c r="K421" s="24" t="str">
        <f t="shared" si="34"/>
        <v/>
      </c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499</v>
      </c>
      <c r="H422" s="22" t="str">
        <f t="shared" si="36"/>
        <v/>
      </c>
      <c r="J422" s="32"/>
      <c r="K422" s="24" t="str">
        <f t="shared" si="34"/>
        <v/>
      </c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500</v>
      </c>
      <c r="H423" s="22" t="str">
        <f t="shared" si="36"/>
        <v/>
      </c>
      <c r="J423" s="32"/>
      <c r="K423" s="24" t="str">
        <f t="shared" si="34"/>
        <v/>
      </c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501</v>
      </c>
      <c r="H424" s="22" t="str">
        <f t="shared" si="36"/>
        <v/>
      </c>
      <c r="J424" s="32"/>
      <c r="K424" s="24" t="str">
        <f t="shared" si="34"/>
        <v/>
      </c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502</v>
      </c>
      <c r="H425" s="22" t="str">
        <f t="shared" si="36"/>
        <v/>
      </c>
      <c r="J425" s="32"/>
      <c r="K425" s="24" t="str">
        <f t="shared" si="34"/>
        <v/>
      </c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503</v>
      </c>
      <c r="H426" s="22" t="str">
        <f t="shared" si="36"/>
        <v/>
      </c>
      <c r="J426" s="32"/>
      <c r="K426" s="24" t="str">
        <f t="shared" si="34"/>
        <v/>
      </c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504</v>
      </c>
      <c r="H427" s="22" t="str">
        <f t="shared" si="36"/>
        <v/>
      </c>
      <c r="J427" s="32"/>
      <c r="K427" s="24" t="str">
        <f t="shared" si="34"/>
        <v/>
      </c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505</v>
      </c>
      <c r="H428" s="22" t="str">
        <f t="shared" si="36"/>
        <v/>
      </c>
      <c r="J428" s="32"/>
      <c r="K428" s="24" t="str">
        <f t="shared" si="34"/>
        <v/>
      </c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506</v>
      </c>
      <c r="H429" s="22" t="str">
        <f t="shared" si="36"/>
        <v/>
      </c>
      <c r="J429" s="32"/>
      <c r="K429" s="24" t="str">
        <f t="shared" si="34"/>
        <v/>
      </c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507</v>
      </c>
      <c r="H430" s="22" t="str">
        <f t="shared" si="36"/>
        <v/>
      </c>
      <c r="J430" s="32"/>
      <c r="K430" s="24" t="str">
        <f t="shared" si="34"/>
        <v/>
      </c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508</v>
      </c>
      <c r="H431" s="22" t="str">
        <f t="shared" si="36"/>
        <v/>
      </c>
      <c r="J431" s="32"/>
      <c r="K431" s="24" t="str">
        <f t="shared" si="34"/>
        <v/>
      </c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509</v>
      </c>
      <c r="H432" s="22" t="str">
        <f t="shared" si="36"/>
        <v/>
      </c>
      <c r="J432" s="32"/>
      <c r="K432" s="24" t="str">
        <f t="shared" si="34"/>
        <v/>
      </c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510</v>
      </c>
      <c r="H433" s="22" t="str">
        <f t="shared" si="36"/>
        <v/>
      </c>
      <c r="J433" s="32"/>
      <c r="K433" s="24" t="str">
        <f t="shared" si="34"/>
        <v/>
      </c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511</v>
      </c>
      <c r="H434" s="22" t="str">
        <f t="shared" si="36"/>
        <v/>
      </c>
      <c r="J434" s="32"/>
      <c r="K434" s="24" t="str">
        <f t="shared" si="34"/>
        <v/>
      </c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512</v>
      </c>
      <c r="H435" s="22" t="str">
        <f t="shared" si="36"/>
        <v/>
      </c>
      <c r="J435" s="32"/>
      <c r="K435" s="24" t="str">
        <f t="shared" si="34"/>
        <v/>
      </c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513</v>
      </c>
      <c r="H436" s="22" t="str">
        <f t="shared" si="36"/>
        <v/>
      </c>
      <c r="J436" s="32"/>
      <c r="K436" s="24" t="str">
        <f t="shared" si="34"/>
        <v/>
      </c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514</v>
      </c>
      <c r="H437" s="22" t="str">
        <f t="shared" si="36"/>
        <v/>
      </c>
      <c r="J437" s="32"/>
      <c r="K437" s="24" t="str">
        <f t="shared" si="34"/>
        <v/>
      </c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515</v>
      </c>
      <c r="H438" s="22" t="str">
        <f t="shared" si="36"/>
        <v/>
      </c>
      <c r="J438" s="32"/>
      <c r="K438" s="24" t="str">
        <f t="shared" si="34"/>
        <v/>
      </c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516</v>
      </c>
      <c r="H439" s="22" t="str">
        <f t="shared" si="36"/>
        <v/>
      </c>
      <c r="J439" s="32"/>
      <c r="K439" s="24" t="str">
        <f t="shared" si="34"/>
        <v/>
      </c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517</v>
      </c>
      <c r="H440" s="22" t="str">
        <f t="shared" si="36"/>
        <v/>
      </c>
      <c r="J440" s="32"/>
      <c r="K440" s="24" t="str">
        <f t="shared" si="34"/>
        <v/>
      </c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518</v>
      </c>
      <c r="H441" s="22" t="str">
        <f t="shared" si="36"/>
        <v/>
      </c>
      <c r="J441" s="32"/>
      <c r="K441" s="24" t="str">
        <f t="shared" si="34"/>
        <v/>
      </c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519</v>
      </c>
      <c r="H442" s="22" t="str">
        <f t="shared" si="36"/>
        <v/>
      </c>
      <c r="J442" s="32"/>
      <c r="K442" s="24" t="str">
        <f t="shared" si="34"/>
        <v/>
      </c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520</v>
      </c>
      <c r="H443" s="22" t="str">
        <f t="shared" si="36"/>
        <v/>
      </c>
      <c r="J443" s="32"/>
      <c r="K443" s="24" t="str">
        <f t="shared" si="34"/>
        <v/>
      </c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521</v>
      </c>
      <c r="H444" s="22" t="str">
        <f t="shared" si="36"/>
        <v/>
      </c>
      <c r="J444" s="32"/>
      <c r="K444" s="24" t="str">
        <f t="shared" si="34"/>
        <v/>
      </c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522</v>
      </c>
      <c r="H445" s="22" t="str">
        <f t="shared" si="36"/>
        <v/>
      </c>
      <c r="J445" s="32"/>
      <c r="K445" s="24" t="str">
        <f t="shared" si="34"/>
        <v/>
      </c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523</v>
      </c>
      <c r="H446" s="22" t="str">
        <f t="shared" si="36"/>
        <v/>
      </c>
      <c r="J446" s="32"/>
      <c r="K446" s="24" t="str">
        <f t="shared" si="34"/>
        <v/>
      </c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524</v>
      </c>
      <c r="H447" s="22" t="str">
        <f t="shared" si="36"/>
        <v/>
      </c>
      <c r="J447" s="32"/>
      <c r="K447" s="24" t="str">
        <f t="shared" si="34"/>
        <v/>
      </c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525</v>
      </c>
      <c r="H448" s="22" t="str">
        <f t="shared" si="36"/>
        <v/>
      </c>
      <c r="J448" s="32"/>
      <c r="K448" s="24" t="str">
        <f t="shared" si="34"/>
        <v/>
      </c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526</v>
      </c>
      <c r="H449" s="22" t="str">
        <f t="shared" si="36"/>
        <v/>
      </c>
      <c r="J449" s="32"/>
      <c r="K449" s="24" t="str">
        <f t="shared" si="34"/>
        <v/>
      </c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527</v>
      </c>
      <c r="H450" s="22" t="str">
        <f t="shared" si="36"/>
        <v/>
      </c>
      <c r="J450" s="32"/>
      <c r="K450" s="24" t="str">
        <f t="shared" si="34"/>
        <v/>
      </c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528</v>
      </c>
      <c r="H451" s="22" t="str">
        <f t="shared" si="36"/>
        <v/>
      </c>
      <c r="J451" s="32"/>
      <c r="K451" s="24" t="str">
        <f t="shared" si="34"/>
        <v/>
      </c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529</v>
      </c>
      <c r="H452" s="22" t="str">
        <f t="shared" si="36"/>
        <v/>
      </c>
      <c r="J452" s="32"/>
      <c r="K452" s="24" t="str">
        <f t="shared" si="34"/>
        <v/>
      </c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530</v>
      </c>
      <c r="H453" s="22" t="str">
        <f t="shared" si="36"/>
        <v/>
      </c>
      <c r="J453" s="32"/>
      <c r="K453" s="24" t="str">
        <f t="shared" si="34"/>
        <v/>
      </c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531</v>
      </c>
      <c r="H454" s="22" t="str">
        <f t="shared" si="36"/>
        <v/>
      </c>
      <c r="J454" s="32"/>
      <c r="K454" s="24" t="str">
        <f t="shared" si="34"/>
        <v/>
      </c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532</v>
      </c>
      <c r="H455" s="22" t="str">
        <f t="shared" si="36"/>
        <v/>
      </c>
      <c r="J455" s="32"/>
      <c r="K455" s="24" t="str">
        <f t="shared" si="34"/>
        <v/>
      </c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533</v>
      </c>
      <c r="H456" s="22" t="str">
        <f t="shared" si="36"/>
        <v/>
      </c>
      <c r="J456" s="32"/>
      <c r="K456" s="24" t="str">
        <f t="shared" si="34"/>
        <v/>
      </c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534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535</v>
      </c>
      <c r="H458" s="22" t="str">
        <f t="shared" si="36"/>
        <v/>
      </c>
      <c r="J458" s="32"/>
      <c r="K458" s="24" t="str">
        <f t="shared" si="39"/>
        <v/>
      </c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536</v>
      </c>
      <c r="H459" s="22" t="str">
        <f t="shared" si="36"/>
        <v/>
      </c>
      <c r="J459" s="32"/>
      <c r="K459" s="24" t="str">
        <f t="shared" si="39"/>
        <v/>
      </c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537</v>
      </c>
      <c r="H460" s="22" t="str">
        <f t="shared" si="36"/>
        <v/>
      </c>
      <c r="J460" s="32"/>
      <c r="K460" s="24" t="str">
        <f t="shared" si="39"/>
        <v/>
      </c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538</v>
      </c>
      <c r="H461" s="22" t="str">
        <f t="shared" si="36"/>
        <v/>
      </c>
      <c r="J461" s="32"/>
      <c r="K461" s="24" t="str">
        <f t="shared" si="39"/>
        <v/>
      </c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539</v>
      </c>
      <c r="H462" s="22" t="str">
        <f t="shared" si="36"/>
        <v/>
      </c>
      <c r="J462" s="32"/>
      <c r="K462" s="24" t="str">
        <f t="shared" si="39"/>
        <v/>
      </c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540</v>
      </c>
      <c r="H463" s="22" t="str">
        <f t="shared" si="36"/>
        <v/>
      </c>
      <c r="J463" s="32"/>
      <c r="K463" s="24" t="str">
        <f t="shared" si="39"/>
        <v/>
      </c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541</v>
      </c>
      <c r="H464" s="22" t="str">
        <f t="shared" ref="H464:H527" si="41">+T464</f>
        <v/>
      </c>
      <c r="J464" s="32"/>
      <c r="K464" s="24" t="str">
        <f t="shared" si="39"/>
        <v/>
      </c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542</v>
      </c>
      <c r="H465" s="22" t="str">
        <f t="shared" si="41"/>
        <v/>
      </c>
      <c r="J465" s="32"/>
      <c r="K465" s="24" t="str">
        <f t="shared" si="39"/>
        <v/>
      </c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543</v>
      </c>
      <c r="H466" s="22" t="str">
        <f t="shared" si="41"/>
        <v/>
      </c>
      <c r="J466" s="32"/>
      <c r="K466" s="24" t="str">
        <f t="shared" si="39"/>
        <v/>
      </c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544</v>
      </c>
      <c r="H467" s="22" t="str">
        <f t="shared" si="41"/>
        <v/>
      </c>
      <c r="J467" s="32"/>
      <c r="K467" s="24" t="str">
        <f t="shared" si="39"/>
        <v/>
      </c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545</v>
      </c>
      <c r="H468" s="22" t="str">
        <f t="shared" si="41"/>
        <v/>
      </c>
      <c r="J468" s="32"/>
      <c r="K468" s="24" t="str">
        <f t="shared" si="39"/>
        <v/>
      </c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546</v>
      </c>
      <c r="H469" s="22" t="str">
        <f t="shared" si="41"/>
        <v/>
      </c>
      <c r="J469" s="32"/>
      <c r="K469" s="24" t="str">
        <f t="shared" si="39"/>
        <v/>
      </c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547</v>
      </c>
      <c r="H470" s="22" t="str">
        <f t="shared" si="41"/>
        <v/>
      </c>
      <c r="J470" s="32"/>
      <c r="K470" s="24" t="str">
        <f t="shared" si="39"/>
        <v/>
      </c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548</v>
      </c>
      <c r="H471" s="22" t="str">
        <f t="shared" si="41"/>
        <v/>
      </c>
      <c r="J471" s="32"/>
      <c r="K471" s="24" t="str">
        <f t="shared" si="39"/>
        <v/>
      </c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549</v>
      </c>
      <c r="H472" s="22" t="str">
        <f t="shared" si="41"/>
        <v/>
      </c>
      <c r="J472" s="32"/>
      <c r="K472" s="24" t="str">
        <f t="shared" si="39"/>
        <v/>
      </c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550</v>
      </c>
      <c r="H473" s="22" t="str">
        <f t="shared" si="41"/>
        <v/>
      </c>
      <c r="J473" s="32"/>
      <c r="K473" s="24" t="str">
        <f t="shared" si="39"/>
        <v/>
      </c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551</v>
      </c>
      <c r="H474" s="22" t="str">
        <f t="shared" si="41"/>
        <v/>
      </c>
      <c r="J474" s="32"/>
      <c r="K474" s="24" t="str">
        <f t="shared" si="39"/>
        <v/>
      </c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552</v>
      </c>
      <c r="H475" s="22" t="str">
        <f t="shared" si="41"/>
        <v/>
      </c>
      <c r="J475" s="32"/>
      <c r="K475" s="24" t="str">
        <f t="shared" si="39"/>
        <v/>
      </c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553</v>
      </c>
      <c r="H476" s="22" t="str">
        <f t="shared" si="41"/>
        <v/>
      </c>
      <c r="J476" s="32"/>
      <c r="K476" s="24" t="str">
        <f t="shared" si="39"/>
        <v/>
      </c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554</v>
      </c>
      <c r="H477" s="22" t="str">
        <f t="shared" si="41"/>
        <v/>
      </c>
      <c r="J477" s="32"/>
      <c r="K477" s="24" t="str">
        <f t="shared" si="39"/>
        <v/>
      </c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555</v>
      </c>
      <c r="H478" s="22" t="str">
        <f t="shared" si="41"/>
        <v/>
      </c>
      <c r="J478" s="32"/>
      <c r="K478" s="24" t="str">
        <f t="shared" si="39"/>
        <v/>
      </c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556</v>
      </c>
      <c r="H479" s="22" t="str">
        <f t="shared" si="41"/>
        <v/>
      </c>
      <c r="J479" s="32"/>
      <c r="K479" s="24" t="str">
        <f t="shared" si="39"/>
        <v/>
      </c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557</v>
      </c>
      <c r="H480" s="22" t="str">
        <f t="shared" si="41"/>
        <v/>
      </c>
      <c r="J480" s="32"/>
      <c r="K480" s="24" t="str">
        <f t="shared" si="39"/>
        <v/>
      </c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558</v>
      </c>
      <c r="H481" s="22" t="str">
        <f t="shared" si="41"/>
        <v/>
      </c>
      <c r="J481" s="32"/>
      <c r="K481" s="24" t="str">
        <f t="shared" si="39"/>
        <v/>
      </c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559</v>
      </c>
      <c r="H482" s="22" t="str">
        <f t="shared" si="41"/>
        <v/>
      </c>
      <c r="J482" s="32"/>
      <c r="K482" s="24" t="str">
        <f t="shared" si="39"/>
        <v/>
      </c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560</v>
      </c>
      <c r="H483" s="22" t="str">
        <f t="shared" si="41"/>
        <v/>
      </c>
      <c r="J483" s="32"/>
      <c r="K483" s="24" t="str">
        <f t="shared" si="39"/>
        <v/>
      </c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561</v>
      </c>
      <c r="H484" s="22" t="str">
        <f t="shared" si="41"/>
        <v/>
      </c>
      <c r="J484" s="32"/>
      <c r="K484" s="24" t="str">
        <f t="shared" si="39"/>
        <v/>
      </c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562</v>
      </c>
      <c r="H485" s="22" t="str">
        <f t="shared" si="41"/>
        <v/>
      </c>
      <c r="J485" s="32"/>
      <c r="K485" s="24" t="str">
        <f t="shared" si="39"/>
        <v/>
      </c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563</v>
      </c>
      <c r="H486" s="22" t="str">
        <f t="shared" si="41"/>
        <v/>
      </c>
      <c r="J486" s="32"/>
      <c r="K486" s="24" t="str">
        <f t="shared" si="39"/>
        <v/>
      </c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564</v>
      </c>
      <c r="H487" s="22" t="str">
        <f t="shared" si="41"/>
        <v/>
      </c>
      <c r="J487" s="32"/>
      <c r="K487" s="24" t="str">
        <f t="shared" si="39"/>
        <v/>
      </c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565</v>
      </c>
      <c r="H488" s="22" t="str">
        <f t="shared" si="41"/>
        <v/>
      </c>
      <c r="J488" s="32"/>
      <c r="K488" s="24" t="str">
        <f t="shared" si="39"/>
        <v/>
      </c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566</v>
      </c>
      <c r="H489" s="22" t="str">
        <f t="shared" si="41"/>
        <v/>
      </c>
      <c r="J489" s="32"/>
      <c r="K489" s="24" t="str">
        <f t="shared" si="39"/>
        <v/>
      </c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567</v>
      </c>
      <c r="H490" s="22" t="str">
        <f t="shared" si="41"/>
        <v/>
      </c>
      <c r="J490" s="32"/>
      <c r="K490" s="24" t="str">
        <f t="shared" si="39"/>
        <v/>
      </c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568</v>
      </c>
      <c r="H491" s="22" t="str">
        <f t="shared" si="41"/>
        <v/>
      </c>
      <c r="J491" s="32"/>
      <c r="K491" s="24" t="str">
        <f t="shared" si="39"/>
        <v/>
      </c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569</v>
      </c>
      <c r="H492" s="22" t="str">
        <f t="shared" si="41"/>
        <v/>
      </c>
      <c r="J492" s="32"/>
      <c r="K492" s="24" t="str">
        <f t="shared" si="39"/>
        <v/>
      </c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570</v>
      </c>
      <c r="H493" s="22" t="str">
        <f t="shared" si="41"/>
        <v/>
      </c>
      <c r="J493" s="32"/>
      <c r="K493" s="24" t="str">
        <f t="shared" si="39"/>
        <v/>
      </c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571</v>
      </c>
      <c r="H494" s="22" t="str">
        <f t="shared" si="41"/>
        <v/>
      </c>
      <c r="J494" s="32"/>
      <c r="K494" s="24" t="str">
        <f t="shared" si="39"/>
        <v/>
      </c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572</v>
      </c>
      <c r="H495" s="22" t="str">
        <f t="shared" si="41"/>
        <v/>
      </c>
      <c r="J495" s="32"/>
      <c r="K495" s="24" t="str">
        <f t="shared" si="39"/>
        <v/>
      </c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573</v>
      </c>
      <c r="H496" s="22" t="str">
        <f t="shared" si="41"/>
        <v/>
      </c>
      <c r="J496" s="32"/>
      <c r="K496" s="24" t="str">
        <f t="shared" si="39"/>
        <v/>
      </c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574</v>
      </c>
      <c r="H497" s="22" t="str">
        <f t="shared" si="41"/>
        <v/>
      </c>
      <c r="J497" s="32"/>
      <c r="K497" s="24" t="str">
        <f t="shared" si="39"/>
        <v/>
      </c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575</v>
      </c>
      <c r="H498" s="22" t="str">
        <f t="shared" si="41"/>
        <v/>
      </c>
      <c r="J498" s="32"/>
      <c r="K498" s="24" t="str">
        <f t="shared" si="39"/>
        <v/>
      </c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576</v>
      </c>
      <c r="H499" s="22" t="str">
        <f t="shared" si="41"/>
        <v/>
      </c>
      <c r="J499" s="32"/>
      <c r="K499" s="24" t="str">
        <f t="shared" si="39"/>
        <v/>
      </c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577</v>
      </c>
      <c r="H500" s="22" t="str">
        <f t="shared" si="41"/>
        <v/>
      </c>
      <c r="J500" s="32"/>
      <c r="K500" s="24" t="str">
        <f t="shared" si="39"/>
        <v/>
      </c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578</v>
      </c>
      <c r="H501" s="22" t="str">
        <f t="shared" si="41"/>
        <v/>
      </c>
      <c r="J501" s="32"/>
      <c r="K501" s="24" t="str">
        <f t="shared" si="39"/>
        <v/>
      </c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579</v>
      </c>
      <c r="H502" s="22" t="str">
        <f t="shared" si="41"/>
        <v/>
      </c>
      <c r="J502" s="32"/>
      <c r="K502" s="24" t="str">
        <f t="shared" si="39"/>
        <v/>
      </c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580</v>
      </c>
      <c r="H503" s="22" t="str">
        <f t="shared" si="41"/>
        <v/>
      </c>
      <c r="J503" s="32"/>
      <c r="K503" s="24" t="str">
        <f t="shared" si="39"/>
        <v/>
      </c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581</v>
      </c>
      <c r="H504" s="22" t="str">
        <f t="shared" si="41"/>
        <v/>
      </c>
      <c r="J504" s="32"/>
      <c r="K504" s="24" t="str">
        <f t="shared" si="39"/>
        <v/>
      </c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582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583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584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585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586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587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588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589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590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591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592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593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594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595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596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597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598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599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600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601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602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603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604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605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606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607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608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609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610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611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612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613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614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615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616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617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618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619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620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621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622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623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624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625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626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627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628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629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630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631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632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633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634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635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636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637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638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639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640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641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642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643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644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645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646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647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648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649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650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651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652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653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654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655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656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657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658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659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660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661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662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663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664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665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666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667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668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669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670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671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672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673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674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675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676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677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678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679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680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681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682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683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684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685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686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687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688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689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690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691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692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693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694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695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696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697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698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699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700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701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702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703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704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705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706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707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708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709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710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711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712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713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714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715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716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717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718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719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720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721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722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723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724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725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726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727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728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729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730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731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732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733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734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735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736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737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738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739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740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741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742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743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744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745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746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747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748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749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750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751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752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753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754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755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756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757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758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759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760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761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762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763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764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765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766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767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768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769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770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771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772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773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774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775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776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777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778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779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780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781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782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783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784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785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786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787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788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789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790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791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792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793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794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795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796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797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798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799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800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801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802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803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804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805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806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807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808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809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810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811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812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813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814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815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816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817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818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819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820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821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822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823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824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825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826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827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828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829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830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831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832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833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834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835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836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837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838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839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840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841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842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843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844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845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846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847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848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849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850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851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852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853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854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855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856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857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858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859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860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861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862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863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864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865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866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867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868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869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870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871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872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873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874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875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876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877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878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879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880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881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882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883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884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885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886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887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888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889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890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891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892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893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894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895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896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897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898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899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900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901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902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903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904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905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906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907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908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909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910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911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912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913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914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915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916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917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918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919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920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921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922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923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924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925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926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927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928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929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930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931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932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933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934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935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936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937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938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939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940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941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942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943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944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945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946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947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948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949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950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951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952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953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954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955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956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957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958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959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960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961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962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963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964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965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966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967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968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969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970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971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972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973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974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975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976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977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978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979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980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981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982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983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984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985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986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987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988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989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990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991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992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993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994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995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996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997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998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999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1000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1001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1002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1003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1004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1005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1006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1007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1008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1009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1010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1011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1012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1013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1014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1015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1016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1017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1018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1019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1020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1021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1022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1023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1024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1025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1026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1027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1028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1029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1030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1031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1032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1033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1034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1035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1036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1037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1038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1039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1040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1041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1042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1043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1044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1045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1046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1047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1048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1049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1050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1051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1052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1053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1054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1055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1056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1057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1058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1059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1060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1061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1062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1063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1064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1065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1066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1067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1068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1069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1070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1071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1072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1073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1074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1075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1076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1077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1078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1079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1080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1081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1082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1083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1084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1085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1086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1087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1088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1089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1090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1091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1092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1093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1094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1095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1096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1097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1098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1099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1100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1101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1102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1103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1104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1105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1106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1107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1108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1109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1110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1111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1112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1113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1114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1115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1116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1117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1118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1119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1120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1121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1122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1123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1124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1125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1126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1127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1128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1129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1130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1131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1132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1133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1134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1135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1136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1137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1138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1139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1140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1141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1142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1143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1144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1145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1146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1147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1148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1149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1150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1151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1152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1153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1154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1155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1156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1157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1158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1159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1160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1161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1162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1163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1164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1165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1166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1167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1168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1169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1170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1171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1172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1173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1174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1175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1176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1177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1178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1179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1180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1181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1182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1183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1184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1185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1186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1187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1188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1189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1190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1191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1192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1193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1194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1195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1196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1197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1198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1199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1200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1201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1202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1203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1204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1205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1206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1207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1208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1209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1210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1211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1212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1213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1214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1215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1216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1217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1218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1219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1220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1221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1222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1223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1224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1225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1226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1227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1228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1229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1230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1231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1232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1233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1234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1235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1236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1237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1238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1239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1240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1241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1242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1243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1244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1245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1246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1247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1248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1249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1250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1251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1252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1253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1254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1255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1256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1257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1258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1259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1260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1261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1262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1263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1264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1265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1266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1267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1268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1269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1270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1271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1272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1273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1274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1275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1276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1277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1278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1279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1280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1281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1282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1283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1284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1285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1286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1287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1288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1289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1290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1291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1292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1293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1294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1295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1296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1297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1298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1299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1300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1301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1302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1303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1304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1305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1306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1307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1308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1309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1310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1311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1312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1313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1314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1315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1316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1317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1318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1319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1320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1321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1322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1323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1324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1325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1326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1327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1328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1329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1330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1331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1332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1333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1334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1335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1336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1337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1338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1339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1340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1341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1342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1343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1344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1345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1346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1347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1348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1349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1350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1351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1352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1353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1354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1355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1356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1357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1358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1359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1360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1361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1362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1363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1364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1365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1366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1367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1368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1369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1370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1371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1372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1373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1374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1375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1376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1377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1378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1379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1380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1381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1382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1383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1384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1385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1386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1387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1388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1389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1390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1391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1392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1393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1394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1395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1396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1397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1398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1399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1400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1401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1402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1403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1404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1405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1406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1407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1408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1409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1410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1411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1412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1413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1414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1415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1416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1417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1418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1419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1420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1421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1422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1423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1424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1425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1426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1427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1428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1429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1430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1431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1432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1433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1434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1435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1436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1437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1438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1439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1440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1441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1442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1443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1444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1445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1446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1447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1448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1449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1450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1451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1452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1453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1454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1455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1456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1457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1458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1459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1460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1461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1462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1463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1464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1465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1466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1467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1468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1469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1470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1471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1472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1473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1474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1475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1476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1477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1478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1479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1480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1481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1482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1483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1484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1485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1486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1487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1488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1489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1490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1491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1492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1493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1494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1495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1496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1497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1498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1499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1500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1501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1502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1503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1504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1505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1506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1507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1508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1509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1510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1511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1512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1513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1514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1515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1516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1517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1518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1519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1520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1521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1522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1523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1524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1525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1526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1527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1528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1529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1530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1531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1532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1533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1534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1535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1536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1537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1538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1539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1540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1541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1542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1543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1544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1545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1546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1547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1548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1549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1550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1551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1552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1553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1554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1555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1556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1557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1558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1559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1560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1561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1562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1563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1564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1565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1566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1567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1568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1569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1570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1571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1572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1573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1574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1575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1576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1577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1578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1579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1580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1581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1582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1583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1584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1585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1586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1587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1588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1589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1590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1591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1592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1593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1594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1595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1596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1597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1598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1599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1600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1601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1602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1603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1604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1605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1606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1607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1608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1609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1610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1611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1612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1613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1614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1615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1616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1617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1618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1619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1620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1621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1622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1623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1624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1625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1626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1627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1628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1629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1630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1631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1632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1633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1634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1635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1636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1637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1638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1639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1640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1641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1642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1643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1644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1645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1646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1647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1648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1649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1650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1651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1652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1653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1654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1655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1656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1657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1658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1659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1660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1661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1662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1663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1664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1665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1666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1667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1668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1669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1670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1671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1672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1673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1674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1675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1676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1677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1678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1679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1680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1681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1682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1683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1684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1685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1686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1687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1688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1689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1690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1691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1692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1693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1694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1695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1696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1697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1698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1699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1700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1701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1702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1703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1704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1705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1706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1707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1708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1709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1710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1711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1712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1713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1714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1715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1716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1717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1718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1719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1720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1721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1722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1723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1724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1725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1726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1727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1728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1729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1730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1731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1732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1733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1734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1735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1736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1737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1738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1739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1740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1741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1742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1743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1744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1745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1746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1747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1748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1749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1750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1751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1752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1753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1754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1755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1756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1757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1758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1759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1760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1761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1762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1763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1764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1765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1766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1767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1768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1769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1770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1771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1772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1773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1774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1775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1776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1777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1778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1779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1780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1781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1782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1783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1784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1785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1786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1787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1788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1789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1790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1791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1792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1793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1794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1795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1796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1797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1798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1799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1800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1801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1802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1803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1804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1805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1806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1807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1808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1809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1810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1811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1812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1813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1814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1815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1816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1817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1818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1819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1820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1821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1822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1823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1824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1825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1826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1827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1828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1829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1830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1831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1832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1833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1834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1835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1836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1837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1838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1839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1840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1841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1842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1843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1844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1845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1846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1847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1848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1849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1850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1851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1852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1853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1854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1855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1856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1857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1858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1859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1860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1861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1862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1863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1864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1865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1866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1867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1868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1869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1870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1871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1872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1873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1874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1875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1876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1877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1878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1879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1880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1881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1882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1883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1884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1885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1886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1887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1888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1889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1890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1891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1892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1893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1894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1895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1896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1897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1898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1899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1900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1901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1902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1903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1904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1905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1906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1907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1908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1909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1910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1911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1912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1913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1914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1915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1916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1917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1918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1919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1920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1921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1922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1923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1924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1925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1926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1927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1928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1929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1930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1931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1932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1933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1934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1935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1936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1937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1938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1939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1940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1941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1942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1943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1944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1945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1946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1947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1948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1949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1950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1951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1952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1953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1954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1955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1956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1957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1958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1959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1960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1961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1962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1963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1964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1965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1966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1967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1968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1969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1970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1971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1972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1973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1974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1975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1976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1977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1978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1979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1980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1981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1982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1983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1984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1985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1986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1987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1988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1989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1990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1991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1992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1993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1994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1995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1996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1997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1998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1999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2000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2001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2002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2003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2004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2005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2006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2007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2008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2009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2010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2011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2012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2013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2014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2015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2016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2017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2018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2019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2020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2021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2022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2023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2024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2025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2026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2027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2028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2029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2030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2031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2032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2033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2034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2035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2036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2037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2038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2039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2040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2041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2042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2043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2044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2045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2046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2047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2048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2049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2050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2051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2052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2053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2054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2055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2056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2057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2058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2059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2060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2061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2062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2063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2064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2065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2066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2067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2068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2069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2070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2071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2072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2073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2074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2075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2076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2077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2078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2079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2080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2081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14 A15:A2004 B15:Q2001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C12" sqref="C12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2082</v>
      </c>
      <c r="B1" s="34"/>
      <c r="C1" s="34"/>
      <c r="D1" s="34"/>
      <c r="E1" s="34"/>
      <c r="F1" s="34"/>
      <c r="G1" s="34"/>
      <c r="H1" s="34"/>
    </row>
    <row r="2" spans="1:11">
      <c r="A2" s="17" t="s">
        <v>2083</v>
      </c>
    </row>
    <row r="3" spans="1:11" ht="25.5">
      <c r="A3" s="20" t="s">
        <v>2084</v>
      </c>
      <c r="B3" s="25" t="s">
        <v>2085</v>
      </c>
      <c r="C3" s="25" t="s">
        <v>2086</v>
      </c>
      <c r="D3" s="25" t="s">
        <v>27</v>
      </c>
      <c r="E3" s="25" t="s">
        <v>28</v>
      </c>
      <c r="F3" s="25" t="s">
        <v>29</v>
      </c>
      <c r="G3" s="25" t="s">
        <v>34</v>
      </c>
      <c r="H3" s="25" t="s">
        <v>2087</v>
      </c>
      <c r="I3" s="20" t="s">
        <v>2088</v>
      </c>
      <c r="J3" s="20" t="s">
        <v>2089</v>
      </c>
      <c r="K3" s="20" t="s">
        <v>2090</v>
      </c>
    </row>
    <row r="4" spans="1:11">
      <c r="A4" s="18" t="s">
        <v>2091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2092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590</v>
      </c>
      <c r="J5" s="6">
        <f>IF(A5="","",SUMIFS(Movimientos!$K:$K,Movimientos!$H:$H,A5))</f>
        <v>700</v>
      </c>
      <c r="K5" s="14" t="str">
        <f t="shared" ca="1" si="1"/>
        <v>OK</v>
      </c>
    </row>
    <row r="6" spans="1:11">
      <c r="A6" s="18" t="s">
        <v>2093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380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79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408</v>
      </c>
      <c r="J7" s="6">
        <f>IF(A7="","",SUMIFS(Movimientos!$K:$K,Movimientos!$H:$H,A7))</f>
        <v>2600</v>
      </c>
      <c r="K7" s="14" t="str">
        <f t="shared" ca="1" si="1"/>
        <v>OK</v>
      </c>
    </row>
    <row r="8" spans="1:11">
      <c r="A8" s="18" t="s">
        <v>2094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641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2095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397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2096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323</v>
      </c>
      <c r="J10" s="6">
        <f>IF(A10="","",SUMIFS(Movimientos!$K:$K,Movimientos!$H:$H,A10))</f>
        <v>300</v>
      </c>
      <c r="K10" s="14" t="str">
        <f t="shared" ca="1" si="1"/>
        <v>OK</v>
      </c>
    </row>
    <row r="11" spans="1:11">
      <c r="A11" s="18" t="s">
        <v>83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617</v>
      </c>
      <c r="J11" s="6">
        <f>IF(A11="","",SUMIFS(Movimientos!$K:$K,Movimientos!$H:$H,A11))</f>
        <v>4440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2097</v>
      </c>
      <c r="B12" s="3" t="str">
        <f>IFERROR(INDEX(Movimientos!$C$5:$C$2001,MATCH(A12&amp;"ENTRADA",Movimientos!$R$5:$R$2001,0)),"-")</f>
        <v>Silobolsa</v>
      </c>
      <c r="C12" s="3" t="str">
        <f>IFERROR(INDEX(Movimientos!$D$5:$D$2001,MATCH(A12&amp;"ENTRADA",Movimientos!$R$5:$R$2001,0)),"-")</f>
        <v>Silobolsa 9 pies</v>
      </c>
      <c r="D12" s="3" t="str">
        <f>IFERROR(INDEX(Movimientos!$E$5:$E$2001,MATCH(A12&amp;"ENTRADA",Movimientos!$R$5:$R$2001,0)),"-")</f>
        <v>Silobolsa</v>
      </c>
      <c r="E12" s="3">
        <f>IFERROR(INDEX(Movimientos!$F$5:$F$2001,MATCH(A12&amp;"ENTRADA",Movimientos!$R$5:$R$2001,0)),"-")</f>
        <v>0</v>
      </c>
      <c r="F12" s="3" t="str">
        <f>IFERROR(INDEX(Movimientos!$G$5:$G$2001,MATCH(A12&amp;"ENTRADA",Movimientos!$R$5:$R$2001,0)),"-")</f>
        <v>AYP Agrogestiones</v>
      </c>
      <c r="G12" s="3" t="str">
        <f>IFERROR(INDEX(Movimientos!$L$5:$L$2001,MATCH(A12&amp;"ENTRADA",Movimientos!$R$5:$R$2001,0)),"-")</f>
        <v>unidad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>
        <f>IF(A12="","",SUMIFS(Movimientos!$K:$K,Movimientos!$H:$H,A12))</f>
        <v>3</v>
      </c>
      <c r="K12" s="14" t="str">
        <f t="shared" ca="1" si="3"/>
        <v>OK</v>
      </c>
    </row>
    <row r="13" spans="1:11">
      <c r="A13" s="18" t="s">
        <v>2098</v>
      </c>
      <c r="B13" s="3" t="str">
        <f>IFERROR(INDEX(Movimientos!$C$5:$C$2001,MATCH(A13&amp;"ENTRADA",Movimientos!$R$5:$R$2001,0)),"-")</f>
        <v>Dedalo elite</v>
      </c>
      <c r="C13" s="3" t="str">
        <f>IFERROR(INDEX(Movimientos!$D$5:$D$2001,MATCH(A13&amp;"ENTRADA",Movimientos!$R$5:$R$2001,0)),"-")</f>
        <v>2,4 D Acido 27.2%</v>
      </c>
      <c r="D13" s="3" t="str">
        <f>IFERROR(INDEX(Movimientos!$E$5:$E$2001,MATCH(A13&amp;"ENTRADA",Movimientos!$R$5:$R$2001,0)),"-")</f>
        <v>Herbicida</v>
      </c>
      <c r="E13" s="3" t="str">
        <f>IFERROR(INDEX(Movimientos!$F$5:$F$2001,MATCH(A13&amp;"ENTRADA",Movimientos!$R$5:$R$2001,0)),"-")</f>
        <v>Postemergente</v>
      </c>
      <c r="F13" s="3" t="str">
        <f>IFERROR(INDEX(Movimientos!$G$5:$G$2001,MATCH(A13&amp;"ENTRADA",Movimientos!$R$5:$R$2001,0)),"-")</f>
        <v>Agromil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46725</v>
      </c>
      <c r="I13" s="16">
        <f t="shared" ca="1" si="2"/>
        <v>605</v>
      </c>
      <c r="J13" s="6">
        <f>IF(A13="","",SUMIFS(Movimientos!$K:$K,Movimientos!$H:$H,A13))</f>
        <v>12500</v>
      </c>
      <c r="K13" s="14" t="str">
        <f t="shared" ca="1" si="3"/>
        <v>OK</v>
      </c>
    </row>
    <row r="14" spans="1:11">
      <c r="A14" s="18"/>
      <c r="B14" s="3" t="str">
        <f>IFERROR(INDEX(Movimientos!$C$5:$C$2001,MATCH(A14&amp;"ENTRADA",Movimientos!$R$5:$R$2001,0)),"-")</f>
        <v>-</v>
      </c>
      <c r="C14" s="3" t="str">
        <f>IFERROR(INDEX(Movimientos!$D$5:$D$2001,MATCH(A14&amp;"ENTRADA",Movimientos!$R$5:$R$2001,0)),"-")</f>
        <v>-</v>
      </c>
      <c r="D14" s="3" t="str">
        <f>IFERROR(INDEX(Movimientos!$E$5:$E$2001,MATCH(A14&amp;"ENTRADA",Movimientos!$R$5:$R$2001,0)),"-")</f>
        <v>-</v>
      </c>
      <c r="E14" s="3" t="str">
        <f>IFERROR(INDEX(Movimientos!$F$5:$F$2001,MATCH(A14&amp;"ENTRADA",Movimientos!$R$5:$R$2001,0)),"-")</f>
        <v>-</v>
      </c>
      <c r="F14" s="3" t="str">
        <f>IFERROR(INDEX(Movimientos!$G$5:$G$2001,MATCH(A14&amp;"ENTRADA",Movimientos!$R$5:$R$2001,0)),"-")</f>
        <v>-</v>
      </c>
      <c r="G14" s="3" t="str">
        <f>IFERROR(INDEX(Movimientos!$L$5:$L$2001,MATCH(A14&amp;"ENTRADA",Movimientos!$R$5:$R$2001,0)),"-")</f>
        <v>-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 t="str">
        <f>IF(A14="","",SUMIFS(Movimientos!$K:$K,Movimientos!$H:$H,A14))</f>
        <v/>
      </c>
      <c r="K14" s="14" t="str">
        <f t="shared" ca="1" si="3"/>
        <v/>
      </c>
    </row>
    <row r="15" spans="1:11">
      <c r="A15" s="18"/>
      <c r="B15" s="3" t="str">
        <f>IFERROR(INDEX(Movimientos!$C$5:$C$2001,MATCH(A15&amp;"ENTRADA",Movimientos!$R$5:$R$2001,0)),"-")</f>
        <v>-</v>
      </c>
      <c r="C15" s="3" t="str">
        <f>IFERROR(INDEX(Movimientos!$D$5:$D$2001,MATCH(A15&amp;"ENTRADA",Movimientos!$R$5:$R$2001,0)),"-")</f>
        <v>-</v>
      </c>
      <c r="D15" s="3" t="str">
        <f>IFERROR(INDEX(Movimientos!$E$5:$E$2001,MATCH(A15&amp;"ENTRADA",Movimientos!$R$5:$R$2001,0)),"-")</f>
        <v>-</v>
      </c>
      <c r="E15" s="3" t="str">
        <f>IFERROR(INDEX(Movimientos!$F$5:$F$2001,MATCH(A15&amp;"ENTRADA",Movimientos!$R$5:$R$2001,0)),"-")</f>
        <v>-</v>
      </c>
      <c r="F15" s="3" t="str">
        <f>IFERROR(INDEX(Movimientos!$G$5:$G$2001,MATCH(A15&amp;"ENTRADA",Movimientos!$R$5:$R$2001,0)),"-")</f>
        <v>-</v>
      </c>
      <c r="G15" s="3" t="str">
        <f>IFERROR(INDEX(Movimientos!$L$5:$L$2001,MATCH(A15&amp;"ENTRADA",Movimientos!$R$5:$R$2001,0)),"-")</f>
        <v>-</v>
      </c>
      <c r="H15" s="19" t="str">
        <f>IFERROR(IF(INDEX(Movimientos!$M$5:$M$2001,MATCH(A15&amp;"ENTRADA",Movimientos!$R$5:$R$2001,0))=0,"S/D",INDEX(Movimientos!$M$5:$M$2001,MATCH(A15&amp;"ENTRADA",Movimientos!$R$5:$R$2001,0))),"S/D")</f>
        <v>S/D</v>
      </c>
      <c r="I15" s="16" t="str">
        <f t="shared" ca="1" si="2"/>
        <v>S/D</v>
      </c>
      <c r="J15" s="6" t="str">
        <f>IF(A15="","",SUMIFS(Movimientos!$K:$K,Movimientos!$H:$H,A15))</f>
        <v/>
      </c>
      <c r="K15" s="14" t="str">
        <f t="shared" ca="1" si="3"/>
        <v/>
      </c>
    </row>
    <row r="16" spans="1:11">
      <c r="A16" s="18"/>
      <c r="B16" s="3" t="str">
        <f>IFERROR(INDEX(Movimientos!$C$5:$C$2001,MATCH(A16&amp;"ENTRADA",Movimientos!$R$5:$R$2001,0)),"-")</f>
        <v>-</v>
      </c>
      <c r="C16" s="3" t="str">
        <f>IFERROR(INDEX(Movimientos!$D$5:$D$2001,MATCH(A16&amp;"ENTRADA",Movimientos!$R$5:$R$2001,0)),"-")</f>
        <v>-</v>
      </c>
      <c r="D16" s="3" t="str">
        <f>IFERROR(INDEX(Movimientos!$E$5:$E$2001,MATCH(A16&amp;"ENTRADA",Movimientos!$R$5:$R$2001,0)),"-")</f>
        <v>-</v>
      </c>
      <c r="E16" s="3" t="str">
        <f>IFERROR(INDEX(Movimientos!$F$5:$F$2001,MATCH(A16&amp;"ENTRADA",Movimientos!$R$5:$R$2001,0)),"-")</f>
        <v>-</v>
      </c>
      <c r="F16" s="3" t="str">
        <f>IFERROR(INDEX(Movimientos!$G$5:$G$2001,MATCH(A16&amp;"ENTRADA",Movimientos!$R$5:$R$2001,0)),"-")</f>
        <v>-</v>
      </c>
      <c r="G16" s="3" t="str">
        <f>IFERROR(INDEX(Movimientos!$L$5:$L$2001,MATCH(A16&amp;"ENTRADA",Movimientos!$R$5:$R$2001,0)),"-")</f>
        <v>-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 t="str">
        <f>IF(A16="","",SUMIFS(Movimientos!$K:$K,Movimientos!$H:$H,A16))</f>
        <v/>
      </c>
      <c r="K16" s="14" t="str">
        <f t="shared" ca="1" si="3"/>
        <v/>
      </c>
    </row>
    <row r="17" spans="1:11">
      <c r="A17" s="18"/>
      <c r="B17" s="3" t="str">
        <f>IFERROR(INDEX(Movimientos!$C$5:$C$2001,MATCH(A17&amp;"ENTRADA",Movimientos!$R$5:$R$2001,0)),"-")</f>
        <v>-</v>
      </c>
      <c r="C17" s="3" t="str">
        <f>IFERROR(INDEX(Movimientos!$D$5:$D$2001,MATCH(A17&amp;"ENTRADA",Movimientos!$R$5:$R$2001,0)),"-")</f>
        <v>-</v>
      </c>
      <c r="D17" s="3" t="str">
        <f>IFERROR(INDEX(Movimientos!$E$5:$E$2001,MATCH(A17&amp;"ENTRADA",Movimientos!$R$5:$R$2001,0)),"-")</f>
        <v>-</v>
      </c>
      <c r="E17" s="3" t="str">
        <f>IFERROR(INDEX(Movimientos!$F$5:$F$2001,MATCH(A17&amp;"ENTRADA",Movimientos!$R$5:$R$2001,0)),"-")</f>
        <v>-</v>
      </c>
      <c r="F17" s="3" t="str">
        <f>IFERROR(INDEX(Movimientos!$G$5:$G$2001,MATCH(A17&amp;"ENTRADA",Movimientos!$R$5:$R$2001,0)),"-")</f>
        <v>-</v>
      </c>
      <c r="G17" s="3" t="str">
        <f>IFERROR(INDEX(Movimientos!$L$5:$L$2001,MATCH(A17&amp;"ENTRADA",Movimientos!$R$5:$R$2001,0)),"-")</f>
        <v>-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 t="str">
        <f>IF(A17="","",SUMIFS(Movimientos!$K:$K,Movimientos!$H:$H,A17))</f>
        <v/>
      </c>
      <c r="K17" s="14" t="str">
        <f t="shared" ca="1" si="3"/>
        <v/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2099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2100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2101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2102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2103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2104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2105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2106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2107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2108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2109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2110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2111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2112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2113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2114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2115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2116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2117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2118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2119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2120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2121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2122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2123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2124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2125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2126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2127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2128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2129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2130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2131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2132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2133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2134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2135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2136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2137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2138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2139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2140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2141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2142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2143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2144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2145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2146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2147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2148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2149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2150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2151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2152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2153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2154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2155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2156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2157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2158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2159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2160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2161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2162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2163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2164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2165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2166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2167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2168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2169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2170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2171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2172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2173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2174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2175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2176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2177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2178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2179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2180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2181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2182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2183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2184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2185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2186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2187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2188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2189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2190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2191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2192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2193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2194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2195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2196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2197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2198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2199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2200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2201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2202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2203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2204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2205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2206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2207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2208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2209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2210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2211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2212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2213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2214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2215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2216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2217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2218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2219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2220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2221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2222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2223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2224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2225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2226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2227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2228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2229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2230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2231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2232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2233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2234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2235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2236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2237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2238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2239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2240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2241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2242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2243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2244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2245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2246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2247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2248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2249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2250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2251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2252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2253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2254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2255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2256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2257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2258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2259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2260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2261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2262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2263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2264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2265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2266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2267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2268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2269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2270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2271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2272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2273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2274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2275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2276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2277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2278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2279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2280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2281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2282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2283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2284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2285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2286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2287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2288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2289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2290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2291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2292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2293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2294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2295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2296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2297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2298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2299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2300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2301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2302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2303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2304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2305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2306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2307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2308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2309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2310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2311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2312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2313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2314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2315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2316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2317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2318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2319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2320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2321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2322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2323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2324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2325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2326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2327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2328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2329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2330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2331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2332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2333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2334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2335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2336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2337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2338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2339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2340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2341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2342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2343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2344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2345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2346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2347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2348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2349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2350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2351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2352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2353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2354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2355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2356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2357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2358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2359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2360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2361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2362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2363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2364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2365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2366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2367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2368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2369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2370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2371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2372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2373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2374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2375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2376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2377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2378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2379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2380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2381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2382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2383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2384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2385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2386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2387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2388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2389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2390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2391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2392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2393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2394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2395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2396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2397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2398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2399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2400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2401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2402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2403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2404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2405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2406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2407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2408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2409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2410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2411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2412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2413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2414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2415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2416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2417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2418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2419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2420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2421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2422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2423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2424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2425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2426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2427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2428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2429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2430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2431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2432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2433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2434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2435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2436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2437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2438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2439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2440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2441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2442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2443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2444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2445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2446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2447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2448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2449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2450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2451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2452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2453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2454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2455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2456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2457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2458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2459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2460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2461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2462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2463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2464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2465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2466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2467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2468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2469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2470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2471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2472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2473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2474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2475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2476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2477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2478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2479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2480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2481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2482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2483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2484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2485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2486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2487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2488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2489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2490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2491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2492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2493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2494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2495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2496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2497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2498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2499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2500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2501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2502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2503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2504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2505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2506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2507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2508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2509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2510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2511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2512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2513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2514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2515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2516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2517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2518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2519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2520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2521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2522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2523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2524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2525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2526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2527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2528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2529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2530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2531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2532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2533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2534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2535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2536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2537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2538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2539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2540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2541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2542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2543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2544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2545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2546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2547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2548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2549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2550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2551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2552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2553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2554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2555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2556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2557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2558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2559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2560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2561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2562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2563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2564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2565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2566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2567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2568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2569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2570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2571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2572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2573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2574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2575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2576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2577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2578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2579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2580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2581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2582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2583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2584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2585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2586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2587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2588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2589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2590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2591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2592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2593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2594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2595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2596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2597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2598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2599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2600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2601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2602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2603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2604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2605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2606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2607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2608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2609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2610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2611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2612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2613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2614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2615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2616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2617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2618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2619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2620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2621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2622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2623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2624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2625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2626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2627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2628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2629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2630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2631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2632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2633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2634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2635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2636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2637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2638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2639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2640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2641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2642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2643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2644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2645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2646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2647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2648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2649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2650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2651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2652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2653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2654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2655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2656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2657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2658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2659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2660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2661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2662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2663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2664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2665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2666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2667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2668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2669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2670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2671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2672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2673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2674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2675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2676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2677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2678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2679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2680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2681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2682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2683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2684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2685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2686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2687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2688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2689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2690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2691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2692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2693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2694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2695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2696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2697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2698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2699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2700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2701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2702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2703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2704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2705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2706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2707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2708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2709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2710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2711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2712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2713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2714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2715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2716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2717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2718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2719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2720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2721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2722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2723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2724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2725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2726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2727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2728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2729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2730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2731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2732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2733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2734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2735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2736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2737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2738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2739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2740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2741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2742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2743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2744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2745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2746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2747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2748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2749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2750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2751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2752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2753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2754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2755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2756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2757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2758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2759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2760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2761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2762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2763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2764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2765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2766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2767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2768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2769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2770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2771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2772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2773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2774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2775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2776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2777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2778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2779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2780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2781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2782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2783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2784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2785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2786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2787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2788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2789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2790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2791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2792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2793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2794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2795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2796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2797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2798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2799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2800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2801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2802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2803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2804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2805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2806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2807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2808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2809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2810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2811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2812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2813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2814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2815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2816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2817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2818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2819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2820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2821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2822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2823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2824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2825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2826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2827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2828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2829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2830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2831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2832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2833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2834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2835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2836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2837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2838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2839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2840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2841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2842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2843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2844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2845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2846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2847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2848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2849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2850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2851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2852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2853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2854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2855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2856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2857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2858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2859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2860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2861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2862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2863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2864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2865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2866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2867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2868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2869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2870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2871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2872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2873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2874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2875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2876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2877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2878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2879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2880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2881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2882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2883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2884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2885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2886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2887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2888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2889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2890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2891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2892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2893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2894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2895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2896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2897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2898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2899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2900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2901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2902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2903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2904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2905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2906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2907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2908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2909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2910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2911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2912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2913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2914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2915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2916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2917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2918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2919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2920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2921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2922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2923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2924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2925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2926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2927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2928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2929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2930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2931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2932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2933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2934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2935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2936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2937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2938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2939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2940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2941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2942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2943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2944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2945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2946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2947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2948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2949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2950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2951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2952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2953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2954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2955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2956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2957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2958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2959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2960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2961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2962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2963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2964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2965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2966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2967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2968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2969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2970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2971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2972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2973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2974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2975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2976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2977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2978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2979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2980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2981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2982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2983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2984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2985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2986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2987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2988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2989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2990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2991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2992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2993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2994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2995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2996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2997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2998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2999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3000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3001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3002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3003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3004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3005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3006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3007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3008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3009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3010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3011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3012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3013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3014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3015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3016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3017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3018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3019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3020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3021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3022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3023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3024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3025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3026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3027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3028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3029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3030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3031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3032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3033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3034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3035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3036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3037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3038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3039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3040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3041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3042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3043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3044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3045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3046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3047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3048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3049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3050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3051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3052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3053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3054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3055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3056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3057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3058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3059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3060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A4" sqref="A4:A12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3061</v>
      </c>
    </row>
    <row r="2" spans="1:8">
      <c r="A2" s="2" t="s">
        <v>3062</v>
      </c>
    </row>
    <row r="3" spans="1:8" ht="25.5">
      <c r="A3" s="20" t="s">
        <v>2085</v>
      </c>
      <c r="B3" s="20" t="s">
        <v>3063</v>
      </c>
      <c r="C3" s="20" t="s">
        <v>27</v>
      </c>
      <c r="D3" s="20" t="s">
        <v>28</v>
      </c>
      <c r="E3" s="20" t="s">
        <v>34</v>
      </c>
      <c r="F3" s="20" t="s">
        <v>3064</v>
      </c>
      <c r="G3" s="20" t="s">
        <v>3065</v>
      </c>
      <c r="H3" s="20" t="s">
        <v>3066</v>
      </c>
    </row>
    <row r="4" spans="1:8">
      <c r="A4" s="8" t="s">
        <v>43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51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700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60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63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2700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68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71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300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75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4440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90</v>
      </c>
      <c r="B11" s="4" t="str">
        <f>IF(A11="","",IFERROR(INDEX(Movimientos!$D$5:$D$2001,MATCH(A11&amp;"ENTRADA",Movimientos!$S$5:$S$2001,0)),"-"))</f>
        <v>2,4 D Acido 27.2%</v>
      </c>
      <c r="C11" s="4" t="str">
        <f>IF(A11="","",IFERROR(INDEX(Movimientos!$E$5:$E$2001,MATCH(A11&amp;"ENTRADA",Movimientos!$S$5:$S$2001,0)),"-"))</f>
        <v>Herbicida</v>
      </c>
      <c r="D11" s="4" t="str">
        <f>IF(A11="","",IFERROR(INDEX(Movimientos!$F$5:$F$2001,MATCH(A11&amp;"ENTRADA",Movimientos!$S$5:$S$2001,0)),"-"))</f>
        <v>Postemergente</v>
      </c>
      <c r="E11" s="4" t="str">
        <f>IF(A11="","",IFERROR(INDEX(Movimientos!$L$5:$L$2001,MATCH(A11&amp;"ENTRADA",Movimientos!$S$5:$S$2001,0)),"-"))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12500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85</v>
      </c>
      <c r="B12" s="4" t="str">
        <f>IF(A12="","",IFERROR(INDEX(Movimientos!$D$5:$D$2001,MATCH(A12&amp;"ENTRADA",Movimientos!$S$5:$S$2001,0)),"-"))</f>
        <v>Silobolsa 9 pies</v>
      </c>
      <c r="C12" s="4" t="str">
        <f>IF(A12="","",IFERROR(INDEX(Movimientos!$E$5:$E$2001,MATCH(A12&amp;"ENTRADA",Movimientos!$S$5:$S$2001,0)),"-"))</f>
        <v>Silobolsa</v>
      </c>
      <c r="D12" s="4">
        <f>IF(A12="","",IFERROR(INDEX(Movimientos!$F$5:$F$2001,MATCH(A12&amp;"ENTRADA",Movimientos!$S$5:$S$2001,0)),"-"))</f>
        <v>0</v>
      </c>
      <c r="E12" s="4" t="str">
        <f>IF(A12="","",IFERROR(INDEX(Movimientos!$L$5:$L$2001,MATCH(A12&amp;"ENTRADA",Movimientos!$S$5:$S$2001,0)),"-"))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17"/>
  <sheetViews>
    <sheetView showGridLines="0" workbookViewId="0">
      <selection activeCell="G12" sqref="G12"/>
    </sheetView>
  </sheetViews>
  <sheetFormatPr defaultColWidth="9.140625" defaultRowHeight="15"/>
  <cols>
    <col min="1" max="1" width="22" customWidth="1"/>
    <col min="2" max="2" width="41.28515625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3067</v>
      </c>
    </row>
    <row r="2" spans="1:8" ht="21.75" customHeight="1">
      <c r="A2" s="25" t="s">
        <v>2085</v>
      </c>
      <c r="B2" s="25" t="s">
        <v>3068</v>
      </c>
      <c r="C2" s="25" t="s">
        <v>27</v>
      </c>
      <c r="D2" s="25" t="s">
        <v>28</v>
      </c>
      <c r="E2" s="25" t="s">
        <v>29</v>
      </c>
      <c r="F2" s="25" t="s">
        <v>3069</v>
      </c>
      <c r="G2" s="25" t="s">
        <v>34</v>
      </c>
      <c r="H2" s="25" t="s">
        <v>3070</v>
      </c>
    </row>
    <row r="3" spans="1:8">
      <c r="A3" t="s">
        <v>43</v>
      </c>
      <c r="B3" t="s">
        <v>44</v>
      </c>
      <c r="C3" s="26" t="s">
        <v>3071</v>
      </c>
      <c r="D3" s="26" t="s">
        <v>3072</v>
      </c>
      <c r="E3" s="26" t="s">
        <v>55</v>
      </c>
      <c r="F3" s="26" t="s">
        <v>47</v>
      </c>
      <c r="G3" s="26" t="s">
        <v>56</v>
      </c>
      <c r="H3" s="11" t="s">
        <v>3073</v>
      </c>
    </row>
    <row r="4" spans="1:8">
      <c r="A4" t="s">
        <v>51</v>
      </c>
      <c r="B4" t="s">
        <v>3074</v>
      </c>
      <c r="C4" s="26" t="s">
        <v>3075</v>
      </c>
      <c r="D4" s="26" t="s">
        <v>3076</v>
      </c>
      <c r="E4" s="26" t="s">
        <v>87</v>
      </c>
      <c r="F4" s="26" t="s">
        <v>80</v>
      </c>
      <c r="G4" s="26" t="s">
        <v>48</v>
      </c>
      <c r="H4" s="11" t="s">
        <v>3077</v>
      </c>
    </row>
    <row r="5" spans="1:8">
      <c r="A5" t="s">
        <v>60</v>
      </c>
      <c r="B5" t="s">
        <v>61</v>
      </c>
      <c r="C5" s="26" t="s">
        <v>53</v>
      </c>
      <c r="D5" s="26" t="s">
        <v>3078</v>
      </c>
      <c r="E5" s="26" t="s">
        <v>92</v>
      </c>
      <c r="G5" s="26" t="s">
        <v>3079</v>
      </c>
      <c r="H5" s="11" t="s">
        <v>81</v>
      </c>
    </row>
    <row r="6" spans="1:8">
      <c r="A6" t="s">
        <v>63</v>
      </c>
      <c r="B6" t="s">
        <v>78</v>
      </c>
      <c r="C6" s="26" t="s">
        <v>45</v>
      </c>
      <c r="D6" s="26" t="s">
        <v>3080</v>
      </c>
      <c r="E6" s="11" t="s">
        <v>46</v>
      </c>
      <c r="G6" s="26" t="s">
        <v>3081</v>
      </c>
      <c r="H6" s="11" t="s">
        <v>3082</v>
      </c>
    </row>
    <row r="7" spans="1:8">
      <c r="A7" t="s">
        <v>68</v>
      </c>
      <c r="B7" t="s">
        <v>3083</v>
      </c>
      <c r="C7" s="26" t="s">
        <v>3084</v>
      </c>
      <c r="D7" s="26" t="s">
        <v>65</v>
      </c>
      <c r="E7" s="26"/>
      <c r="G7" s="26" t="s">
        <v>88</v>
      </c>
      <c r="H7" s="11" t="s">
        <v>3085</v>
      </c>
    </row>
    <row r="8" spans="1:8">
      <c r="A8" t="s">
        <v>71</v>
      </c>
      <c r="B8" t="s">
        <v>72</v>
      </c>
      <c r="C8" s="26" t="s">
        <v>3086</v>
      </c>
      <c r="D8" s="26" t="s">
        <v>54</v>
      </c>
      <c r="E8" s="26"/>
      <c r="G8" s="26" t="s">
        <v>3087</v>
      </c>
    </row>
    <row r="9" spans="1:8">
      <c r="A9" t="s">
        <v>75</v>
      </c>
      <c r="B9" t="s">
        <v>76</v>
      </c>
      <c r="C9" s="26" t="s">
        <v>3088</v>
      </c>
      <c r="D9" s="26" t="s">
        <v>3089</v>
      </c>
      <c r="E9" s="26"/>
      <c r="G9" s="26" t="s">
        <v>73</v>
      </c>
    </row>
    <row r="10" spans="1:8">
      <c r="A10" t="s">
        <v>90</v>
      </c>
      <c r="B10" t="s">
        <v>91</v>
      </c>
      <c r="C10" s="26" t="s">
        <v>85</v>
      </c>
      <c r="D10" s="26" t="s">
        <v>3090</v>
      </c>
      <c r="E10" s="26"/>
      <c r="G10" s="11"/>
    </row>
    <row r="11" spans="1:8">
      <c r="A11" t="s">
        <v>85</v>
      </c>
      <c r="B11" t="s">
        <v>86</v>
      </c>
      <c r="C11" s="26"/>
      <c r="D11" s="26" t="s">
        <v>3091</v>
      </c>
      <c r="E11" s="26"/>
    </row>
    <row r="12" spans="1:8">
      <c r="C12" s="26"/>
      <c r="D12" s="26" t="s">
        <v>3092</v>
      </c>
      <c r="E12" s="26"/>
    </row>
    <row r="13" spans="1:8">
      <c r="C13" s="26"/>
      <c r="D13" s="26" t="s">
        <v>3093</v>
      </c>
    </row>
    <row r="14" spans="1:8">
      <c r="C14" s="26"/>
      <c r="D14" s="26" t="s">
        <v>3094</v>
      </c>
    </row>
    <row r="15" spans="1:8">
      <c r="C15" s="26"/>
      <c r="D15" s="26" t="s">
        <v>3095</v>
      </c>
    </row>
    <row r="16" spans="1:8">
      <c r="C16" s="26"/>
      <c r="D16" s="26" t="s">
        <v>3096</v>
      </c>
    </row>
    <row r="17" spans="4:4">
      <c r="D17" s="26" t="s">
        <v>3097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3098</v>
      </c>
    </row>
    <row r="2" spans="1:2">
      <c r="B2" t="s">
        <v>3099</v>
      </c>
    </row>
    <row r="3" spans="1:2" ht="18" customHeight="1">
      <c r="A3" s="12" t="s">
        <v>3100</v>
      </c>
      <c r="B3" s="13"/>
    </row>
    <row r="4" spans="1:2" ht="30" customHeight="1">
      <c r="A4" s="27" t="s">
        <v>3101</v>
      </c>
      <c r="B4" s="28" t="s">
        <v>3102</v>
      </c>
    </row>
    <row r="5" spans="1:2" ht="30" customHeight="1">
      <c r="A5" s="27" t="s">
        <v>3103</v>
      </c>
      <c r="B5" s="28" t="s">
        <v>3104</v>
      </c>
    </row>
    <row r="6" spans="1:2" ht="30" customHeight="1">
      <c r="A6" s="27" t="s">
        <v>3105</v>
      </c>
      <c r="B6" s="28" t="s">
        <v>3106</v>
      </c>
    </row>
    <row r="7" spans="1:2" ht="18" customHeight="1">
      <c r="A7" s="29"/>
      <c r="B7" s="29"/>
    </row>
    <row r="8" spans="1:2" ht="18" customHeight="1">
      <c r="A8" s="12" t="s">
        <v>3107</v>
      </c>
      <c r="B8" s="13"/>
    </row>
    <row r="9" spans="1:2" ht="30" customHeight="1">
      <c r="A9" s="27" t="s">
        <v>3108</v>
      </c>
      <c r="B9" s="28" t="s">
        <v>3109</v>
      </c>
    </row>
    <row r="10" spans="1:2" ht="30" customHeight="1">
      <c r="A10" s="27" t="s">
        <v>3110</v>
      </c>
      <c r="B10" s="28" t="s">
        <v>3111</v>
      </c>
    </row>
    <row r="11" spans="1:2" ht="30" customHeight="1">
      <c r="A11" s="27" t="s">
        <v>3112</v>
      </c>
      <c r="B11" s="28" t="s">
        <v>3113</v>
      </c>
    </row>
    <row r="12" spans="1:2" ht="30" customHeight="1">
      <c r="A12" s="27" t="s">
        <v>3114</v>
      </c>
      <c r="B12" s="28" t="s">
        <v>3115</v>
      </c>
    </row>
    <row r="13" spans="1:2" ht="30" customHeight="1">
      <c r="A13" s="27" t="s">
        <v>3116</v>
      </c>
      <c r="B13" s="28" t="s">
        <v>3117</v>
      </c>
    </row>
    <row r="14" spans="1:2" ht="18" customHeight="1">
      <c r="A14" s="29"/>
      <c r="B14" s="29"/>
    </row>
    <row r="15" spans="1:2" ht="18" customHeight="1">
      <c r="A15" s="12" t="s">
        <v>3118</v>
      </c>
      <c r="B15" s="13"/>
    </row>
    <row r="16" spans="1:2" ht="30" customHeight="1">
      <c r="A16" s="27" t="s">
        <v>3119</v>
      </c>
      <c r="B16" s="28" t="s">
        <v>3120</v>
      </c>
    </row>
    <row r="17" spans="1:2" ht="18" customHeight="1">
      <c r="A17" s="29"/>
      <c r="B17" s="29"/>
    </row>
    <row r="18" spans="1:2" ht="18" customHeight="1">
      <c r="A18" s="12" t="s">
        <v>3121</v>
      </c>
      <c r="B18" s="13"/>
    </row>
    <row r="19" spans="1:2" ht="30" customHeight="1">
      <c r="A19" s="27" t="s">
        <v>3122</v>
      </c>
      <c r="B19" s="28" t="s">
        <v>3123</v>
      </c>
    </row>
    <row r="20" spans="1:2" ht="30" customHeight="1">
      <c r="A20" s="27" t="s">
        <v>3124</v>
      </c>
      <c r="B20" s="28" t="s">
        <v>3125</v>
      </c>
    </row>
    <row r="21" spans="1:2" ht="30" customHeight="1">
      <c r="A21" s="27" t="s">
        <v>3126</v>
      </c>
      <c r="B21" s="28" t="s">
        <v>3127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2026-04-08T12:05:27Z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