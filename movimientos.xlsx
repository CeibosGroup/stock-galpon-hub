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ED0B0CC5-617F-4B4E-8BA1-5BED0544A1C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<sst xmlns="http://schemas.openxmlformats.org/spreadsheetml/2006/main" count="7299" uniqueCount="3282">
  <si>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</si>
  <si>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</si>
  <si>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</si>
  <si>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</si>
  <si>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</si>
  <si>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</si>
  <si>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</si>
  <si>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</si>
  <si>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</si>
  <si>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</si>
  <si>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</si>
  <si>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</si>
  <si>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</si>
  <si>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</si>
  <si>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</si>
  <si>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</si>
  <si>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</si>
  <si>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</si>
  <si>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</si>
  <si>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</si>
  <si>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</si>
  <si>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</si>
  <si>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</si>
  <si>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</si>
  <si>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</si>
  <si>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</si>
  <si>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</si>
  <si>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</si>
  <si>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</si>
  <si>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</si>
  <si>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</si>
  <si>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</si>
  <si>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</si>
  <si>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</si>
  <si>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</si>
  <si>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</si>
  <si>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</si>
  <si>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</si>
  <si>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</si>
  <si>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</si>
  <si>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</si>
  <si>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</si>
  <si>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</si>
  <si>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</si>
  <si>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</si>
  <si>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</si>
  <si>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</si>
  <si>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</si>
  <si>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</si>
  <si>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</si>
  <si>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</si>
  <si>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</si>
  <si>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</si>
  <si>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</si>
  <si>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</si>
  <si>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</si>
  <si>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</si>
  <si>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</si>
  <si>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</si>
  <si>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</si>
  <si>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</si>
  <si>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</si>
  <si>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</si>
  <si>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</si>
  <si>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</si>
  <si>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</si>
  <si>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</si>
  <si>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</si>
  <si>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</si>
  <si>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</si>
  <si>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</si>
  <si>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</si>
  <si>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</si>
  <si>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</si>
  <si>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</si>
  <si>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</si>
  <si>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</si>
  <si>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</si>
  <si>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</si>
  <si>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</si>
  <si>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</si>
  <si>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</si>
  <si>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</si>
  <si>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</si>
  <si>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</si>
  <si>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</si>
  <si>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</si>
  <si>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</si>
  <si>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</si>
  <si>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</si>
  <si>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</si>
  <si>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</si>
  <si>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</si>
  <si>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</si>
  <si>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</si>
  <si>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</si>
  <si>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</si>
  <si>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</si>
  <si>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</si>
  <si>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</si>
  <si>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</si>
  <si>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</si>
  <si>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</si>
  <si>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</si>
  <si>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</si>
  <si>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</si>
  <si>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</si>
  <si>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</si>
  <si>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</si>
  <si>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</si>
  <si>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</si>
  <si>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</si>
  <si>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</si>
  <si>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</si>
  <si>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</si>
  <si>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</si>
  <si>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</si>
  <si>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</si>
  <si>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</si>
  <si>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</si>
  <si>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</si>
  <si>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</si>
  <si>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</si>
  <si>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</si>
  <si>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</si>
  <si>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</si>
  <si>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</si>
  <si>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</si>
  <si>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</si>
  <si>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</si>
  <si>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</si>
  <si>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</si>
  <si>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</si>
  <si>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</si>
  <si>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</si>
  <si>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</si>
  <si>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</si>
  <si>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</si>
  <si>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</si>
  <si>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</si>
  <si>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</si>
  <si>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</si>
  <si>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</si>
  <si>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</si>
  <si>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</si>
  <si>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</si>
  <si>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</si>
  <si>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</si>
  <si>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</si>
  <si>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</si>
  <si>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</si>
  <si>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</si>
  <si>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</si>
  <si>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</si>
  <si>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</si>
  <si>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</si>
  <si>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</si>
  <si>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</si>
  <si>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</si>
  <si>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</si>
  <si>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</si>
  <si>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</si>
  <si>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</si>
  <si>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</si>
  <si>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</si>
  <si>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</si>
  <si>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</si>
  <si>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</si>
  <si>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</si>
  <si>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</si>
  <si>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</si>
  <si>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</si>
  <si>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</si>
  <si>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</si>
  <si>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</si>
  <si>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</si>
  <si>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</si>
  <si>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</si>
  <si>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</si>
  <si>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</si>
  <si>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</si>
  <si>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</si>
  <si>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</si>
  <si>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</si>
  <si>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</si>
  <si>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</si>
  <si>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</si>
  <si>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</si>
  <si>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</si>
  <si>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</si>
  <si>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</si>
  <si>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</si>
  <si>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</si>
  <si>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</si>
  <si>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</si>
  <si>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</si>
  <si>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</si>
  <si>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</si>
  <si>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</si>
  <si>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</si>
  <si>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</si>
  <si>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</si>
  <si>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</si>
  <si>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</si>
  <si>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</si>
  <si>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</si>
  <si>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</si>
  <si>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</si>
  <si>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</si>
  <si>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</si>
  <si>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</si>
  <si>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</si>
  <si>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</si>
  <si>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</si>
  <si>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</si>
  <si>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</si>
  <si>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</si>
  <si>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</si>
  <si>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</si>
  <si>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</si>
  <si>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</si>
  <si>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</si>
  <si>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</si>
  <si>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</si>
  <si>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</si>
  <si>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</si>
  <si>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</si>
  <si>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</si>
  <si>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</si>
  <si>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</si>
  <si>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</si>
  <si>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</si>
  <si>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</si>
  <si>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</si>
  <si>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</si>
  <si>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</si>
  <si>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</si>
  <si>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</si>
  <si>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</si>
  <si>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</si>
  <si>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</si>
  <si>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</si>
  <si>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</si>
  <si>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</si>
  <si>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</si>
  <si>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</si>
  <si>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</si>
  <si>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</si>
  <si>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</si>
  <si>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</si>
  <si>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</si>
  <si>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</si>
  <si>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</si>
  <si>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</si>
  <si>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</si>
  <si>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</si>
  <si>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</si>
  <si>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</si>
  <si>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</si>
  <si>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</si>
  <si>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</si>
  <si>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</si>
  <si>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</si>
  <si>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</si>
  <si>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</si>
  <si>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</si>
  <si>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</si>
  <si>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</si>
  <si>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</si>
  <si>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</si>
  <si>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</si>
  <si>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</si>
  <si>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</si>
  <si>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</si>
  <si>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</si>
  <si>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</si>
  <si>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</si>
  <si>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</si>
  <si>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</si>
  <si>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</si>
  <si>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</si>
  <si>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</si>
  <si>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</si>
  <si>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</si>
  <si>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</si>
  <si>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</si>
  <si>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</si>
  <si>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</si>
  <si>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</si>
  <si>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</si>
  <si>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</si>
  <si>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</si>
  <si>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</si>
  <si>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</si>
  <si>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</si>
  <si>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</si>
  <si>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</si>
  <si>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</si>
  <si>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</si>
  <si>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</si>
  <si>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</si>
  <si>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</si>
  <si>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</si>
  <si>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</si>
  <si>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</si>
  <si>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</si>
  <si>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</si>
  <si>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</si>
  <si>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</si>
  <si>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</si>
  <si>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</si>
  <si>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</si>
  <si>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</si>
  <si>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</si>
  <si>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</si>
  <si>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</si>
  <si>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</si>
  <si>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</si>
  <si>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</si>
  <si>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</si>
  <si>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</si>
  <si>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</si>
  <si>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</si>
  <si>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</si>
  <si>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</si>
  <si>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</si>
  <si>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</si>
  <si>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</si>
  <si>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</si>
  <si>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</si>
  <si>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</si>
  <si>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</si>
  <si>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</si>
  <si>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</si>
  <si>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</si>
  <si>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</si>
  <si>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</si>
  <si>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</si>
  <si>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</si>
  <si>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</si>
  <si>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</si>
  <si>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</si>
  <si>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</si>
  <si>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</si>
  <si>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</si>
  <si>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</si>
  <si>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</si>
  <si>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</si>
  <si>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</si>
  <si>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</si>
  <si>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</si>
  <si>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</si>
  <si>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</si>
  <si>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</si>
  <si>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</si>
  <si>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</si>
  <si>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</si>
  <si>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</si>
  <si>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</si>
  <si>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</si>
  <si>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</si>
  <si>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</si>
  <si>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</si>
  <si>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</si>
  <si>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</si>
  <si>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</si>
  <si>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</si>
  <si>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</si>
  <si>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</si>
  <si>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</si>
  <si>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</si>
  <si>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</si>
  <si>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</si>
  <si>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</si>
  <si>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</si>
  <si>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</si>
  <si>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</si>
  <si>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</si>
  <si>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</si>
  <si>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</si>
  <si>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</si>
  <si>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</si>
  <si>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</si>
  <si>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</si>
  <si>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</si>
  <si>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</si>
  <si>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</si>
  <si>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</si>
  <si>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</si>
  <si>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</si>
  <si>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</si>
  <si>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</si>
  <si>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</si>
  <si>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</si>
  <si>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</si>
  <si>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</si>
  <si>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</si>
  <si>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</si>
  <si>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</si>
  <si>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</si>
  <si>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</si>
  <si>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</si>
  <si>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</si>
  <si>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</si>
  <si>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</si>
  <si>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</si>
  <si>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</si>
  <si>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</si>
  <si>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</si>
  <si>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</si>
  <si>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</si>
  <si>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</si>
  <si>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</si>
  <si>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</si>
  <si>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</si>
  <si>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</si>
  <si>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</si>
  <si>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</si>
  <si>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</si>
  <si>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</si>
  <si>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</si>
  <si>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</si>
  <si>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</si>
  <si>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</si>
  <si>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</si>
  <si>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</si>
  <si>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</si>
  <si>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</si>
  <si>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</si>
  <si>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</si>
  <si>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</si>
  <si>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</si>
  <si>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</si>
  <si>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</si>
  <si>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</si>
  <si>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</si>
  <si>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</si>
  <si>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</si>
  <si>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</si>
  <si>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</si>
  <si>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</si>
  <si>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</si>
  <si>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</si>
  <si>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</si>
  <si>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</si>
  <si>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</si>
  <si>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</si>
  <si>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</si>
  <si>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</si>
  <si>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</si>
  <si>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</si>
  <si>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</si>
  <si>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</si>
  <si>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</si>
  <si>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</si>
  <si>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</si>
  <si>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</si>
  <si>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</si>
  <si>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</si>
  <si>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</si>
  <si>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</si>
  <si>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</si>
  <si>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</si>
  <si>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</si>
  <si>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</si>
  <si>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</si>
  <si>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</si>
  <si>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</si>
  <si>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</si>
  <si>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</si>
  <si>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</si>
  <si>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</si>
  <si>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</si>
  <si>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</si>
  <si>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</si>
  <si>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</si>
  <si>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</si>
  <si>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</si>
  <si>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</si>
  <si>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</si>
  <si>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</si>
  <si>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</si>
  <si>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</si>
  <si>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</si>
  <si>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</si>
  <si>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</si>
  <si>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</si>
  <si>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</si>
  <si>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</si>
  <si>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</si>
  <si>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</si>
  <si>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</si>
  <si>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</si>
  <si>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</si>
  <si>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</si>
  <si>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</si>
  <si>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</si>
  <si>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</si>
  <si>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</si>
  <si>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</si>
  <si>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</si>
  <si>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</si>
  <si>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</si>
  <si>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</si>
  <si>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</si>
  <si>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</si>
  <si>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</si>
  <si>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</si>
  <si>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</si>
  <si>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</si>
  <si>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</si>
  <si>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</si>
  <si>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</si>
  <si>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</si>
  <si>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</si>
  <si>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</si>
  <si>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</si>
  <si>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</si>
  <si>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</si>
  <si>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</si>
  <si>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</si>
  <si>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</si>
  <si>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</si>
  <si>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</si>
  <si>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</si>
  <si>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</si>
  <si>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</si>
  <si>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</si>
  <si>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</si>
  <si>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</si>
  <si>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</si>
  <si>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</si>
  <si>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</si>
  <si>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</si>
  <si>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</si>
  <si>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</si>
  <si>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</si>
  <si>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</si>
  <si>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</si>
  <si>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</si>
  <si>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</si>
  <si>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</si>
  <si>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</si>
  <si>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</si>
  <si>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</si>
  <si>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</si>
  <si>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</si>
  <si>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</si>
  <si>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</si>
  <si>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</si>
  <si>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</si>
  <si>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</si>
  <si>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</si>
  <si>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</si>
  <si>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</si>
  <si>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</si>
  <si>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</si>
  <si>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</si>
  <si>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</si>
  <si>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</si>
  <si>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</si>
  <si>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</si>
  <si>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</si>
  <si>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</si>
  <si>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</si>
  <si>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</si>
  <si>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</si>
  <si>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</si>
  <si>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</si>
  <si>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</si>
  <si>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</si>
  <si>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</si>
  <si>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</si>
  <si>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</si>
  <si>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</si>
  <si>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</si>
  <si>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</si>
  <si>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</si>
  <si>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</si>
  <si>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</si>
  <si>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</si>
  <si>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</si>
  <si>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</si>
  <si>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</si>
  <si>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</si>
  <si>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</si>
  <si>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</si>
  <si>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</si>
  <si>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</si>
  <si>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</si>
  <si>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</si>
  <si>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</si>
  <si>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</si>
  <si>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</si>
  <si>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</si>
  <si>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</si>
  <si>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</si>
  <si>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</si>
  <si>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</si>
  <si>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</si>
  <si>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</si>
  <si>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</si>
  <si>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</si>
  <si>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</si>
  <si>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</si>
  <si>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</si>
  <si>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</si>
  <si>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</si>
  <si>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</si>
  <si>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</si>
  <si>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</si>
  <si>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</si>
  <si>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</si>
  <si>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</si>
  <si>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</si>
  <si>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</si>
  <si>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</si>
  <si>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</si>
  <si>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</si>
  <si>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</si>
  <si>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</si>
  <si>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</si>
  <si>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</si>
  <si>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</si>
  <si>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</si>
  <si>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</si>
  <si>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</si>
  <si>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</si>
  <si>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</si>
  <si>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</si>
  <si>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Maíz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</si>
  <si>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</si>
  <si>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</si>
  <si>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</si>
  <si>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</si>
  <si>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</si>
  <si>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</si>
  <si>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</si>
  <si>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</si>
  <si>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</si>
  <si>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</si>
  <si>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</si>
  <si>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</si>
  <si>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</si>
  <si>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</si>
  <si>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</si>
  <si>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</si>
  <si>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</si>
  <si>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</si>
  <si>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</si>
  <si>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</si>
  <si>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</si>
  <si>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</si>
  <si>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</si>
  <si>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</si>
  <si>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</si>
  <si>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</si>
  <si>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</si>
  <si>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</si>
  <si>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</si>
  <si>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</si>
  <si>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</si>
  <si>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</si>
  <si>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</si>
  <si>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</si>
  <si>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</si>
  <si>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</si>
  <si>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</si>
  <si>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</si>
  <si>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</si>
  <si>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</si>
  <si>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</si>
  <si>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</si>
  <si>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</si>
  <si>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</si>
  <si>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</si>
  <si>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</si>
  <si>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</si>
  <si>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</si>
  <si>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</si>
  <si>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</si>
  <si>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</si>
  <si>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</si>
  <si>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</si>
  <si>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</si>
  <si>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</si>
  <si>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</si>
  <si>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</si>
  <si>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</si>
  <si>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</si>
  <si>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</si>
  <si>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</si>
  <si>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</si>
  <si>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</si>
  <si>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</si>
  <si>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</si>
  <si>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</si>
  <si>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</si>
  <si>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</si>
  <si>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</si>
  <si>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</si>
  <si>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</si>
  <si>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</si>
  <si>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</si>
  <si>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</si>
  <si>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</si>
  <si>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</si>
  <si>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</si>
  <si>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</si>
  <si>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</si>
  <si>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</si>
  <si>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</si>
  <si>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</si>
  <si>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</si>
  <si>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</si>
  <si>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</si>
  <si>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</si>
  <si>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</si>
  <si>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</si>
  <si>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</si>
  <si>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</si>
  <si>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</si>
  <si>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</si>
  <si>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</si>
  <si>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</si>
  <si>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</si>
  <si>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</si>
  <si>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</si>
  <si>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</si>
  <si>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</si>
  <si>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</si>
  <si>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</si>
  <si>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</si>
  <si>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</si>
  <si>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</si>
  <si>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</si>
  <si>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</si>
  <si>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</si>
  <si>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</si>
  <si>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</si>
  <si>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</si>
  <si>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</si>
  <si>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</si>
  <si>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</si>
  <si>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</si>
  <si>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</si>
  <si>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</si>
  <si>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</si>
  <si>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</si>
  <si>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</si>
  <si>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</si>
  <si>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</si>
  <si>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</si>
  <si>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</si>
  <si>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</si>
  <si>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</si>
  <si>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</si>
  <si>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</t>
  </si>
  <si>
    <t>MOV-481</t>
  </si>
  <si>
    <t xml:space="preserve">semilla comprada maiz illinois 7.24 </t>
  </si>
  <si>
    <t xml:space="preserve">sem maiz illinois 7.24 trecepta </t>
  </si>
  <si>
    <t>MOV-482</t>
  </si>
  <si>
    <t xml:space="preserve">refugio semilla maiz illinois </t>
  </si>
  <si>
    <t>refugio semi maiz illinoiz b2 z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</si>
  <si>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</si>
  <si>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</si>
  <si>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</si>
  <si>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</si>
  <si>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</si>
  <si>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</si>
  <si>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</si>
  <si>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</si>
  <si>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</si>
  <si>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</si>
  <si>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</si>
  <si>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</si>
  <si>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</si>
  <si>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</si>
  <si>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</si>
  <si>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</si>
  <si>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</si>
  <si>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</si>
  <si>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</si>
  <si>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</si>
  <si>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</si>
  <si>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</si>
  <si>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</si>
  <si>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</si>
  <si>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</si>
  <si>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</si>
  <si>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</si>
  <si>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</si>
  <si>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</si>
  <si>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</si>
  <si>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</si>
  <si>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</si>
  <si>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</si>
  <si>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</si>
  <si>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</si>
  <si>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</si>
  <si>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</si>
  <si>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</si>
  <si>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</si>
  <si>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</si>
  <si>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</si>
  <si>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</si>
  <si>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</si>
  <si>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</si>
  <si>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</si>
  <si>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</si>
  <si>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</si>
  <si>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</si>
  <si>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</si>
  <si>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</si>
  <si>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</si>
  <si>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</si>
  <si>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</si>
  <si>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</si>
  <si>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</si>
  <si>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</si>
  <si>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</si>
  <si>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</si>
  <si>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</si>
  <si>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</si>
  <si>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</si>
  <si>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</si>
  <si>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</si>
  <si>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</si>
  <si>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</si>
  <si>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</si>
  <si>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</si>
  <si>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</si>
  <si>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</si>
  <si>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</si>
  <si>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</si>
  <si>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</si>
  <si>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</si>
  <si>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</si>
  <si>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</si>
  <si>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</si>
  <si>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</si>
  <si>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</si>
  <si>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</si>
  <si>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</si>
  <si>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</si>
  <si>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</si>
  <si>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</si>
  <si>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</si>
  <si>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</si>
  <si>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</si>
  <si>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</si>
  <si>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</si>
  <si>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</si>
  <si>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</si>
  <si>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</si>
  <si>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</si>
  <si>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</si>
  <si>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</si>
  <si>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</si>
  <si>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</si>
  <si>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</si>
  <si>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</si>
  <si>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</si>
  <si>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</si>
  <si>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</si>
  <si>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</si>
  <si>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</si>
  <si>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</si>
  <si>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</si>
  <si>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</si>
  <si>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</si>
  <si>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</si>
  <si>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</si>
  <si>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</si>
  <si>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</si>
  <si>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</si>
  <si>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</si>
  <si>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</si>
  <si>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</si>
  <si>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</si>
  <si>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</si>
  <si>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</si>
  <si>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</si>
  <si>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</si>
  <si>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</si>
  <si>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</si>
  <si>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</si>
  <si>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</si>
  <si>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</si>
  <si>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</si>
  <si>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</si>
  <si>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</si>
  <si>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</si>
  <si>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</si>
  <si>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</si>
  <si>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</si>
  <si>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</si>
  <si>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</si>
  <si>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</si>
  <si>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</si>
  <si>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</si>
  <si>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</si>
  <si>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</si>
  <si>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</si>
  <si>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</si>
  <si>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</si>
  <si>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</si>
  <si>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</si>
  <si>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</si>
  <si>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</si>
  <si>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</si>
  <si>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</si>
  <si>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</si>
  <si>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</si>
  <si>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</si>
  <si>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</si>
  <si>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</si>
  <si>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</si>
  <si>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</si>
  <si>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</si>
  <si>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</si>
  <si>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</si>
  <si>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</si>
  <si>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</si>
  <si>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</si>
  <si>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</si>
  <si>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</si>
  <si>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</si>
  <si>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</si>
  <si>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</si>
  <si>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</si>
  <si>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</si>
  <si>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</si>
  <si>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</si>
  <si>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</si>
  <si>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</si>
  <si>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</si>
  <si>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</si>
  <si>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</si>
  <si>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</si>
  <si>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</si>
  <si>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</si>
  <si>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</si>
  <si>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</si>
  <si>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</si>
  <si>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</si>
  <si>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</si>
  <si>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</si>
  <si>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</si>
  <si>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</si>
  <si>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</si>
  <si>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</si>
  <si>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</si>
  <si>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</si>
  <si>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</si>
  <si>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</si>
  <si>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</si>
  <si>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</si>
  <si>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</si>
  <si>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</si>
  <si>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</si>
  <si>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</si>
  <si>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</si>
  <si>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</si>
  <si>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</si>
  <si>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</si>
  <si>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</si>
  <si>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</si>
  <si>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</si>
  <si>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</si>
  <si>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</si>
  <si>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</si>
  <si>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</si>
  <si>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</si>
  <si>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</si>
  <si>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</si>
  <si>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</si>
  <si>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</si>
  <si>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</si>
  <si>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</si>
  <si>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</si>
  <si>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</si>
  <si>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</si>
  <si>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</si>
  <si>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</si>
  <si>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</si>
  <si>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</si>
  <si>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</si>
  <si>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</si>
  <si>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</si>
  <si>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</si>
  <si>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</si>
  <si>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</si>
  <si>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</si>
  <si>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</si>
  <si>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</si>
  <si>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</si>
  <si>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</si>
  <si>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</si>
  <si>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</si>
  <si>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</si>
  <si>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</si>
  <si>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</si>
  <si>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</si>
  <si>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</si>
  <si>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</si>
  <si>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</si>
  <si>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</si>
  <si>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</si>
  <si>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</si>
  <si>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</si>
  <si>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</si>
  <si>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</si>
  <si>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</si>
  <si>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</si>
  <si>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</si>
  <si>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</si>
  <si>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</si>
  <si>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</si>
  <si>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</si>
  <si>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</si>
  <si>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</si>
  <si>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</si>
  <si>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</si>
  <si>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</si>
  <si>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</si>
  <si>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</si>
  <si>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</si>
  <si>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</si>
  <si>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</si>
  <si>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</si>
  <si>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</si>
  <si>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</si>
  <si>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</si>
  <si>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</si>
  <si>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</si>
  <si>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</si>
  <si>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</si>
  <si>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</si>
  <si>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</si>
  <si>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</si>
  <si>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</si>
  <si>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</si>
  <si>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</si>
  <si>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</si>
  <si>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</si>
  <si>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</si>
  <si>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</si>
  <si>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</si>
  <si>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</si>
  <si>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</si>
  <si>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</si>
  <si>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</si>
  <si>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</si>
  <si>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</si>
  <si>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</si>
  <si>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</si>
  <si>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</si>
  <si>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</si>
  <si>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</si>
  <si>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</si>
  <si>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</si>
  <si>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</si>
  <si>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</si>
  <si>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</si>
  <si>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</si>
  <si>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</si>
  <si>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</si>
  <si>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</si>
  <si>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</si>
  <si>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</si>
  <si>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</si>
  <si>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</si>
  <si>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</si>
  <si>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</si>
  <si>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</si>
  <si>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</si>
  <si>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</si>
  <si>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</si>
  <si>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</si>
  <si>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</si>
  <si>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</si>
  <si>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</si>
  <si>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</si>
  <si>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</si>
  <si>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</si>
  <si>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</si>
  <si>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</si>
  <si>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</si>
  <si>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</si>
  <si>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</si>
  <si>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</si>
  <si>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</si>
  <si>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</si>
  <si>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</si>
  <si>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</si>
  <si>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</si>
  <si>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</si>
  <si>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</si>
  <si>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</si>
  <si>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</si>
  <si>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</si>
  <si>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</si>
  <si>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</si>
  <si>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</si>
  <si>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</si>
  <si>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</si>
  <si>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</si>
  <si>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</si>
  <si>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</si>
  <si>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</si>
  <si>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</si>
  <si>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</si>
  <si>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</si>
  <si>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</si>
  <si>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</si>
  <si>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</si>
  <si>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</si>
  <si>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</si>
  <si>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</si>
  <si>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</si>
  <si>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</si>
  <si>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</si>
  <si>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</si>
  <si>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</si>
  <si>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</si>
  <si>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</si>
  <si>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</si>
  <si>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</si>
  <si>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</si>
  <si>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</si>
  <si>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</si>
  <si>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</si>
  <si>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</si>
  <si>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</si>
  <si>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</si>
  <si>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</si>
  <si>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</si>
  <si>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</si>
  <si>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</si>
  <si>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</si>
  <si>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</si>
  <si>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</si>
  <si>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</si>
  <si>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</si>
  <si>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</si>
  <si>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</si>
  <si>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</si>
  <si>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</si>
  <si>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</si>
  <si>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</si>
  <si>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</si>
  <si>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</si>
  <si>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</si>
  <si>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</si>
  <si>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</si>
  <si>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</si>
  <si>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</si>
  <si>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</si>
  <si>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</si>
  <si>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</si>
  <si>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</si>
  <si>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</si>
  <si>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</si>
  <si>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</si>
  <si>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</si>
  <si>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</si>
  <si>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</si>
  <si>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</si>
  <si>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</si>
  <si>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</si>
  <si>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</si>
  <si>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</si>
  <si>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</si>
  <si>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</si>
  <si>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</si>
  <si>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</si>
  <si>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</si>
  <si>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</si>
  <si>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</si>
  <si>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</si>
  <si>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</si>
  <si>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</si>
  <si>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</si>
  <si>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</si>
  <si>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</si>
  <si>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</si>
  <si>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</si>
  <si>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</si>
  <si>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</si>
  <si>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</si>
  <si>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</si>
  <si>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</si>
  <si>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</si>
  <si>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</si>
  <si>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</si>
  <si>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</si>
  <si>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</si>
  <si>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</si>
  <si>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</si>
  <si>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</si>
  <si>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</si>
  <si>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</si>
  <si>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</si>
  <si>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</si>
  <si>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</si>
  <si>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</si>
  <si>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</si>
  <si>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</si>
  <si>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</si>
  <si>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</si>
  <si>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</si>
  <si>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</si>
  <si>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</si>
  <si>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</si>
  <si>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</si>
  <si>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</si>
  <si>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</si>
  <si>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</si>
  <si>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</si>
  <si>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</si>
  <si>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</si>
  <si>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</si>
  <si>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</si>
  <si>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</si>
  <si>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</si>
  <si>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</si>
  <si>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</si>
  <si>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</si>
  <si>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</si>
  <si>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</si>
  <si>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</si>
  <si>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</si>
  <si>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</si>
  <si>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</si>
  <si>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</si>
  <si>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</si>
  <si>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</si>
  <si>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</si>
  <si>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</si>
  <si>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</si>
  <si>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</si>
  <si>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</si>
  <si>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</si>
  <si>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</si>
  <si>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</si>
  <si>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</si>
  <si>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</si>
  <si>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</si>
  <si>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</si>
  <si>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</si>
  <si>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</si>
  <si>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</si>
  <si>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</si>
  <si>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</si>
  <si>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</si>
  <si>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</si>
  <si>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</si>
  <si>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</si>
  <si>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</si>
  <si>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</si>
  <si>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</si>
  <si>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</si>
  <si>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</si>
  <si>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</si>
  <si>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</si>
  <si>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</si>
  <si>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</si>
  <si>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</si>
  <si>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</si>
  <si>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</si>
  <si>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</si>
  <si>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</si>
  <si>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</si>
  <si>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</si>
  <si>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</si>
  <si>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</si>
  <si>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</si>
  <si>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</si>
  <si>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</si>
  <si>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</si>
  <si>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</si>
  <si>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</si>
  <si>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</si>
  <si>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</si>
  <si>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</si>
  <si>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</si>
  <si>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</si>
  <si>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</si>
  <si>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</si>
  <si>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</si>
  <si>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</si>
  <si>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</si>
  <si>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</si>
  <si>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</si>
  <si>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</si>
  <si>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</si>
  <si>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</si>
  <si>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</si>
  <si>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</si>
  <si>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</si>
  <si>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</si>
  <si>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</si>
  <si>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</si>
  <si>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</si>
  <si>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</si>
  <si>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</si>
  <si>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</si>
  <si>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</si>
  <si>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</si>
  <si>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</si>
  <si>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</si>
  <si>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</si>
  <si>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</si>
  <si>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</si>
  <si>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</si>
  <si>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</si>
  <si>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</si>
  <si>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</si>
  <si>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</si>
  <si>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</si>
  <si>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</si>
  <si>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</si>
  <si>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</si>
  <si>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</si>
  <si>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</si>
  <si>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</si>
  <si>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</si>
  <si>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</si>
  <si>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</si>
  <si>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</si>
  <si>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</si>
  <si>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</si>
  <si>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</si>
  <si>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</si>
  <si>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</si>
  <si>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</si>
  <si>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</si>
  <si>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</si>
  <si>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</si>
  <si>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</si>
  <si>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</si>
  <si>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</si>
  <si>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</si>
  <si>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</si>
  <si>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</si>
  <si>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</si>
  <si>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</si>
  <si>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</si>
  <si>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</si>
  <si>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</si>
  <si>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</si>
  <si>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</si>
  <si>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</si>
  <si>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</si>
  <si>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</si>
  <si>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</si>
  <si>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</si>
  <si>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</si>
  <si>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</si>
  <si>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</si>
  <si>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</si>
  <si>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</si>
  <si>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</si>
  <si>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</si>
  <si>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</si>
  <si>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</si>
  <si>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</si>
  <si>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</si>
  <si>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</si>
  <si>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</si>
  <si>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</si>
  <si>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</si>
  <si>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</si>
  <si>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</si>
  <si>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</si>
  <si>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</si>
  <si>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</si>
  <si>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</si>
  <si>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</si>
  <si>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</si>
  <si>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</si>
  <si>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</si>
  <si>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</si>
  <si>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</si>
  <si>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</si>
  <si>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</si>
  <si>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</si>
  <si>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</si>
  <si>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</si>
  <si>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</si>
  <si>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</si>
  <si>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</si>
  <si>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</si>
  <si>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</si>
  <si>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</si>
  <si>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</si>
  <si>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</si>
  <si>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</si>
  <si>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</si>
  <si>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</si>
  <si>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</si>
  <si>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</si>
  <si>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</si>
  <si>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</si>
  <si>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</si>
  <si>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</si>
  <si>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</si>
  <si>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</si>
  <si>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</si>
  <si>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</si>
  <si>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</si>
  <si>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</si>
  <si>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</si>
  <si>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</si>
  <si>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</si>
  <si>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</si>
  <si>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</si>
  <si>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</si>
  <si>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</si>
  <si>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</si>
  <si>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</si>
  <si>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</si>
  <si>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</si>
  <si>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</si>
  <si>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</si>
  <si>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</si>
  <si>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</si>
  <si>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</si>
  <si>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</si>
  <si>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</si>
  <si>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</si>
  <si>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</si>
  <si>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</si>
  <si>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</si>
  <si>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</si>
  <si>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</si>
  <si>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</si>
  <si>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</si>
  <si>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</si>
  <si>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</si>
  <si>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</si>
  <si>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</si>
  <si>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</si>
  <si>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</si>
  <si>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</si>
  <si>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</si>
  <si>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</si>
  <si>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</si>
  <si>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</si>
  <si>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</si>
  <si>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</si>
  <si>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</si>
  <si>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</si>
  <si>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</si>
  <si>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</si>
  <si>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</si>
  <si>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</si>
  <si>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</si>
  <si>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</si>
  <si>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</si>
  <si>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</si>
  <si>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</si>
  <si>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</si>
  <si>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</si>
  <si>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</si>
  <si>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</si>
  <si>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</si>
  <si>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</si>
  <si>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</si>
  <si>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</si>
  <si>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</si>
  <si>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</si>
  <si>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</si>
  <si>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</si>
  <si>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</si>
  <si>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</si>
  <si>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</si>
  <si>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</si>
  <si>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</si>
  <si>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</si>
  <si>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</si>
  <si>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</si>
  <si>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</si>
  <si>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</si>
  <si>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</si>
  <si>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</si>
  <si>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</si>
  <si>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</si>
  <si>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</si>
  <si>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</si>
  <si>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</si>
  <si>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</si>
  <si>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</si>
  <si>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</si>
  <si>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</si>
  <si>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</si>
  <si>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</si>
  <si>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</si>
  <si>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</si>
  <si>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</si>
  <si>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</si>
  <si>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</si>
  <si>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</si>
  <si>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</si>
  <si>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</si>
  <si>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</si>
  <si>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</si>
  <si>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</si>
  <si>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</si>
  <si>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</si>
  <si>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</si>
  <si>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</si>
  <si>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</si>
  <si>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</si>
  <si>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</si>
  <si>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</si>
  <si>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</si>
  <si>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</si>
  <si>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</si>
  <si>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</si>
  <si>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</si>
  <si>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</si>
  <si>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</si>
  <si>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</si>
  <si>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</si>
  <si>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</si>
  <si>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</si>
  <si>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</si>
  <si>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</si>
  <si>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</si>
  <si>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</si>
  <si>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</si>
  <si>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</si>
  <si>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</si>
  <si>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</si>
  <si>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</si>
  <si>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</si>
  <si>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</si>
  <si>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</si>
  <si>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</si>
  <si>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</si>
  <si>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</si>
  <si>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</si>
  <si>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</si>
  <si>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</si>
  <si>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</si>
  <si>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</si>
  <si>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</si>
  <si>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</si>
  <si>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</si>
  <si>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</si>
  <si>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</si>
  <si>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</si>
  <si>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</si>
  <si>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</si>
  <si>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</si>
  <si>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</si>
  <si>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</si>
  <si>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</si>
  <si>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</si>
  <si>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</si>
  <si>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</si>
  <si>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</si>
  <si>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</si>
  <si>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</si>
  <si>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</si>
  <si>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</si>
  <si>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</si>
  <si>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</si>
  <si>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</si>
  <si>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</si>
  <si>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</si>
  <si>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</si>
  <si>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</si>
  <si>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</si>
  <si>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</si>
  <si>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</si>
  <si>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</si>
  <si>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</si>
  <si>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</si>
  <si>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</si>
  <si>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</si>
  <si>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</si>
  <si>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</si>
  <si>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</si>
  <si>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</si>
  <si>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</si>
  <si>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</si>
  <si>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</si>
  <si>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</si>
  <si>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</si>
  <si>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</si>
  <si>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</si>
  <si>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</si>
  <si>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</si>
  <si>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</si>
  <si>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</si>
  <si>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</si>
  <si>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</si>
  <si>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</si>
  <si>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</si>
  <si>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</si>
  <si>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</si>
  <si>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</si>
  <si>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</si>
  <si>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</si>
  <si>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</si>
  <si>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</si>
  <si>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</si>
  <si>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</si>
  <si>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</si>
  <si>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</si>
  <si>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</si>
  <si>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</si>
  <si>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</si>
  <si>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</si>
  <si>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</si>
  <si>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</si>
  <si>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</si>
  <si>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</si>
  <si>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</si>
  <si>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</si>
  <si>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</si>
  <si>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</si>
  <si>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</si>
  <si>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</si>
  <si>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</si>
  <si>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</si>
  <si>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</si>
  <si>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</si>
  <si>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</si>
  <si>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</si>
  <si>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</si>
  <si>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</si>
  <si>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</si>
  <si>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</si>
  <si>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</si>
  <si>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</si>
  <si>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</si>
  <si>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</si>
  <si>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</si>
  <si>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</si>
  <si>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</si>
  <si>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</si>
  <si>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</si>
  <si>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</si>
  <si>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</si>
  <si>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</si>
  <si>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</si>
  <si>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</si>
  <si>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</si>
  <si>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</si>
  <si>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</si>
  <si>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</si>
  <si>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</si>
  <si>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</si>
  <si>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</si>
  <si>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</si>
  <si>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</si>
  <si>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</si>
  <si>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</si>
  <si>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</si>
  <si>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</si>
  <si>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</si>
  <si>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</si>
  <si>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</si>
  <si>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</si>
  <si>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</si>
  <si>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</si>
  <si>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</si>
  <si>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</si>
  <si>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</si>
  <si>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</si>
  <si>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</si>
  <si>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</si>
  <si>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</si>
  <si>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</si>
  <si>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</si>
  <si>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</si>
  <si>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</si>
  <si>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</si>
  <si>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</si>
  <si>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</si>
  <si>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</si>
  <si>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</si>
  <si>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</si>
  <si>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</si>
  <si>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</si>
  <si>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</si>
  <si>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</si>
  <si>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</si>
  <si>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</si>
  <si>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</si>
  <si>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</si>
  <si>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</si>
  <si>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</si>
  <si>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</si>
  <si>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</si>
  <si>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</si>
  <si>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</si>
  <si>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</si>
  <si>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</si>
  <si>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</si>
  <si>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</si>
  <si>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</si>
  <si>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</si>
  <si>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</si>
  <si>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</si>
  <si>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</si>
  <si>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</si>
  <si>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</si>
  <si>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</si>
  <si>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</si>
  <si>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</si>
  <si>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</si>
  <si>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</si>
  <si>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</si>
  <si>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</si>
  <si>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</si>
  <si>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</si>
  <si>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</si>
  <si>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</si>
  <si>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</si>
  <si>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</si>
  <si>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</si>
  <si>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</si>
  <si>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</si>
  <si>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</si>
  <si>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</si>
  <si>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</si>
  <si>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</si>
  <si>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</si>
  <si>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</si>
  <si>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</si>
  <si>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</si>
  <si>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</si>
  <si>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</si>
  <si>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</si>
  <si>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</si>
  <si>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</si>
  <si>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</si>
  <si>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</si>
  <si>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</si>
  <si>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</si>
  <si>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</si>
  <si>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</si>
  <si>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</si>
  <si>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</si>
  <si>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</si>
  <si>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</si>
  <si>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</si>
  <si>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</si>
  <si>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</si>
  <si>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</si>
  <si>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</si>
  <si>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</si>
  <si>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</si>
  <si>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</si>
  <si>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</si>
  <si>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</si>
  <si>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</si>
  <si>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</si>
  <si>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</si>
  <si>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</si>
  <si>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</si>
  <si>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</si>
  <si>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</si>
  <si>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</si>
  <si>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</si>
  <si>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</si>
  <si>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</si>
  <si>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</si>
  <si>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</si>
  <si>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</si>
  <si>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</si>
  <si>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</si>
  <si>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</si>
  <si>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</si>
  <si>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</si>
  <si>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</si>
  <si>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</si>
  <si>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</si>
  <si>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</si>
  <si>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</si>
  <si>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</si>
  <si>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</si>
  <si>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</si>
  <si>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</si>
  <si>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</si>
  <si>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</si>
  <si>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</si>
  <si>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</si>
  <si>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</si>
  <si>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</si>
  <si>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</si>
  <si>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</si>
  <si>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</si>
  <si>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</si>
  <si>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</si>
  <si>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</si>
  <si>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</si>
  <si>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</si>
  <si>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</si>
  <si>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</si>
  <si>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</si>
  <si>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</si>
  <si>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</si>
  <si>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</si>
  <si>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</si>
  <si>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</si>
  <si>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</si>
  <si>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</si>
  <si>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</si>
  <si>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</si>
  <si>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</si>
  <si>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</si>
  <si>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</si>
  <si>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</si>
  <si>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</si>
  <si>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</si>
  <si>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</si>
  <si>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</si>
  <si>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</si>
  <si>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</si>
  <si>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</si>
  <si>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</si>
  <si>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</si>
  <si>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</si>
  <si>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</si>
  <si>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</si>
  <si>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</si>
  <si>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</si>
  <si>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</si>
  <si>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</si>
  <si>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</si>
  <si>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</si>
  <si>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</si>
  <si>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</si>
  <si>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</si>
  <si>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</si>
  <si>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</si>
  <si>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</si>
  <si>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</si>
  <si>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</si>
  <si>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</si>
  <si>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</si>
  <si>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</si>
  <si>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</si>
  <si>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</si>
  <si>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</si>
  <si>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</si>
  <si>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</si>
  <si>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</si>
  <si>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</si>
  <si>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</si>
  <si>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</si>
  <si>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</si>
  <si>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</si>
  <si>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</si>
  <si>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</si>
  <si>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</si>
  <si>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</si>
  <si>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</si>
  <si>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</si>
  <si>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</si>
  <si>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</si>
  <si>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</si>
  <si>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</si>
  <si>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</si>
  <si>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</si>
  <si>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</si>
  <si>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</si>
  <si>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</si>
  <si>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</si>
  <si>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</si>
  <si>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</si>
  <si>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</si>
  <si>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</si>
  <si>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</si>
  <si>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</si>
  <si>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</si>
  <si>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</si>
  <si>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</si>
  <si>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</si>
  <si>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</si>
  <si>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</si>
  <si>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</si>
  <si>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</si>
  <si>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</si>
  <si>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</si>
  <si>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</si>
  <si>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</si>
  <si>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</si>
  <si>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</si>
  <si>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</si>
  <si>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</si>
  <si>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</si>
  <si>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</si>
  <si>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</si>
  <si>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</si>
  <si>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</si>
  <si>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</si>
  <si>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</si>
  <si>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</si>
  <si>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</si>
  <si>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</si>
  <si>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</si>
  <si>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</si>
  <si>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</si>
  <si>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</si>
  <si>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</si>
  <si>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</si>
  <si>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</si>
  <si>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</si>
  <si>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</si>
  <si>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</si>
  <si>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</si>
  <si>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</si>
  <si>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</si>
  <si>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</si>
  <si>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</si>
  <si>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</si>
  <si>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</si>
  <si>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</si>
  <si>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</si>
  <si>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</si>
  <si>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</si>
  <si>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</si>
  <si>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</si>
  <si>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</si>
  <si>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</si>
  <si>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</si>
  <si>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</si>
  <si>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</si>
  <si>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</si>
  <si>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</si>
  <si>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</si>
  <si>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</si>
  <si>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</si>
  <si>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</si>
  <si>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</si>
  <si>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</si>
  <si>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</si>
  <si>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</si>
  <si>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</si>
  <si>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</si>
  <si>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</si>
  <si>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</si>
  <si>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</si>
  <si>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</si>
  <si>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</si>
  <si>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</si>
  <si>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</si>
  <si>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</si>
  <si>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</si>
  <si>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</si>
  <si>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</si>
  <si>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</si>
  <si>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</si>
  <si>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</si>
  <si>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</si>
  <si>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</si>
  <si>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</si>
  <si>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</si>
  <si>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</si>
  <si>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</si>
  <si>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</si>
  <si>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</si>
  <si>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</si>
  <si>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</si>
  <si>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</si>
  <si>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</si>
  <si>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</si>
  <si>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</si>
  <si>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</si>
  <si>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</si>
  <si>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</si>
  <si>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</si>
  <si>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</si>
  <si>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</si>
  <si>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</si>
  <si>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</si>
  <si>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</si>
  <si>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</si>
  <si>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</si>
  <si>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</si>
  <si>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</si>
  <si>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</si>
  <si>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</si>
  <si>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</si>
  <si>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</si>
  <si>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</si>
  <si>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</si>
  <si>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</si>
  <si>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</si>
  <si>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</si>
  <si>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</si>
  <si>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</si>
  <si>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</si>
  <si>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</si>
  <si>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</si>
  <si>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</si>
  <si>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</si>
  <si>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</si>
  <si>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</si>
  <si>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</si>
  <si>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</si>
  <si>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</si>
  <si>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</si>
  <si>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</si>
  <si>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</si>
  <si>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</si>
  <si>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</si>
  <si>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</si>
  <si>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</si>
  <si>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</si>
  <si>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</si>
  <si>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</si>
  <si>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</si>
  <si>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</si>
  <si>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</si>
  <si>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</si>
  <si>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</si>
  <si>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</si>
  <si>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</si>
  <si>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</si>
  <si>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</si>
  <si>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</si>
  <si>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</si>
  <si>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</si>
  <si>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</si>
  <si>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</si>
  <si>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</si>
  <si>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</si>
  <si>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</si>
  <si>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</si>
  <si>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</si>
  <si>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</si>
  <si>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</si>
  <si>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</si>
  <si>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</si>
  <si>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</si>
  <si>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</si>
  <si>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</si>
  <si>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</si>
  <si>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</si>
  <si>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</si>
  <si>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</si>
  <si>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</si>
  <si>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</si>
  <si>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</si>
  <si>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</si>
  <si>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</si>
  <si>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</si>
  <si>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</si>
  <si>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</si>
  <si>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</si>
  <si>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</si>
  <si>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</si>
  <si>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</si>
  <si>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</si>
  <si>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</si>
  <si>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</si>
  <si>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</si>
  <si>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</si>
  <si>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</si>
  <si>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</si>
  <si>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</si>
  <si>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</si>
  <si>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</si>
  <si>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</si>
  <si>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</si>
  <si>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</si>
  <si>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</si>
  <si>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</si>
  <si>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</si>
  <si>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</si>
  <si>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</si>
  <si>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</si>
  <si>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</si>
  <si>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</si>
  <si>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</si>
  <si>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</si>
  <si>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</si>
  <si>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</si>
  <si>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</si>
  <si>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</si>
  <si>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</si>
  <si>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</si>
  <si>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</si>
  <si>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</si>
  <si>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</si>
  <si>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</si>
  <si>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</si>
  <si>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</si>
  <si>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</si>
  <si>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</si>
  <si>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</si>
  <si>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</si>
  <si>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</si>
  <si>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</si>
  <si>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</si>
  <si>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</si>
  <si>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</si>
  <si>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</si>
  <si>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</si>
  <si>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</si>
  <si>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</si>
  <si>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</si>
  <si>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</si>
  <si>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</si>
  <si>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</si>
  <si>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</si>
  <si>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</si>
  <si>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</si>
  <si>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</si>
  <si>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</si>
  <si>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</si>
  <si>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</si>
  <si>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</si>
  <si>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</si>
  <si>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</si>
  <si>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</si>
  <si>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</si>
  <si>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</si>
  <si>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</si>
  <si>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</si>
  <si>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</si>
  <si>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</si>
  <si>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</si>
  <si>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</si>
  <si>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</si>
  <si>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</si>
  <si>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</si>
  <si>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</si>
  <si>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</si>
  <si>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</si>
  <si>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</si>
  <si>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</si>
  <si>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</si>
  <si>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</si>
  <si>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</si>
  <si>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</si>
  <si>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</si>
  <si>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</si>
  <si>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</si>
  <si>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</si>
  <si>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</si>
  <si>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</si>
  <si>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</si>
  <si>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</si>
  <si>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</si>
  <si>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</si>
  <si>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</si>
  <si>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</si>
  <si>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</si>
  <si>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</si>
  <si>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</si>
  <si>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</si>
  <si>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</si>
  <si>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</si>
  <si>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</si>
  <si>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</si>
  <si>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</si>
  <si>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</si>
  <si>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</si>
  <si>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</si>
  <si>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</si>
  <si>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</si>
  <si>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</si>
  <si>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</si>
  <si>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</si>
  <si>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</si>
  <si>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</si>
  <si>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</si>
  <si>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</si>
  <si>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</si>
  <si>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</si>
  <si>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</si>
  <si>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</si>
  <si>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</si>
  <si>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</si>
  <si>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</si>
  <si>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</si>
  <si>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</si>
  <si>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</si>
  <si>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</si>
  <si>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</si>
  <si>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</si>
  <si>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</si>
  <si>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</si>
  <si>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</si>
  <si>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</si>
  <si>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</si>
  <si>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</si>
  <si>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</si>
  <si>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</si>
  <si>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</si>
  <si>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</si>
  <si>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</si>
  <si>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</si>
  <si>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</si>
  <si>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</si>
  <si>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</si>
  <si>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</si>
  <si>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</si>
  <si>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</si>
  <si>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</si>
  <si>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</si>
  <si>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</si>
  <si>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</si>
  <si>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</si>
  <si>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</si>
  <si>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</si>
  <si>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</si>
  <si>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</si>
  <si>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</si>
  <si>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</si>
  <si>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</si>
  <si>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</si>
  <si>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</si>
  <si>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</si>
  <si>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</si>
  <si>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</si>
  <si>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</si>
  <si>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</si>
  <si>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</si>
  <si>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</si>
  <si>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</si>
  <si>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</si>
  <si>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</si>
  <si>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</si>
  <si>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</si>
  <si>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</si>
  <si>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</si>
  <si>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</si>
  <si>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</si>
  <si>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</si>
  <si>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</si>
  <si>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</si>
  <si>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</si>
  <si>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</si>
  <si>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</si>
  <si>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</si>
  <si>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</si>
  <si>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</si>
  <si>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</si>
  <si>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</si>
  <si>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</si>
  <si>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</si>
  <si>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</si>
  <si>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</si>
  <si>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</si>
  <si>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</si>
  <si>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</si>
  <si>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</si>
  <si>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</si>
  <si>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</si>
  <si>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</si>
  <si>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</si>
  <si>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</si>
  <si>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</si>
  <si>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</si>
  <si>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</si>
  <si>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</si>
  <si>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</si>
  <si>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</si>
  <si>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</si>
  <si>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</si>
  <si>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</si>
  <si>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</si>
  <si>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</si>
  <si>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</si>
  <si>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</si>
  <si>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</si>
  <si>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</si>
  <si>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</si>
  <si>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</si>
  <si>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</si>
  <si>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</si>
  <si>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</si>
  <si>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</si>
  <si>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</si>
  <si>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</si>
  <si>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</si>
  <si>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</si>
  <si>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</si>
  <si>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</si>
  <si>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</si>
  <si>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</si>
  <si>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</si>
  <si>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</si>
  <si>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</si>
  <si>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260617-373</t>
  </si>
  <si>
    <t>260617-374</t>
  </si>
  <si>
    <t>260617-375</t>
  </si>
  <si>
    <t>260727-380</t>
  </si>
  <si>
    <t>260730-399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</si>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</sst>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C377" sqref="C37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H483" s="20" t="str">
        <f>+T483</f>
        <v/>
      </c>
      <c r="J483" s="30"/>
      <c r="K483" s="22" t="str">
        <f>IF(I483="","",IF(I483="ENTRADA",ABS(J483),-ABS(J483)))</f>
        <v/>
      </c>
      <c r="Q483" s="33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765</v>
      </c>
      <c r="H484" s="20" t="str">
        <f>+T484</f>
        <v/>
      </c>
      <c r="J484" s="30"/>
      <c r="K484" s="22" t="str">
        <f>IF(I484="","",IF(I484="ENTRADA",ABS(J484),-ABS(J484)))</f>
        <v/>
      </c>
      <c r="Q484" s="33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766</v>
      </c>
      <c r="B485" s="34"/>
      <c r="C485" s="34"/>
      <c r="D485" s="34"/>
      <c r="E485" s="34"/>
      <c r="F485" s="34"/>
      <c r="G485" s="34"/>
      <c r="H485" s="20" t="str">
        <f>+T485</f>
        <v/>
      </c>
      <c r="I485" s="34"/>
      <c r="J485" s="36"/>
      <c r="K485" s="22" t="str">
        <f>IF(I485="","",IF(I485="ENTRADA",ABS(J485),-ABS(J485)))</f>
        <v/>
      </c>
      <c r="L485" s="34"/>
      <c r="M485" s="34"/>
      <c r="N485" s="34"/>
      <c r="O485" s="34"/>
      <c r="P485" s="34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767</v>
      </c>
      <c r="H486" s="20" t="str">
        <f>+T486</f>
        <v/>
      </c>
      <c r="J486" s="30"/>
      <c r="K486" s="22" t="str">
        <f>IF(I486="","",IF(I486="ENTRADA",ABS(J486),-ABS(J486)))</f>
        <v/>
      </c>
      <c r="Q486" s="33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768</v>
      </c>
      <c r="H487" s="20" t="str">
        <f>+T487</f>
        <v/>
      </c>
      <c r="J487" s="30"/>
      <c r="K487" s="22" t="str">
        <f>IF(I487="","",IF(I487="ENTRADA",ABS(J487),-ABS(J487)))</f>
        <v/>
      </c>
      <c r="Q487" s="33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769</v>
      </c>
      <c r="H488" s="20" t="str">
        <f>+T488</f>
        <v/>
      </c>
      <c r="J488" s="30"/>
      <c r="K488" s="22" t="str">
        <f>IF(I488="","",IF(I488="ENTRADA",ABS(J488),-ABS(J488)))</f>
        <v/>
      </c>
      <c r="Q488" s="33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770</v>
      </c>
      <c r="H489" s="20" t="str">
        <f>+T489</f>
        <v/>
      </c>
      <c r="J489" s="30"/>
      <c r="K489" s="22" t="str">
        <f>IF(I489="","",IF(I489="ENTRADA",ABS(J489),-ABS(J489)))</f>
        <v/>
      </c>
      <c r="Q489" s="33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771</v>
      </c>
      <c r="H490" s="20" t="str">
        <f>+T490</f>
        <v/>
      </c>
      <c r="J490" s="30"/>
      <c r="K490" s="22" t="str">
        <f>IF(I490="","",IF(I490="ENTRADA",ABS(J490),-ABS(J490)))</f>
        <v/>
      </c>
      <c r="Q490" s="33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772</v>
      </c>
      <c r="H491" s="20" t="str">
        <f>+T491</f>
        <v/>
      </c>
      <c r="J491" s="30"/>
      <c r="K491" s="22" t="str">
        <f>IF(I491="","",IF(I491="ENTRADA",ABS(J491),-ABS(J491)))</f>
        <v/>
      </c>
      <c r="Q491" s="33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773</v>
      </c>
      <c r="H492" s="20" t="str">
        <f>+T492</f>
        <v/>
      </c>
      <c r="J492" s="30"/>
      <c r="K492" s="22" t="str">
        <f>IF(I492="","",IF(I492="ENTRADA",ABS(J492),-ABS(J492)))</f>
        <v/>
      </c>
      <c r="Q492" s="33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774</v>
      </c>
      <c r="H493" s="20" t="str">
        <f>+T493</f>
        <v/>
      </c>
      <c r="J493" s="30"/>
      <c r="K493" s="22" t="str">
        <f>IF(I493="","",IF(I493="ENTRADA",ABS(J493),-ABS(J493)))</f>
        <v/>
      </c>
      <c r="Q493" s="33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775</v>
      </c>
      <c r="H494" s="20" t="str">
        <f>+T494</f>
        <v/>
      </c>
      <c r="J494" s="30"/>
      <c r="K494" s="22" t="str">
        <f>IF(I494="","",IF(I494="ENTRADA",ABS(J494),-ABS(J494)))</f>
        <v/>
      </c>
      <c r="Q494" s="33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776</v>
      </c>
      <c r="H495" s="20" t="str">
        <f>+T495</f>
        <v/>
      </c>
      <c r="J495" s="30"/>
      <c r="K495" s="22" t="str">
        <f>IF(I495="","",IF(I495="ENTRADA",ABS(J495),-ABS(J495)))</f>
        <v/>
      </c>
      <c r="Q495" s="33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777</v>
      </c>
      <c r="B496" s="34"/>
      <c r="C496" s="34"/>
      <c r="D496" s="34"/>
      <c r="E496" s="34"/>
      <c r="F496" s="34"/>
      <c r="G496" s="34"/>
      <c r="H496" s="20" t="str">
        <f>+T496</f>
        <v/>
      </c>
      <c r="I496" s="34"/>
      <c r="J496" s="36"/>
      <c r="K496" s="22" t="str">
        <f>IF(I496="","",IF(I496="ENTRADA",ABS(J496),-ABS(J496)))</f>
        <v/>
      </c>
      <c r="L496" s="34"/>
      <c r="M496" s="34"/>
      <c r="N496" s="34"/>
      <c r="O496" s="34"/>
      <c r="P496" s="34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778</v>
      </c>
      <c r="H497" s="20" t="str">
        <f>+T497</f>
        <v/>
      </c>
      <c r="J497" s="30"/>
      <c r="K497" s="22" t="str">
        <f>IF(I497="","",IF(I497="ENTRADA",ABS(J497),-ABS(J497)))</f>
        <v/>
      </c>
      <c r="Q497" s="33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779</v>
      </c>
      <c r="H498" s="20" t="str">
        <f>+T498</f>
        <v/>
      </c>
      <c r="J498" s="30"/>
      <c r="K498" s="22" t="str">
        <f>IF(I498="","",IF(I498="ENTRADA",ABS(J498),-ABS(J498)))</f>
        <v/>
      </c>
      <c r="Q498" s="33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780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781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782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783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784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785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786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787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788</v>
      </c>
      <c r="B507" s="34"/>
      <c r="C507" s="34"/>
      <c r="D507" s="34"/>
      <c r="E507" s="34"/>
      <c r="F507" s="34"/>
      <c r="G507" s="34"/>
      <c r="H507" s="20" t="str">
        <f>+T507</f>
        <v/>
      </c>
      <c r="I507" s="34"/>
      <c r="J507" s="36"/>
      <c r="K507" s="22" t="str">
        <f>IF(I507="","",IF(I507="ENTRADA",ABS(J507),-ABS(J507)))</f>
        <v/>
      </c>
      <c r="L507" s="34"/>
      <c r="M507" s="34"/>
      <c r="N507" s="34"/>
      <c r="O507" s="34"/>
      <c r="P507" s="34"/>
      <c r="Q507" s="35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789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790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791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792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793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794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795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796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797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798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799</v>
      </c>
      <c r="B518" s="34"/>
      <c r="C518" s="34"/>
      <c r="D518" s="34"/>
      <c r="E518" s="34"/>
      <c r="F518" s="34"/>
      <c r="G518" s="34"/>
      <c r="H518" s="20" t="str">
        <f>+T518</f>
        <v/>
      </c>
      <c r="I518" s="34"/>
      <c r="J518" s="36"/>
      <c r="K518" s="22" t="str">
        <f>IF(I518="","",IF(I518="ENTRADA",ABS(J518),-ABS(J518)))</f>
        <v/>
      </c>
      <c r="L518" s="34"/>
      <c r="M518" s="34"/>
      <c r="N518" s="34"/>
      <c r="O518" s="34"/>
      <c r="P518" s="34"/>
      <c r="Q518" s="35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800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801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802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803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804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805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806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807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808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809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810</v>
      </c>
      <c r="B529" s="34"/>
      <c r="C529" s="34"/>
      <c r="D529" s="34"/>
      <c r="E529" s="34"/>
      <c r="F529" s="34"/>
      <c r="G529" s="34"/>
      <c r="H529" s="20" t="str">
        <f>+T529</f>
        <v/>
      </c>
      <c r="I529" s="34"/>
      <c r="J529" s="36"/>
      <c r="K529" s="22" t="str">
        <f>IF(I529="","",IF(I529="ENTRADA",ABS(J529),-ABS(J529)))</f>
        <v/>
      </c>
      <c r="L529" s="34"/>
      <c r="M529" s="34"/>
      <c r="N529" s="34"/>
      <c r="O529" s="34"/>
      <c r="P529" s="34"/>
      <c r="Q529" s="35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811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812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813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814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815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816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817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818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819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820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821</v>
      </c>
      <c r="B540" s="34"/>
      <c r="C540" s="34"/>
      <c r="D540" s="34"/>
      <c r="E540" s="34"/>
      <c r="F540" s="34"/>
      <c r="G540" s="34"/>
      <c r="H540" s="20" t="str">
        <f>+T540</f>
        <v/>
      </c>
      <c r="I540" s="34"/>
      <c r="J540" s="36"/>
      <c r="K540" s="22" t="str">
        <f>IF(I540="","",IF(I540="ENTRADA",ABS(J540),-ABS(J540)))</f>
        <v/>
      </c>
      <c r="L540" s="34"/>
      <c r="M540" s="34"/>
      <c r="N540" s="34"/>
      <c r="O540" s="34"/>
      <c r="P540" s="34"/>
      <c r="Q540" s="35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822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823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824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825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826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827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828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829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830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831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832</v>
      </c>
      <c r="B551" s="34"/>
      <c r="C551" s="34"/>
      <c r="D551" s="34"/>
      <c r="E551" s="34"/>
      <c r="F551" s="34"/>
      <c r="G551" s="34"/>
      <c r="H551" s="20" t="str">
        <f>+T551</f>
        <v/>
      </c>
      <c r="I551" s="34"/>
      <c r="J551" s="36"/>
      <c r="K551" s="22" t="str">
        <f>IF(I551="","",IF(I551="ENTRADA",ABS(J551),-ABS(J551)))</f>
        <v/>
      </c>
      <c r="L551" s="34"/>
      <c r="M551" s="34"/>
      <c r="N551" s="34"/>
      <c r="O551" s="34"/>
      <c r="P551" s="34"/>
      <c r="Q551" s="35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833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834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835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836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837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838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839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840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841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842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843</v>
      </c>
      <c r="B562" s="34"/>
      <c r="C562" s="34"/>
      <c r="D562" s="34"/>
      <c r="E562" s="34"/>
      <c r="F562" s="34"/>
      <c r="G562" s="34"/>
      <c r="H562" s="20" t="str">
        <f>+T562</f>
        <v/>
      </c>
      <c r="I562" s="34"/>
      <c r="J562" s="36"/>
      <c r="K562" s="22" t="str">
        <f>IF(I562="","",IF(I562="ENTRADA",ABS(J562),-ABS(J562)))</f>
        <v/>
      </c>
      <c r="L562" s="34"/>
      <c r="M562" s="34"/>
      <c r="N562" s="34"/>
      <c r="O562" s="34"/>
      <c r="P562" s="34"/>
      <c r="Q562" s="35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844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845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846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847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848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849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850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851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852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853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854</v>
      </c>
      <c r="B573" s="34"/>
      <c r="C573" s="34"/>
      <c r="D573" s="34"/>
      <c r="E573" s="34"/>
      <c r="F573" s="34"/>
      <c r="G573" s="34"/>
      <c r="H573" s="20" t="str">
        <f>+T573</f>
        <v/>
      </c>
      <c r="I573" s="34"/>
      <c r="J573" s="36"/>
      <c r="K573" s="22" t="str">
        <f>IF(I573="","",IF(I573="ENTRADA",ABS(J573),-ABS(J573)))</f>
        <v/>
      </c>
      <c r="L573" s="34"/>
      <c r="M573" s="34"/>
      <c r="N573" s="34"/>
      <c r="O573" s="34"/>
      <c r="P573" s="34"/>
      <c r="Q573" s="35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855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856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857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858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859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860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861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862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863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864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865</v>
      </c>
      <c r="B584" s="34"/>
      <c r="C584" s="34"/>
      <c r="D584" s="34"/>
      <c r="E584" s="34"/>
      <c r="F584" s="34"/>
      <c r="G584" s="34"/>
      <c r="H584" s="20" t="str">
        <f>+T584</f>
        <v/>
      </c>
      <c r="I584" s="34"/>
      <c r="J584" s="36"/>
      <c r="K584" s="22" t="str">
        <f>IF(I584="","",IF(I584="ENTRADA",ABS(J584),-ABS(J584)))</f>
        <v/>
      </c>
      <c r="L584" s="34"/>
      <c r="M584" s="34"/>
      <c r="N584" s="34"/>
      <c r="O584" s="34"/>
      <c r="P584" s="34"/>
      <c r="Q584" s="35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866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867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868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869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870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871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872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873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874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875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876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877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878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879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880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881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882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883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884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885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886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887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888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889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890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891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892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893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894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895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896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897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898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899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900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901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902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903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904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905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906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907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908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909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910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911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912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913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914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915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916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917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918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919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920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921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922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923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924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925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926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927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928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929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930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931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932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933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934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935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936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937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938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939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940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941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942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943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944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945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946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947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948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949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950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951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952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953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954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955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956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957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958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959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960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961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962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963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964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965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966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967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968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969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970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971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972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973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974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975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976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977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978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979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980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981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982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983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984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985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986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987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988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989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990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991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992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993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994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995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996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997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998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999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1000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1001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1002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1003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1004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1005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1006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1007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1008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1009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1010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1011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1012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1013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1014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1015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1016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1017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1018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1019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1020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1021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1022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1023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1024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1025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1026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1027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1028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1029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1030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1031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1032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1033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1034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1035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1036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1037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1038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1039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1040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1041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1042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1043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1044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1045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1046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1047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1048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1049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1050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1051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1052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1053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1054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1055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1056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1057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1058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1059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1060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1061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1062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1063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1064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1065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1066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1067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1068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1069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1070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1071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1072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1073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1074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1075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1076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1077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1078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1079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1080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1081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1082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1083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1084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1085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1086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1087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1088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1089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1090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1091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1092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1093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1094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1095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1096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1097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1098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1099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1100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1101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1102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1103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1104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1105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1106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1107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1108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1109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1110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1111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1112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1113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1114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1115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1116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1117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1118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1119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1120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1121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1122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1123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1124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1125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1126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1127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1128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1129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1130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1131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1132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1133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1134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1135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1136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1137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1138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1139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1140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1141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1142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1143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1144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1145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1146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1147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1148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1149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1150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1151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1152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1153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1154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1155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1156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1157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1158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1159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1160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1161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1162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1163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1164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1165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1166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1167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1168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1169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1170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1171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1172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1173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1174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1175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1176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1177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1178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1179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1180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1181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1182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1183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1184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1185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1186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1187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1188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1189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1190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1191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1192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1193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1194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1195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1196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1197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1198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1199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1200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1201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1202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1203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1204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1205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1206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1207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1208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1209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1210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1211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1212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1213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1214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1215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1216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1217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1218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1219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1220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1221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1222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1223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1224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1225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1226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1227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1228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1229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1230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1231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1232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1233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1234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1235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1236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1237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1238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1239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1240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1241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1242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1243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1244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1245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1246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1247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1248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1249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1250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1251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1252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1253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1254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1255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1256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1257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1258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1259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1260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1261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1262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1263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1264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1265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1266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1267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1268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1269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1270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1271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1272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1273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1274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1275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1276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1277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1278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1279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1280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1281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1282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1283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1284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1285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1286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1287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1288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1289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1290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1291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1292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1293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1294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1295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1296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1297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1298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1299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1300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1301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1302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1303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1304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1305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1306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1307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1308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1309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1310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1311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1312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1313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1314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1315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1316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1317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1318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1319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1320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1321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1322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1323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1324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1325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1326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1327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1328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1329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1330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1331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1332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1333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1334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1335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1336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1337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1338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1339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1340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1341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1342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1343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1344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1345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1346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1347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1348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1349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1350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1351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1352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1353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1354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1355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1356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1357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1358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1359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1360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1361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1362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1363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1364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1365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1366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1367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1368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1369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1370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1371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1372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1373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1374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1375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1376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1377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1378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1379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1380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1381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1382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1383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1384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1385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1386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1387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1388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1389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1390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1391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1392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1393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1394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1395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1396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1397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1398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1399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1400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1401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1402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1403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1404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1405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1406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1407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1408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1409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1410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1411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1412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1413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1414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1415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1416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1417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1418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1419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1420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1421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1422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1423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1424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1425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1426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1427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1428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1429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1430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1431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1432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1433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1434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1435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1436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1437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1438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1439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1440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1441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1442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1443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1444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1445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1446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1447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1448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1449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1450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1451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1452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1453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1454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1455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1456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1457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1458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1459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1460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1461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1462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1463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1464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1465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1466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1467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1468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1469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1470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1471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1472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1473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1474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1475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1476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1477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1478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1479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1480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1481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1482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1483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1484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1485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1486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1487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1488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1489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1490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1491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1492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1493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1494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1495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1496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1497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1498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1499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1500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1501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1502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1503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1504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1505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1506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1507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1508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1509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1510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1511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1512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1513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1514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1515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1516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1517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1518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1519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1520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1521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1522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1523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1524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1525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1526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1527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1528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1529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1530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1531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1532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1533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1534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1535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1536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1537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1538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1539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1540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1541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1542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1543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1544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1545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1546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1547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1548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1549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1550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1551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1552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1553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1554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1555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1556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1557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1558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1559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1560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1561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1562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1563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1564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1565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1566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1567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1568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1569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1570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1571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1572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1573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1574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1575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1576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1577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1578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1579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1580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1581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1582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1583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1584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1585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1586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1587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1588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1589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1590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1591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1592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1593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1594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1595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1596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1597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1598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1599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1600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1601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1602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1603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1604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1605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1606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1607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1608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1609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1610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1611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1612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1613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1614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1615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1616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1617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1618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1619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1620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1621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1622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1623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1624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1625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1626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1627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1628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1629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1630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1631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1632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1633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1634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1635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1636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1637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1638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1639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1640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1641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1642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1643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1644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1645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1646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1647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1648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1649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1650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1651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1652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1653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1654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1655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1656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1657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1658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1659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1660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1661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1662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1663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1664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1665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1666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1667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1668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1669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1670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1671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1672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1673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1674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1675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1676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1677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1678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1679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1680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1681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1682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1683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1684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1685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1686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1687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1688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1689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1690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1691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1692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1693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1694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1695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1696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1697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1698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1699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1700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1701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1702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1703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1704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1705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1706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1707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1708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1709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1710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1711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1712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1713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1714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1715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1716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1717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1718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1719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1720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1721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1722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1723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1724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1725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1726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1727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1728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1729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1730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1731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1732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1733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1734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1735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1736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1737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1738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1739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1740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1741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1742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1743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1744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1745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1746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1747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1748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1749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1750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1751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1752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1753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1754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1755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1756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1757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1758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1759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1760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1761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1762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1763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1764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1765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1766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1767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1768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1769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1770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1771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1772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1773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1774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1775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1776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1777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1778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1779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1780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1781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1782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1783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1784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1785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1786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1787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1788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1789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1790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1791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1792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1793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1794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1795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1796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1797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1798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1799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1800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1801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1802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1803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1804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1805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1806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1807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1808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1809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1810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1811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1812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1813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1814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1815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1816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1817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1818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1819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1820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1821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1822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1823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1824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1825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1826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1827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1828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1829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1830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1831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1832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1833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1834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1835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1836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1837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1838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1839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1840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1841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1842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1843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1844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1845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1846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1847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1848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1849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1850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1851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1852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1853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1854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1855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1856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1857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1858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1859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1860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1861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1862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1863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1864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1865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1866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1867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1868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1869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1870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1871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1872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1873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1874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1875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1876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1877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1878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1879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1880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1881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1882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1883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1884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1885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1886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1887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1888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1889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1890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1891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1892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1893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1894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1895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1896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1897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1898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1899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1900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1901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1902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1903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1904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1905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1906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1907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1908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1909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1910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1911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1912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1913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1914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1915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1916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1917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1918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1919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1920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1921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1922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1923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1924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1925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1926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1927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1928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1929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1930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1931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1932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1933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1934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1935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1936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1937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1938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1939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1940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1941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1942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1943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1944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1945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1946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1947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1948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1949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1950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1951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1952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1953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1954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1955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1956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1957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1958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1959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1960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1961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1962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1963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1964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1965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1966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1967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1968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1969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1970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1971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1972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1973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1974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1975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1976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1977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1978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1979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1980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1981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1982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1983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1984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1985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1986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1987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1988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1989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1990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1991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1992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1993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1994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1995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1996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1997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1998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1999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2000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2001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2002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2003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2004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2005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2006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2007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2008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2009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2010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2011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2012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2013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2014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2015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2016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2017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2018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2019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2020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2021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2022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2023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2024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2025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2026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2027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2028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2029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2030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2031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2032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2033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2034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2035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2036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2037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2038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2039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2040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2041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2042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2043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2044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2045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2046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2047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2048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2049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2050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2051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2052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2053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2054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2055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2056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2057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2058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2059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2060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2061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2062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2063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2064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2065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2066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2067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2068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2069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2070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2071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2072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2073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2074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2075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2076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2077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2078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2079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2080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2081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2082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2083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2084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2085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2086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2087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2088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2089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2090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2091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2092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2093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2094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2095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2096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2097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2098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2099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2100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2101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2102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2103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2104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2105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2106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2107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2108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2109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2110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2111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2112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2113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2114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2115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2116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2117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2118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2119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2120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2121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2122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2123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2124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2125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2126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2127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2128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2129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2130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2131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2132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2133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2134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2135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2136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2137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2138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2139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2140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2141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2142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2143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2144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2145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2146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2147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2148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2149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2150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2151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2152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2153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2154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2155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2156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2157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2158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2159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2160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2161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2162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2163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2164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2165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2166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2167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2168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2169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2170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2171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2172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2173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2174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2175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2176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2177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2178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2179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2180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2181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2182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2183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2184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2185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2186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2187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2188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2189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2190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2191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2192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2193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2194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2195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2196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2197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2198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2199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2200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2201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2202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2203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2204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2205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2206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2207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2208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2209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2210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2211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2212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2213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2214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2215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2216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2217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2218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2219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2220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2221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2222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2223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2224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2225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2226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2227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2228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2229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2230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2231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2232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2233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2234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2235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2236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2237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2238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2239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2240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2241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2242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2243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2244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2245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2246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2247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2248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2249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2250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2251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2252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2253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2254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2255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2256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2257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2258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2259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2260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2261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2262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2263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2264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2265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2266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2267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2268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2269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2270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2271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2272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2273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2274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2275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2276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2277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2278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2279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2280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2281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1996:B11998 B12:P218 B219:J1995 L219:P498 Q3:Q498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0" activePane="bottomLeft" state="frozen"/>
      <selection pane="bottomLeft" activeCell="A68" sqref="A6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2282</v>
      </c>
      <c r="B1" s="23" t="s">
        <v>2283</v>
      </c>
      <c r="C1" s="23" t="s">
        <v>2284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2285</v>
      </c>
      <c r="I1" s="18" t="s">
        <v>2286</v>
      </c>
      <c r="J1" s="18" t="s">
        <v>2287</v>
      </c>
      <c r="K1" s="18" t="s">
        <v>2288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444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234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262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2289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495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251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177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471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459</v>
      </c>
      <c r="J11" s="5">
        <f>IF(A11="","",SUMIFS(Movimientos!$K:$K,Movimientos!$H:$H,A11))</f>
        <v>10680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243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131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426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487</v>
      </c>
      <c r="J18" s="5">
        <f>IF(A18="","",SUMIFS(Movimientos!$K:$K,Movimientos!$H:$H,A18))</f>
        <v>9280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395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547</v>
      </c>
      <c r="J20" s="5">
        <f>IF(A20="","",SUMIFS(Movimientos!$K:$K,Movimientos!$H:$H,A20))</f>
        <v>11250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395</v>
      </c>
      <c r="J21" s="5">
        <f>IF(A21="","",SUMIFS(Movimientos!$K:$K,Movimientos!$H:$H,A21))</f>
        <v>694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122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153</v>
      </c>
      <c r="J23" s="5">
        <f>IF(A23="","",SUMIFS(Movimientos!$K:$K,Movimientos!$H:$H,A23))</f>
        <v>20</v>
      </c>
      <c r="K23" s="13" t="str">
        <f t="shared" ca="1" si="1"/>
        <v>PRÓXIMO A VENCER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-92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2290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1308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535</v>
      </c>
      <c r="J40" s="5">
        <f>IF(A40="","",SUMIFS(Movimientos!$K:$K,Movimientos!$H:$H,A40))</f>
        <v>1490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2291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12880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368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210</v>
      </c>
      <c r="J51" s="5">
        <f>IF(A51="","",SUMIFS(Movimientos!$K:$K,Movimientos!$H:$H,A51))</f>
        <v>-425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832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2292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303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2293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318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2294</v>
      </c>
      <c r="B59" s="2" t="str">
        <f>IFERROR(INDEX(Movimientos!$C$2:$C$1995,MATCH(A59&amp;"ENTRADA",Movimientos!$R$2:$R$1995,0)),"-")</f>
        <v>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438</v>
      </c>
      <c r="K59" s="13" t="str">
        <f t="shared" ca="1" si="1"/>
        <v>OK</v>
      </c>
    </row>
    <row r="60" spans="1:11" ht="14.25">
      <c r="A60" t="s">
        <v>2295</v>
      </c>
      <c r="B60" s="2" t="str">
        <f>IFERROR(INDEX(Movimientos!$C$2:$C$1995,MATCH(A60&amp;"ENTRADA",Movimientos!$R$2:$R$1995,0)),"-")</f>
        <v>DK 72-10 RR2C5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66</v>
      </c>
      <c r="K60" s="13" t="str">
        <f t="shared" ca="1" si="1"/>
        <v>OK</v>
      </c>
    </row>
    <row r="61" spans="1:11" ht="14.25">
      <c r="A61" t="s">
        <v>2296</v>
      </c>
      <c r="B61" s="2" t="str">
        <f>IFERROR(INDEX(Movimientos!$C$2:$C$1995,MATCH(A61&amp;"ENTRADA",Movimientos!$R$2:$R$1995,0)),"-")</f>
        <v>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853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880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2297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547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597</v>
      </c>
      <c r="J65" s="5">
        <f>IF(A65="","",SUMIFS(Movimientos!$K:$K,Movimientos!$H:$H,A65))</f>
        <v>24460</v>
      </c>
      <c r="K65" s="13" t="str">
        <f t="shared" ca="1" si="3"/>
        <v>OK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230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1615</v>
      </c>
      <c r="K67" s="13" t="str">
        <f t="shared" ca="1" si="3"/>
        <v>OK</v>
      </c>
    </row>
    <row r="68" spans="1:11" ht="14.25">
      <c r="A68" t="s">
        <v>2298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24480</v>
      </c>
      <c r="K68" s="13" t="str">
        <f t="shared" ca="1" si="3"/>
        <v>OK</v>
      </c>
    </row>
    <row r="69" spans="1:11">
      <c r="A69" s="16" t="s">
        <v>2299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2300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2301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2302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2303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2304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2305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2306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2307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2308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2309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2310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2311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2312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2313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2314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2315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2316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2317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2318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2319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2320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2321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2322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2323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2324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2325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2326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2327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2328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2329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2330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2331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2332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2333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2334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2335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2336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2337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2338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2339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2340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2341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2342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2343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2344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2345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2346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2347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2348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2349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2350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2351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2352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2353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2354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2355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2356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2357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2358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2359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2360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2361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2362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2363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2364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2365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2366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2367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2368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2369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2370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2371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2372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2373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2374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2375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2376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2377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2378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2379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2380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2381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2382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2383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2384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2385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2386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2387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2388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2389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2390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2391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2392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2393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2394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2395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2396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2397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2398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2399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2400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2401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2402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2403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2404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2405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2406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2407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2408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2409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2410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2411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2412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2413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2414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2415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2416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2417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2418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2419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2420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2421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2422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2423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2424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2425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2426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2427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2428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2429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2430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2431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2432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2433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2434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2435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2436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2437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2438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2439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2440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2441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2442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2443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2444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2445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2446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2447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2448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2449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2450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2451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2452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2453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2454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2455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2456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2457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2458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2459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2460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2461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2462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2463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2464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2465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2466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2467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2468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2469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2470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2471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2472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2473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2474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2475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2476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2477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2478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2479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2480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2481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2482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2483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2484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2485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2486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2487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2488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2489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2490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2491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2492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2493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2494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2495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2496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2497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2498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2499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2500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2501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2502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2503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2504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2505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2506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2507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2508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2509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2510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2511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2512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2513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2514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2515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2516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2517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2518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2519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2520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2521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2522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2523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2524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2525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2526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2527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2528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2529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2530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2531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2532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2533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2534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2535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2536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2537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2538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2539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2540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2541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2542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2543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2544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2545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2546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2547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2548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2549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2550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2551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2552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2553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2554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2555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2556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2557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2558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2559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2560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2561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2562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2563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2564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2565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2566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2567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2568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2569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2570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2571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2572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2573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2574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2575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2576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2577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2578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2579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2580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2581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2582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2583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2584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2585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2586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2587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2588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2589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2590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2591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2592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2593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2594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2595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2596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2597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2598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2599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2600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2601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2602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2603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2604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2605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2606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2607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2608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2609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2610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2611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2612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2613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2614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2615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2616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2617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2618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2619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2620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2621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2622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2623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2624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2625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2626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2627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2628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2629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2630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2631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2632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2633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2634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2635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2636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2637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2638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2639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2640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2641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2642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2643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2644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2645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2646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2647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2648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2649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2650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2651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2652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2653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2654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2655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2656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2657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2658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2659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2660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2661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2662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2663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2664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2665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2666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2667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2668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2669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2670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2671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2672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2673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2674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2675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2676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2677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2678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2679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2680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2681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2682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2683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2684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2685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2686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2687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2688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2689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2690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2691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2692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2693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2694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2695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2696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2697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2698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2699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2700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2701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2702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2703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2704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2705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2706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2707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2708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2709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2710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2711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2712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2713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2714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2715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2716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2717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2718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2719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2720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2721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2722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2723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2724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2725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2726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2727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2728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2729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2730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2731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2732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2733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2734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2735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2736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2737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2738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2739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2740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2741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2742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2743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2744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2745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2746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2747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2748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2749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2750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2751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2752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2753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2754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2755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2756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2757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2758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2759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2760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2761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2762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2763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2764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2765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2766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2767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2768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2769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2770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2771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2772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2773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2774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2775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2776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2777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2778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2779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2780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2781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2782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2783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2784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2785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2786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2787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2788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2789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2790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2791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2792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2793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2794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2795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2796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2797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2798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2799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2800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2801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2802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2803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2804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2805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2806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2807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2808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2809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2810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2811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2812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2813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2814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2815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2816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2817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2818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2819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2820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2821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2822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2823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2824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2825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2826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2827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2828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2829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2830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2831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2832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2833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2834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2835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2836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2837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2838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2839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2840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2841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2842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2843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2844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2845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2846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2847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2848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2849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2850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2851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2852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2853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2854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2855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2856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2857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2858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2859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2860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2861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2862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2863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2864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2865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2866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2867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2868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2869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2870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2871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2872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2873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2874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2875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2876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2877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2878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2879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2880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2881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2882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2883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2884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2885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2886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2887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2888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2889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2890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2891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2892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2893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2894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2895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2896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2897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2898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2899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2900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2901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2902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2903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2904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2905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2906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2907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2908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2909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2910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2911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2912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2913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2914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2915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2916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2917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2918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2919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2920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2921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2922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2923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2924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2925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2926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2927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2928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2929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2930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2931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2932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2933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2934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2935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2936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2937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2938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2939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2940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2941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2942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2943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2944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2945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2946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2947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2948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2949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2950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2951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2952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2953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2954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2955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2956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2957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2958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2959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2960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2961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2962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2963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2964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2965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2966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2967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2968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2969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2970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2971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2972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2973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2974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2975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2976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2977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2978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2979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2980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2981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2982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2983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2984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2985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2986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2987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2988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2989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2990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2991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2992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2993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2994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2995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2996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2997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2998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2999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3000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3001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3002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3003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3004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3005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3006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3007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3008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3009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3010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3011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3012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3013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3014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3015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3016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3017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3018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3019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3020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3021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3022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3023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3024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3025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3026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3027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3028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3029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3030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3031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3032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3033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3034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3035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3036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3037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3038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3039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3040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3041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3042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3043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3044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3045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3046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3047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3048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3049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3050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3051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3052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3053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3054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3055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3056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3057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3058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3059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3060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3061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3062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3063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3064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3065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3066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3067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3068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3069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3070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3071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3072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3073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3074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3075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3076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3077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3078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3079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3080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3081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3082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3083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3084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3085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3086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3087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3088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3089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3090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3091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3092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3093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3094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3095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3096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3097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3098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3099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3100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3101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3102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3103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3104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3105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3106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3107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3108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3109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3110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3111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3112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3113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3114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3115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3116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3117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3118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3119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3120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3121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3122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3123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3124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3125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3126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3127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3128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3129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3130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3131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3132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3133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3134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3135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3136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3137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3138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3139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3140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3141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3142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3143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3144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3145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3146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3147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3148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3149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3150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3151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3152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3153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3154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3155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3156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3157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3158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3159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3160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3161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3162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3163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3164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3165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3166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3167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3168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3169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3170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3171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3172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3173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3174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3175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3176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3177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3178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3179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3180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3181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3182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3183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3184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3185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3186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3187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3188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3189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3190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3191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3192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3193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3194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3195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3196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3197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3198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3199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3200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3201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3202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3203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3204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3205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3206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3207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3208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3209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3210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3211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3212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3213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3214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3215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3216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3217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3218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3219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3220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3221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3222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3223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3224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3225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3226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9" priority="5">
      <formula>K2="OK"</formula>
    </cfRule>
    <cfRule type="expression" dxfId="8" priority="6">
      <formula>K2="PRÓXIMO A VENCER"</formula>
    </cfRule>
    <cfRule type="expression" dxfId="7" priority="7">
      <formula>K2="SIN STOCK"</formula>
    </cfRule>
    <cfRule type="expression" dxfId="6" priority="8">
      <formula>K2="VENCIDO"</formula>
    </cfRule>
  </conditionalFormatting>
  <conditionalFormatting sqref="A59">
    <cfRule type="expression" dxfId="5" priority="1">
      <formula>$I59="ENTRADA"</formula>
    </cfRule>
    <cfRule type="expression" dxfId="4" priority="2">
      <formula>$I59="SALIDA"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43" activePane="bottomLeft" state="frozen"/>
      <selection pane="bottomLeft" activeCell="G50" sqref="G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2283</v>
      </c>
      <c r="B1" s="18" t="s">
        <v>3227</v>
      </c>
      <c r="C1" s="18" t="s">
        <v>4</v>
      </c>
      <c r="D1" s="18" t="s">
        <v>5</v>
      </c>
      <c r="E1" s="18" t="s">
        <v>11</v>
      </c>
      <c r="F1" s="18" t="s">
        <v>3228</v>
      </c>
      <c r="G1" s="18" t="s">
        <v>3229</v>
      </c>
      <c r="H1" s="18" t="s">
        <v>3230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10680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6490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57880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10560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11930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2694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6490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12880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12880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1680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575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62"/>
  <sheetViews>
    <sheetView showGridLines="0" topLeftCell="A45" workbookViewId="0">
      <selection activeCell="B62" sqref="B62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2283</v>
      </c>
      <c r="B1" s="23" t="s">
        <v>3231</v>
      </c>
      <c r="C1" s="23" t="s">
        <v>4</v>
      </c>
      <c r="D1" s="23" t="s">
        <v>5</v>
      </c>
      <c r="E1" s="23" t="s">
        <v>6</v>
      </c>
      <c r="F1" s="23" t="s">
        <v>3232</v>
      </c>
      <c r="G1" s="23" t="s">
        <v>11</v>
      </c>
      <c r="H1" s="23" t="s">
        <v>3233</v>
      </c>
    </row>
    <row r="2" spans="1:8">
      <c r="A2" t="s">
        <v>22</v>
      </c>
      <c r="B2" t="s">
        <v>23</v>
      </c>
      <c r="C2" s="24" t="s">
        <v>3234</v>
      </c>
      <c r="D2" s="24" t="s">
        <v>3235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3236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3237</v>
      </c>
      <c r="E4" s="24" t="s">
        <v>76</v>
      </c>
      <c r="G4" s="24" t="s">
        <v>3238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3239</v>
      </c>
      <c r="E5" s="10" t="s">
        <v>26</v>
      </c>
      <c r="G5" s="24" t="s">
        <v>3240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3241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3242</v>
      </c>
      <c r="E9" s="24" t="s">
        <v>157</v>
      </c>
      <c r="G9" s="10" t="s">
        <v>3243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3244</v>
      </c>
      <c r="E13" t="s">
        <v>3245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3246</v>
      </c>
    </row>
    <row r="15" spans="1:8">
      <c r="A15" t="s">
        <v>107</v>
      </c>
      <c r="B15" t="s">
        <v>108</v>
      </c>
      <c r="C15" s="24"/>
      <c r="D15" s="24" t="s">
        <v>3247</v>
      </c>
      <c r="E15" t="s">
        <v>258</v>
      </c>
    </row>
    <row r="16" spans="1:8">
      <c r="A16" t="s">
        <v>114</v>
      </c>
      <c r="B16" t="s">
        <v>115</v>
      </c>
      <c r="D16" s="24" t="s">
        <v>3248</v>
      </c>
      <c r="E16" t="s">
        <v>300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129</v>
      </c>
      <c r="B18" t="s">
        <v>130</v>
      </c>
      <c r="D18" t="s">
        <v>127</v>
      </c>
    </row>
    <row r="19" spans="1:4">
      <c r="A19" t="s">
        <v>136</v>
      </c>
      <c r="B19" t="s">
        <v>137</v>
      </c>
      <c r="D19" t="s">
        <v>164</v>
      </c>
    </row>
    <row r="20" spans="1:4">
      <c r="A20" t="s">
        <v>140</v>
      </c>
      <c r="B20" t="s">
        <v>141</v>
      </c>
      <c r="D20" t="s">
        <v>169</v>
      </c>
    </row>
    <row r="21" spans="1:4">
      <c r="A21" t="s">
        <v>146</v>
      </c>
      <c r="B21" t="s">
        <v>147</v>
      </c>
      <c r="D21" t="s">
        <v>173</v>
      </c>
    </row>
    <row r="22" spans="1:4">
      <c r="A22" t="s">
        <v>155</v>
      </c>
      <c r="B22" t="s">
        <v>156</v>
      </c>
      <c r="D22" t="s">
        <v>183</v>
      </c>
    </row>
    <row r="23" spans="1:4">
      <c r="A23" t="s">
        <v>159</v>
      </c>
      <c r="B23" t="s">
        <v>160</v>
      </c>
      <c r="D23" t="s">
        <v>187</v>
      </c>
    </row>
    <row r="24" spans="1:4">
      <c r="A24" t="s">
        <v>163</v>
      </c>
      <c r="B24" t="s">
        <v>163</v>
      </c>
      <c r="D24" t="s">
        <v>191</v>
      </c>
    </row>
    <row r="25" spans="1:4">
      <c r="A25" t="s">
        <v>167</v>
      </c>
      <c r="B25" t="s">
        <v>168</v>
      </c>
      <c r="D25" t="s">
        <v>194</v>
      </c>
    </row>
    <row r="26" spans="1:4">
      <c r="A26" t="s">
        <v>171</v>
      </c>
      <c r="B26" t="s">
        <v>172</v>
      </c>
      <c r="D26" t="s">
        <v>257</v>
      </c>
    </row>
    <row r="27" spans="1:4">
      <c r="A27" t="s">
        <v>177</v>
      </c>
      <c r="B27" t="s">
        <v>178</v>
      </c>
      <c r="D27" t="s">
        <v>285</v>
      </c>
    </row>
    <row r="28" spans="1:4">
      <c r="A28" t="s">
        <v>181</v>
      </c>
      <c r="B28" t="s">
        <v>182</v>
      </c>
      <c r="D28" t="s">
        <v>3249</v>
      </c>
    </row>
    <row r="29" spans="1:4">
      <c r="A29" t="s">
        <v>185</v>
      </c>
      <c r="B29" t="s">
        <v>186</v>
      </c>
      <c r="D29" t="s">
        <v>3250</v>
      </c>
    </row>
    <row r="30" spans="1:4">
      <c r="A30" t="s">
        <v>189</v>
      </c>
      <c r="B30" t="s">
        <v>190</v>
      </c>
    </row>
    <row r="31" spans="1:4">
      <c r="A31" t="s">
        <v>193</v>
      </c>
      <c r="B31" t="s">
        <v>193</v>
      </c>
    </row>
    <row r="32" spans="1:4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3251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</row>
    <row r="60" spans="1:2">
      <c r="A60" t="s">
        <v>756</v>
      </c>
    </row>
    <row r="61" spans="1:2">
      <c r="A61" t="s">
        <v>759</v>
      </c>
    </row>
    <row r="62" spans="1:2">
      <c r="A62" t="s">
        <v>762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3252</v>
      </c>
    </row>
    <row r="2" spans="1:2">
      <c r="B2" t="s">
        <v>3253</v>
      </c>
    </row>
    <row r="3" spans="1:2" ht="18" customHeight="1">
      <c r="A3" s="11" t="s">
        <v>3254</v>
      </c>
      <c r="B3" s="12"/>
    </row>
    <row r="4" spans="1:2" ht="30" customHeight="1">
      <c r="A4" s="25" t="s">
        <v>3255</v>
      </c>
      <c r="B4" s="26" t="s">
        <v>3256</v>
      </c>
    </row>
    <row r="5" spans="1:2" ht="30" customHeight="1">
      <c r="A5" s="25" t="s">
        <v>3257</v>
      </c>
      <c r="B5" s="26" t="s">
        <v>3258</v>
      </c>
    </row>
    <row r="6" spans="1:2" ht="30" customHeight="1">
      <c r="A6" s="25" t="s">
        <v>3259</v>
      </c>
      <c r="B6" s="26" t="s">
        <v>3260</v>
      </c>
    </row>
    <row r="7" spans="1:2" ht="18" customHeight="1">
      <c r="A7" s="27"/>
      <c r="B7" s="27"/>
    </row>
    <row r="8" spans="1:2" ht="18" customHeight="1">
      <c r="A8" s="11" t="s">
        <v>3261</v>
      </c>
      <c r="B8" s="12"/>
    </row>
    <row r="9" spans="1:2" ht="30" customHeight="1">
      <c r="A9" s="25" t="s">
        <v>3262</v>
      </c>
      <c r="B9" s="26" t="s">
        <v>3263</v>
      </c>
    </row>
    <row r="10" spans="1:2" ht="30" customHeight="1">
      <c r="A10" s="25" t="s">
        <v>3264</v>
      </c>
      <c r="B10" s="26" t="s">
        <v>3265</v>
      </c>
    </row>
    <row r="11" spans="1:2" ht="30" customHeight="1">
      <c r="A11" s="25" t="s">
        <v>3266</v>
      </c>
      <c r="B11" s="26" t="s">
        <v>3267</v>
      </c>
    </row>
    <row r="12" spans="1:2" ht="30" customHeight="1">
      <c r="A12" s="25" t="s">
        <v>3268</v>
      </c>
      <c r="B12" s="26" t="s">
        <v>3269</v>
      </c>
    </row>
    <row r="13" spans="1:2" ht="30" customHeight="1">
      <c r="A13" s="25" t="s">
        <v>3270</v>
      </c>
      <c r="B13" s="26" t="s">
        <v>3271</v>
      </c>
    </row>
    <row r="14" spans="1:2" ht="18" customHeight="1">
      <c r="A14" s="27"/>
      <c r="B14" s="27"/>
    </row>
    <row r="15" spans="1:2" ht="18" customHeight="1">
      <c r="A15" s="11" t="s">
        <v>3272</v>
      </c>
      <c r="B15" s="12"/>
    </row>
    <row r="16" spans="1:2" ht="30" customHeight="1">
      <c r="A16" s="25" t="s">
        <v>3273</v>
      </c>
      <c r="B16" s="26" t="s">
        <v>3274</v>
      </c>
    </row>
    <row r="17" spans="1:2" ht="18" customHeight="1">
      <c r="A17" s="27"/>
      <c r="B17" s="27"/>
    </row>
    <row r="18" spans="1:2" ht="18" customHeight="1">
      <c r="A18" s="11" t="s">
        <v>3275</v>
      </c>
      <c r="B18" s="12"/>
    </row>
    <row r="19" spans="1:2" ht="30" customHeight="1">
      <c r="A19" s="25" t="s">
        <v>3276</v>
      </c>
      <c r="B19" s="26" t="s">
        <v>3277</v>
      </c>
    </row>
    <row r="20" spans="1:2" ht="30" customHeight="1">
      <c r="A20" s="25" t="s">
        <v>3278</v>
      </c>
      <c r="B20" s="26" t="s">
        <v>3279</v>
      </c>
    </row>
    <row r="21" spans="1:2" ht="30" customHeight="1">
      <c r="A21" s="25" t="s">
        <v>3280</v>
      </c>
      <c r="B21" s="26" t="s">
        <v>3281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2026-09-01T12:17:00Z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